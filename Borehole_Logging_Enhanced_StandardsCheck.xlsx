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athleenBody\Documents\Talks_2025\"/>
    </mc:Choice>
  </mc:AlternateContent>
  <xr:revisionPtr revIDLastSave="0" documentId="13_ncr:1_{F7ED472E-5D17-4FA1-A61C-5A5EF0C6608C}" xr6:coauthVersionLast="47" xr6:coauthVersionMax="47" xr10:uidLastSave="{00000000-0000-0000-0000-000000000000}"/>
  <bookViews>
    <workbookView xWindow="25670" yWindow="930" windowWidth="27850" windowHeight="11730" firstSheet="1" activeTab="3" xr2:uid="{00000000-000D-0000-FFFF-FFFF00000000}"/>
  </bookViews>
  <sheets>
    <sheet name="Lists" sheetId="1" state="hidden" r:id="rId1"/>
    <sheet name="Borehole Logging" sheetId="2" r:id="rId2"/>
    <sheet name="DependentLists" sheetId="3" state="hidden" r:id="rId3"/>
    <sheet name="Assays" sheetId="4" r:id="rId4"/>
    <sheet name="PlotPrep" sheetId="5" r:id="rId5"/>
    <sheet name="Standards Catalogue" sheetId="6" r:id="rId6"/>
    <sheet name="Standards Summary" sheetId="7" r:id="rId7"/>
  </sheets>
  <definedNames>
    <definedName name="Aircore_SAMPLES">DependentLists!$H$2:$H$2</definedName>
    <definedName name="ALTERATION_INTENSITY">Lists!$I$2:$I$6</definedName>
    <definedName name="ALTERATION_TYPES">Lists!$H$2:$H$9</definedName>
    <definedName name="ASSAY_KEYS">Assays!$L$2:$L$1001</definedName>
    <definedName name="ASSAY_VALUES">Assays!$C$2:$C$1001</definedName>
    <definedName name="Auger_SAMPLES">DependentLists!$G$2:$G$2</definedName>
    <definedName name="BIF_TEXTURES">DependentLists!$A$2:$A$5</definedName>
    <definedName name="DiamondCore_SAMPLES">DependentLists!$F$2:$F$2</definedName>
    <definedName name="DOL_TEXTURES">DependentLists!$C$2:$C$4</definedName>
    <definedName name="DRILL_TYPES">Lists!$D$2:$D$5</definedName>
    <definedName name="GRAIN_SIZES">Lists!$F$2:$F$6</definedName>
    <definedName name="LITHOLOGY_CODES">Lists!$A$2:$A$5</definedName>
    <definedName name="LITHOLOGY_DESCRIPTIONS">Lists!$B$2:$B$5</definedName>
    <definedName name="MINERALIZATION_STYLES">Lists!$J$2:$J$6</definedName>
    <definedName name="MOISTURE_CODES">Lists!$N$2:$N$4</definedName>
    <definedName name="ORIENTATION_QUALITY">Lists!$M$2:$M$5</definedName>
    <definedName name="QFP_TEXTURES">DependentLists!$D$2:$D$4</definedName>
    <definedName name="RC_SAMPLES">DependentLists!$E$2:$E$2</definedName>
    <definedName name="SAMPLE_TYPES_LIST">Lists!$K$2:$K$5</definedName>
    <definedName name="SH_TEXTURES">DependentLists!$B$2:$B$3</definedName>
    <definedName name="STANDARDS_IDS">'Standards Catalogue'!$A$2:$A$3</definedName>
    <definedName name="STRUCTURE_TYPES">Lists!$L$2:$L$6</definedName>
    <definedName name="TEXTURES_CODES">Lists!$E$2:$E$7</definedName>
    <definedName name="WEATHERING_CODES">Lists!$G$2:$G$6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7" l="1"/>
  <c r="D3" i="7"/>
  <c r="D2" i="7"/>
  <c r="E401" i="5"/>
  <c r="C401" i="5"/>
  <c r="B401" i="5"/>
  <c r="A401" i="5"/>
  <c r="E400" i="5"/>
  <c r="C400" i="5"/>
  <c r="B400" i="5"/>
  <c r="A400" i="5"/>
  <c r="E399" i="5"/>
  <c r="C399" i="5"/>
  <c r="B399" i="5"/>
  <c r="A399" i="5"/>
  <c r="E398" i="5"/>
  <c r="C398" i="5"/>
  <c r="B398" i="5"/>
  <c r="A398" i="5"/>
  <c r="E397" i="5"/>
  <c r="C397" i="5"/>
  <c r="B397" i="5"/>
  <c r="A397" i="5"/>
  <c r="E396" i="5"/>
  <c r="C396" i="5"/>
  <c r="B396" i="5"/>
  <c r="A396" i="5"/>
  <c r="E395" i="5"/>
  <c r="C395" i="5"/>
  <c r="B395" i="5"/>
  <c r="A395" i="5"/>
  <c r="E394" i="5"/>
  <c r="C394" i="5"/>
  <c r="B394" i="5"/>
  <c r="A394" i="5"/>
  <c r="E393" i="5"/>
  <c r="C393" i="5"/>
  <c r="B393" i="5"/>
  <c r="A393" i="5"/>
  <c r="E392" i="5"/>
  <c r="C392" i="5"/>
  <c r="B392" i="5"/>
  <c r="A392" i="5"/>
  <c r="E391" i="5"/>
  <c r="C391" i="5"/>
  <c r="B391" i="5"/>
  <c r="A391" i="5"/>
  <c r="E390" i="5"/>
  <c r="C390" i="5"/>
  <c r="B390" i="5"/>
  <c r="A390" i="5"/>
  <c r="E389" i="5"/>
  <c r="C389" i="5"/>
  <c r="B389" i="5"/>
  <c r="A389" i="5"/>
  <c r="E388" i="5"/>
  <c r="C388" i="5"/>
  <c r="B388" i="5"/>
  <c r="A388" i="5"/>
  <c r="E387" i="5"/>
  <c r="C387" i="5"/>
  <c r="B387" i="5"/>
  <c r="A387" i="5"/>
  <c r="E386" i="5"/>
  <c r="C386" i="5"/>
  <c r="B386" i="5"/>
  <c r="A386" i="5"/>
  <c r="E385" i="5"/>
  <c r="C385" i="5"/>
  <c r="B385" i="5"/>
  <c r="A385" i="5"/>
  <c r="E384" i="5"/>
  <c r="C384" i="5"/>
  <c r="B384" i="5"/>
  <c r="A384" i="5"/>
  <c r="E383" i="5"/>
  <c r="C383" i="5"/>
  <c r="B383" i="5"/>
  <c r="A383" i="5"/>
  <c r="E382" i="5"/>
  <c r="C382" i="5"/>
  <c r="B382" i="5"/>
  <c r="A382" i="5"/>
  <c r="E381" i="5"/>
  <c r="C381" i="5"/>
  <c r="B381" i="5"/>
  <c r="A381" i="5"/>
  <c r="E380" i="5"/>
  <c r="C380" i="5"/>
  <c r="B380" i="5"/>
  <c r="A380" i="5"/>
  <c r="E379" i="5"/>
  <c r="C379" i="5"/>
  <c r="B379" i="5"/>
  <c r="A379" i="5"/>
  <c r="E378" i="5"/>
  <c r="C378" i="5"/>
  <c r="B378" i="5"/>
  <c r="A378" i="5"/>
  <c r="E377" i="5"/>
  <c r="C377" i="5"/>
  <c r="B377" i="5"/>
  <c r="A377" i="5"/>
  <c r="E376" i="5"/>
  <c r="C376" i="5"/>
  <c r="B376" i="5"/>
  <c r="A376" i="5"/>
  <c r="E375" i="5"/>
  <c r="C375" i="5"/>
  <c r="B375" i="5"/>
  <c r="A375" i="5"/>
  <c r="E374" i="5"/>
  <c r="C374" i="5"/>
  <c r="B374" i="5"/>
  <c r="A374" i="5"/>
  <c r="E373" i="5"/>
  <c r="C373" i="5"/>
  <c r="B373" i="5"/>
  <c r="A373" i="5"/>
  <c r="E372" i="5"/>
  <c r="C372" i="5"/>
  <c r="B372" i="5"/>
  <c r="A372" i="5"/>
  <c r="E371" i="5"/>
  <c r="C371" i="5"/>
  <c r="B371" i="5"/>
  <c r="A371" i="5"/>
  <c r="E370" i="5"/>
  <c r="C370" i="5"/>
  <c r="B370" i="5"/>
  <c r="A370" i="5"/>
  <c r="E369" i="5"/>
  <c r="C369" i="5"/>
  <c r="B369" i="5"/>
  <c r="A369" i="5"/>
  <c r="E368" i="5"/>
  <c r="C368" i="5"/>
  <c r="B368" i="5"/>
  <c r="A368" i="5"/>
  <c r="E367" i="5"/>
  <c r="C367" i="5"/>
  <c r="B367" i="5"/>
  <c r="A367" i="5"/>
  <c r="E366" i="5"/>
  <c r="C366" i="5"/>
  <c r="B366" i="5"/>
  <c r="A366" i="5"/>
  <c r="E365" i="5"/>
  <c r="C365" i="5"/>
  <c r="B365" i="5"/>
  <c r="A365" i="5"/>
  <c r="E364" i="5"/>
  <c r="C364" i="5"/>
  <c r="B364" i="5"/>
  <c r="A364" i="5"/>
  <c r="E363" i="5"/>
  <c r="C363" i="5"/>
  <c r="B363" i="5"/>
  <c r="A363" i="5"/>
  <c r="E362" i="5"/>
  <c r="C362" i="5"/>
  <c r="B362" i="5"/>
  <c r="A362" i="5"/>
  <c r="E361" i="5"/>
  <c r="C361" i="5"/>
  <c r="B361" i="5"/>
  <c r="A361" i="5"/>
  <c r="E360" i="5"/>
  <c r="C360" i="5"/>
  <c r="B360" i="5"/>
  <c r="A360" i="5"/>
  <c r="E359" i="5"/>
  <c r="C359" i="5"/>
  <c r="B359" i="5"/>
  <c r="A359" i="5"/>
  <c r="E358" i="5"/>
  <c r="C358" i="5"/>
  <c r="B358" i="5"/>
  <c r="A358" i="5"/>
  <c r="E357" i="5"/>
  <c r="C357" i="5"/>
  <c r="B357" i="5"/>
  <c r="A357" i="5"/>
  <c r="E356" i="5"/>
  <c r="C356" i="5"/>
  <c r="B356" i="5"/>
  <c r="A356" i="5"/>
  <c r="E355" i="5"/>
  <c r="C355" i="5"/>
  <c r="B355" i="5"/>
  <c r="A355" i="5"/>
  <c r="E354" i="5"/>
  <c r="C354" i="5"/>
  <c r="B354" i="5"/>
  <c r="A354" i="5"/>
  <c r="E353" i="5"/>
  <c r="C353" i="5"/>
  <c r="B353" i="5"/>
  <c r="A353" i="5"/>
  <c r="E352" i="5"/>
  <c r="C352" i="5"/>
  <c r="B352" i="5"/>
  <c r="A352" i="5"/>
  <c r="E351" i="5"/>
  <c r="C351" i="5"/>
  <c r="B351" i="5"/>
  <c r="A351" i="5"/>
  <c r="E350" i="5"/>
  <c r="C350" i="5"/>
  <c r="B350" i="5"/>
  <c r="A350" i="5"/>
  <c r="E349" i="5"/>
  <c r="C349" i="5"/>
  <c r="B349" i="5"/>
  <c r="A349" i="5"/>
  <c r="E348" i="5"/>
  <c r="C348" i="5"/>
  <c r="B348" i="5"/>
  <c r="A348" i="5"/>
  <c r="E347" i="5"/>
  <c r="C347" i="5"/>
  <c r="B347" i="5"/>
  <c r="A347" i="5"/>
  <c r="E346" i="5"/>
  <c r="C346" i="5"/>
  <c r="B346" i="5"/>
  <c r="A346" i="5"/>
  <c r="E345" i="5"/>
  <c r="C345" i="5"/>
  <c r="B345" i="5"/>
  <c r="A345" i="5"/>
  <c r="E344" i="5"/>
  <c r="C344" i="5"/>
  <c r="B344" i="5"/>
  <c r="A344" i="5"/>
  <c r="E343" i="5"/>
  <c r="C343" i="5"/>
  <c r="B343" i="5"/>
  <c r="A343" i="5"/>
  <c r="E342" i="5"/>
  <c r="C342" i="5"/>
  <c r="B342" i="5"/>
  <c r="A342" i="5"/>
  <c r="E341" i="5"/>
  <c r="C341" i="5"/>
  <c r="B341" i="5"/>
  <c r="A341" i="5"/>
  <c r="E340" i="5"/>
  <c r="C340" i="5"/>
  <c r="B340" i="5"/>
  <c r="A340" i="5"/>
  <c r="E339" i="5"/>
  <c r="C339" i="5"/>
  <c r="B339" i="5"/>
  <c r="A339" i="5"/>
  <c r="E338" i="5"/>
  <c r="C338" i="5"/>
  <c r="B338" i="5"/>
  <c r="A338" i="5"/>
  <c r="E337" i="5"/>
  <c r="C337" i="5"/>
  <c r="B337" i="5"/>
  <c r="A337" i="5"/>
  <c r="E336" i="5"/>
  <c r="C336" i="5"/>
  <c r="B336" i="5"/>
  <c r="A336" i="5"/>
  <c r="E335" i="5"/>
  <c r="C335" i="5"/>
  <c r="B335" i="5"/>
  <c r="A335" i="5"/>
  <c r="E334" i="5"/>
  <c r="C334" i="5"/>
  <c r="B334" i="5"/>
  <c r="A334" i="5"/>
  <c r="E333" i="5"/>
  <c r="C333" i="5"/>
  <c r="B333" i="5"/>
  <c r="A333" i="5"/>
  <c r="E332" i="5"/>
  <c r="C332" i="5"/>
  <c r="B332" i="5"/>
  <c r="A332" i="5"/>
  <c r="E331" i="5"/>
  <c r="C331" i="5"/>
  <c r="B331" i="5"/>
  <c r="A331" i="5"/>
  <c r="E330" i="5"/>
  <c r="C330" i="5"/>
  <c r="B330" i="5"/>
  <c r="A330" i="5"/>
  <c r="E329" i="5"/>
  <c r="C329" i="5"/>
  <c r="B329" i="5"/>
  <c r="A329" i="5"/>
  <c r="E328" i="5"/>
  <c r="C328" i="5"/>
  <c r="B328" i="5"/>
  <c r="A328" i="5"/>
  <c r="E327" i="5"/>
  <c r="C327" i="5"/>
  <c r="B327" i="5"/>
  <c r="A327" i="5"/>
  <c r="E326" i="5"/>
  <c r="C326" i="5"/>
  <c r="B326" i="5"/>
  <c r="A326" i="5"/>
  <c r="E325" i="5"/>
  <c r="C325" i="5"/>
  <c r="B325" i="5"/>
  <c r="A325" i="5"/>
  <c r="E324" i="5"/>
  <c r="C324" i="5"/>
  <c r="B324" i="5"/>
  <c r="A324" i="5"/>
  <c r="E323" i="5"/>
  <c r="C323" i="5"/>
  <c r="B323" i="5"/>
  <c r="A323" i="5"/>
  <c r="E322" i="5"/>
  <c r="C322" i="5"/>
  <c r="B322" i="5"/>
  <c r="A322" i="5"/>
  <c r="E321" i="5"/>
  <c r="C321" i="5"/>
  <c r="B321" i="5"/>
  <c r="A321" i="5"/>
  <c r="E320" i="5"/>
  <c r="C320" i="5"/>
  <c r="B320" i="5"/>
  <c r="A320" i="5"/>
  <c r="E319" i="5"/>
  <c r="C319" i="5"/>
  <c r="B319" i="5"/>
  <c r="A319" i="5"/>
  <c r="E318" i="5"/>
  <c r="C318" i="5"/>
  <c r="B318" i="5"/>
  <c r="A318" i="5"/>
  <c r="E317" i="5"/>
  <c r="C317" i="5"/>
  <c r="B317" i="5"/>
  <c r="A317" i="5"/>
  <c r="E316" i="5"/>
  <c r="C316" i="5"/>
  <c r="B316" i="5"/>
  <c r="A316" i="5"/>
  <c r="E315" i="5"/>
  <c r="C315" i="5"/>
  <c r="B315" i="5"/>
  <c r="A315" i="5"/>
  <c r="E314" i="5"/>
  <c r="C314" i="5"/>
  <c r="B314" i="5"/>
  <c r="A314" i="5"/>
  <c r="E313" i="5"/>
  <c r="C313" i="5"/>
  <c r="B313" i="5"/>
  <c r="A313" i="5"/>
  <c r="E312" i="5"/>
  <c r="C312" i="5"/>
  <c r="B312" i="5"/>
  <c r="A312" i="5"/>
  <c r="E311" i="5"/>
  <c r="C311" i="5"/>
  <c r="B311" i="5"/>
  <c r="A311" i="5"/>
  <c r="E310" i="5"/>
  <c r="C310" i="5"/>
  <c r="B310" i="5"/>
  <c r="A310" i="5"/>
  <c r="E309" i="5"/>
  <c r="C309" i="5"/>
  <c r="B309" i="5"/>
  <c r="A309" i="5"/>
  <c r="E308" i="5"/>
  <c r="C308" i="5"/>
  <c r="B308" i="5"/>
  <c r="A308" i="5"/>
  <c r="E307" i="5"/>
  <c r="C307" i="5"/>
  <c r="B307" i="5"/>
  <c r="A307" i="5"/>
  <c r="E306" i="5"/>
  <c r="C306" i="5"/>
  <c r="B306" i="5"/>
  <c r="A306" i="5"/>
  <c r="E305" i="5"/>
  <c r="C305" i="5"/>
  <c r="B305" i="5"/>
  <c r="A305" i="5"/>
  <c r="E304" i="5"/>
  <c r="C304" i="5"/>
  <c r="B304" i="5"/>
  <c r="A304" i="5"/>
  <c r="E303" i="5"/>
  <c r="C303" i="5"/>
  <c r="B303" i="5"/>
  <c r="A303" i="5"/>
  <c r="E302" i="5"/>
  <c r="C302" i="5"/>
  <c r="B302" i="5"/>
  <c r="A302" i="5"/>
  <c r="E301" i="5"/>
  <c r="C301" i="5"/>
  <c r="B301" i="5"/>
  <c r="A301" i="5"/>
  <c r="E300" i="5"/>
  <c r="C300" i="5"/>
  <c r="B300" i="5"/>
  <c r="A300" i="5"/>
  <c r="E299" i="5"/>
  <c r="C299" i="5"/>
  <c r="B299" i="5"/>
  <c r="A299" i="5"/>
  <c r="E298" i="5"/>
  <c r="C298" i="5"/>
  <c r="B298" i="5"/>
  <c r="A298" i="5"/>
  <c r="E297" i="5"/>
  <c r="C297" i="5"/>
  <c r="B297" i="5"/>
  <c r="A297" i="5"/>
  <c r="E296" i="5"/>
  <c r="C296" i="5"/>
  <c r="B296" i="5"/>
  <c r="A296" i="5"/>
  <c r="E295" i="5"/>
  <c r="C295" i="5"/>
  <c r="B295" i="5"/>
  <c r="A295" i="5"/>
  <c r="E294" i="5"/>
  <c r="C294" i="5"/>
  <c r="B294" i="5"/>
  <c r="A294" i="5"/>
  <c r="E293" i="5"/>
  <c r="C293" i="5"/>
  <c r="B293" i="5"/>
  <c r="A293" i="5"/>
  <c r="E292" i="5"/>
  <c r="C292" i="5"/>
  <c r="B292" i="5"/>
  <c r="A292" i="5"/>
  <c r="E291" i="5"/>
  <c r="C291" i="5"/>
  <c r="B291" i="5"/>
  <c r="A291" i="5"/>
  <c r="E290" i="5"/>
  <c r="C290" i="5"/>
  <c r="B290" i="5"/>
  <c r="A290" i="5"/>
  <c r="E289" i="5"/>
  <c r="C289" i="5"/>
  <c r="B289" i="5"/>
  <c r="A289" i="5"/>
  <c r="E288" i="5"/>
  <c r="C288" i="5"/>
  <c r="B288" i="5"/>
  <c r="A288" i="5"/>
  <c r="E287" i="5"/>
  <c r="C287" i="5"/>
  <c r="B287" i="5"/>
  <c r="A287" i="5"/>
  <c r="E286" i="5"/>
  <c r="C286" i="5"/>
  <c r="B286" i="5"/>
  <c r="A286" i="5"/>
  <c r="E285" i="5"/>
  <c r="C285" i="5"/>
  <c r="B285" i="5"/>
  <c r="A285" i="5"/>
  <c r="E284" i="5"/>
  <c r="C284" i="5"/>
  <c r="B284" i="5"/>
  <c r="A284" i="5"/>
  <c r="E283" i="5"/>
  <c r="C283" i="5"/>
  <c r="B283" i="5"/>
  <c r="A283" i="5"/>
  <c r="E282" i="5"/>
  <c r="C282" i="5"/>
  <c r="B282" i="5"/>
  <c r="A282" i="5"/>
  <c r="E281" i="5"/>
  <c r="C281" i="5"/>
  <c r="B281" i="5"/>
  <c r="A281" i="5"/>
  <c r="E280" i="5"/>
  <c r="C280" i="5"/>
  <c r="B280" i="5"/>
  <c r="A280" i="5"/>
  <c r="E279" i="5"/>
  <c r="C279" i="5"/>
  <c r="B279" i="5"/>
  <c r="A279" i="5"/>
  <c r="E278" i="5"/>
  <c r="C278" i="5"/>
  <c r="B278" i="5"/>
  <c r="A278" i="5"/>
  <c r="E277" i="5"/>
  <c r="C277" i="5"/>
  <c r="B277" i="5"/>
  <c r="A277" i="5"/>
  <c r="E276" i="5"/>
  <c r="C276" i="5"/>
  <c r="B276" i="5"/>
  <c r="A276" i="5"/>
  <c r="E275" i="5"/>
  <c r="C275" i="5"/>
  <c r="B275" i="5"/>
  <c r="A275" i="5"/>
  <c r="E274" i="5"/>
  <c r="C274" i="5"/>
  <c r="B274" i="5"/>
  <c r="A274" i="5"/>
  <c r="E273" i="5"/>
  <c r="C273" i="5"/>
  <c r="B273" i="5"/>
  <c r="A273" i="5"/>
  <c r="E272" i="5"/>
  <c r="C272" i="5"/>
  <c r="B272" i="5"/>
  <c r="A272" i="5"/>
  <c r="E271" i="5"/>
  <c r="C271" i="5"/>
  <c r="B271" i="5"/>
  <c r="A271" i="5"/>
  <c r="E270" i="5"/>
  <c r="C270" i="5"/>
  <c r="B270" i="5"/>
  <c r="A270" i="5"/>
  <c r="E269" i="5"/>
  <c r="C269" i="5"/>
  <c r="B269" i="5"/>
  <c r="A269" i="5"/>
  <c r="E268" i="5"/>
  <c r="C268" i="5"/>
  <c r="B268" i="5"/>
  <c r="A268" i="5"/>
  <c r="E267" i="5"/>
  <c r="C267" i="5"/>
  <c r="B267" i="5"/>
  <c r="A267" i="5"/>
  <c r="E266" i="5"/>
  <c r="C266" i="5"/>
  <c r="B266" i="5"/>
  <c r="A266" i="5"/>
  <c r="E265" i="5"/>
  <c r="C265" i="5"/>
  <c r="B265" i="5"/>
  <c r="A265" i="5"/>
  <c r="E264" i="5"/>
  <c r="C264" i="5"/>
  <c r="B264" i="5"/>
  <c r="A264" i="5"/>
  <c r="E263" i="5"/>
  <c r="C263" i="5"/>
  <c r="B263" i="5"/>
  <c r="A263" i="5"/>
  <c r="E262" i="5"/>
  <c r="C262" i="5"/>
  <c r="B262" i="5"/>
  <c r="A262" i="5"/>
  <c r="E261" i="5"/>
  <c r="C261" i="5"/>
  <c r="B261" i="5"/>
  <c r="A261" i="5"/>
  <c r="E260" i="5"/>
  <c r="C260" i="5"/>
  <c r="B260" i="5"/>
  <c r="A260" i="5"/>
  <c r="E259" i="5"/>
  <c r="C259" i="5"/>
  <c r="B259" i="5"/>
  <c r="A259" i="5"/>
  <c r="E258" i="5"/>
  <c r="C258" i="5"/>
  <c r="B258" i="5"/>
  <c r="A258" i="5"/>
  <c r="E257" i="5"/>
  <c r="C257" i="5"/>
  <c r="B257" i="5"/>
  <c r="A257" i="5"/>
  <c r="E256" i="5"/>
  <c r="C256" i="5"/>
  <c r="B256" i="5"/>
  <c r="A256" i="5"/>
  <c r="E255" i="5"/>
  <c r="C255" i="5"/>
  <c r="B255" i="5"/>
  <c r="A255" i="5"/>
  <c r="E254" i="5"/>
  <c r="C254" i="5"/>
  <c r="B254" i="5"/>
  <c r="A254" i="5"/>
  <c r="E253" i="5"/>
  <c r="C253" i="5"/>
  <c r="B253" i="5"/>
  <c r="A253" i="5"/>
  <c r="E252" i="5"/>
  <c r="C252" i="5"/>
  <c r="B252" i="5"/>
  <c r="A252" i="5"/>
  <c r="E251" i="5"/>
  <c r="C251" i="5"/>
  <c r="B251" i="5"/>
  <c r="A251" i="5"/>
  <c r="E250" i="5"/>
  <c r="C250" i="5"/>
  <c r="B250" i="5"/>
  <c r="A250" i="5"/>
  <c r="E249" i="5"/>
  <c r="C249" i="5"/>
  <c r="B249" i="5"/>
  <c r="A249" i="5"/>
  <c r="E248" i="5"/>
  <c r="C248" i="5"/>
  <c r="B248" i="5"/>
  <c r="A248" i="5"/>
  <c r="E247" i="5"/>
  <c r="C247" i="5"/>
  <c r="B247" i="5"/>
  <c r="A247" i="5"/>
  <c r="E246" i="5"/>
  <c r="C246" i="5"/>
  <c r="B246" i="5"/>
  <c r="A246" i="5"/>
  <c r="E245" i="5"/>
  <c r="C245" i="5"/>
  <c r="B245" i="5"/>
  <c r="A245" i="5"/>
  <c r="E244" i="5"/>
  <c r="C244" i="5"/>
  <c r="B244" i="5"/>
  <c r="A244" i="5"/>
  <c r="E243" i="5"/>
  <c r="C243" i="5"/>
  <c r="B243" i="5"/>
  <c r="A243" i="5"/>
  <c r="E242" i="5"/>
  <c r="C242" i="5"/>
  <c r="B242" i="5"/>
  <c r="A242" i="5"/>
  <c r="E241" i="5"/>
  <c r="C241" i="5"/>
  <c r="B241" i="5"/>
  <c r="A241" i="5"/>
  <c r="E240" i="5"/>
  <c r="C240" i="5"/>
  <c r="B240" i="5"/>
  <c r="A240" i="5"/>
  <c r="E239" i="5"/>
  <c r="C239" i="5"/>
  <c r="B239" i="5"/>
  <c r="A239" i="5"/>
  <c r="E238" i="5"/>
  <c r="C238" i="5"/>
  <c r="B238" i="5"/>
  <c r="A238" i="5"/>
  <c r="E237" i="5"/>
  <c r="C237" i="5"/>
  <c r="B237" i="5"/>
  <c r="A237" i="5"/>
  <c r="E236" i="5"/>
  <c r="C236" i="5"/>
  <c r="B236" i="5"/>
  <c r="A236" i="5"/>
  <c r="E235" i="5"/>
  <c r="C235" i="5"/>
  <c r="B235" i="5"/>
  <c r="A235" i="5"/>
  <c r="E234" i="5"/>
  <c r="C234" i="5"/>
  <c r="B234" i="5"/>
  <c r="A234" i="5"/>
  <c r="E233" i="5"/>
  <c r="C233" i="5"/>
  <c r="B233" i="5"/>
  <c r="A233" i="5"/>
  <c r="E232" i="5"/>
  <c r="C232" i="5"/>
  <c r="B232" i="5"/>
  <c r="A232" i="5"/>
  <c r="E231" i="5"/>
  <c r="C231" i="5"/>
  <c r="B231" i="5"/>
  <c r="A231" i="5"/>
  <c r="E230" i="5"/>
  <c r="C230" i="5"/>
  <c r="B230" i="5"/>
  <c r="A230" i="5"/>
  <c r="E229" i="5"/>
  <c r="C229" i="5"/>
  <c r="B229" i="5"/>
  <c r="A229" i="5"/>
  <c r="E228" i="5"/>
  <c r="C228" i="5"/>
  <c r="B228" i="5"/>
  <c r="A228" i="5"/>
  <c r="E227" i="5"/>
  <c r="C227" i="5"/>
  <c r="B227" i="5"/>
  <c r="A227" i="5"/>
  <c r="E226" i="5"/>
  <c r="C226" i="5"/>
  <c r="B226" i="5"/>
  <c r="A226" i="5"/>
  <c r="E225" i="5"/>
  <c r="C225" i="5"/>
  <c r="B225" i="5"/>
  <c r="A225" i="5"/>
  <c r="E224" i="5"/>
  <c r="C224" i="5"/>
  <c r="B224" i="5"/>
  <c r="A224" i="5"/>
  <c r="E223" i="5"/>
  <c r="C223" i="5"/>
  <c r="B223" i="5"/>
  <c r="A223" i="5"/>
  <c r="E222" i="5"/>
  <c r="C222" i="5"/>
  <c r="B222" i="5"/>
  <c r="A222" i="5"/>
  <c r="E221" i="5"/>
  <c r="C221" i="5"/>
  <c r="B221" i="5"/>
  <c r="A221" i="5"/>
  <c r="E220" i="5"/>
  <c r="C220" i="5"/>
  <c r="B220" i="5"/>
  <c r="A220" i="5"/>
  <c r="E219" i="5"/>
  <c r="C219" i="5"/>
  <c r="B219" i="5"/>
  <c r="A219" i="5"/>
  <c r="E218" i="5"/>
  <c r="C218" i="5"/>
  <c r="B218" i="5"/>
  <c r="A218" i="5"/>
  <c r="E217" i="5"/>
  <c r="C217" i="5"/>
  <c r="B217" i="5"/>
  <c r="A217" i="5"/>
  <c r="E216" i="5"/>
  <c r="C216" i="5"/>
  <c r="B216" i="5"/>
  <c r="A216" i="5"/>
  <c r="E215" i="5"/>
  <c r="C215" i="5"/>
  <c r="B215" i="5"/>
  <c r="A215" i="5"/>
  <c r="E214" i="5"/>
  <c r="C214" i="5"/>
  <c r="B214" i="5"/>
  <c r="A214" i="5"/>
  <c r="E213" i="5"/>
  <c r="C213" i="5"/>
  <c r="B213" i="5"/>
  <c r="A213" i="5"/>
  <c r="E212" i="5"/>
  <c r="C212" i="5"/>
  <c r="B212" i="5"/>
  <c r="A212" i="5"/>
  <c r="E211" i="5"/>
  <c r="C211" i="5"/>
  <c r="B211" i="5"/>
  <c r="A211" i="5"/>
  <c r="E210" i="5"/>
  <c r="C210" i="5"/>
  <c r="B210" i="5"/>
  <c r="A210" i="5"/>
  <c r="E209" i="5"/>
  <c r="C209" i="5"/>
  <c r="B209" i="5"/>
  <c r="A209" i="5"/>
  <c r="E208" i="5"/>
  <c r="C208" i="5"/>
  <c r="B208" i="5"/>
  <c r="A208" i="5"/>
  <c r="E207" i="5"/>
  <c r="C207" i="5"/>
  <c r="B207" i="5"/>
  <c r="A207" i="5"/>
  <c r="E206" i="5"/>
  <c r="C206" i="5"/>
  <c r="B206" i="5"/>
  <c r="A206" i="5"/>
  <c r="E205" i="5"/>
  <c r="C205" i="5"/>
  <c r="B205" i="5"/>
  <c r="A205" i="5"/>
  <c r="E204" i="5"/>
  <c r="C204" i="5"/>
  <c r="B204" i="5"/>
  <c r="A204" i="5"/>
  <c r="E203" i="5"/>
  <c r="C203" i="5"/>
  <c r="B203" i="5"/>
  <c r="A203" i="5"/>
  <c r="E202" i="5"/>
  <c r="C202" i="5"/>
  <c r="B202" i="5"/>
  <c r="A202" i="5"/>
  <c r="E201" i="5"/>
  <c r="C201" i="5"/>
  <c r="B201" i="5"/>
  <c r="A201" i="5"/>
  <c r="E200" i="5"/>
  <c r="C200" i="5"/>
  <c r="B200" i="5"/>
  <c r="A200" i="5"/>
  <c r="E199" i="5"/>
  <c r="C199" i="5"/>
  <c r="B199" i="5"/>
  <c r="A199" i="5"/>
  <c r="E198" i="5"/>
  <c r="C198" i="5"/>
  <c r="B198" i="5"/>
  <c r="A198" i="5"/>
  <c r="E197" i="5"/>
  <c r="C197" i="5"/>
  <c r="B197" i="5"/>
  <c r="A197" i="5"/>
  <c r="E196" i="5"/>
  <c r="C196" i="5"/>
  <c r="B196" i="5"/>
  <c r="A196" i="5"/>
  <c r="E195" i="5"/>
  <c r="C195" i="5"/>
  <c r="B195" i="5"/>
  <c r="A195" i="5"/>
  <c r="E194" i="5"/>
  <c r="C194" i="5"/>
  <c r="B194" i="5"/>
  <c r="A194" i="5"/>
  <c r="E193" i="5"/>
  <c r="C193" i="5"/>
  <c r="B193" i="5"/>
  <c r="A193" i="5"/>
  <c r="E192" i="5"/>
  <c r="C192" i="5"/>
  <c r="B192" i="5"/>
  <c r="A192" i="5"/>
  <c r="E191" i="5"/>
  <c r="C191" i="5"/>
  <c r="B191" i="5"/>
  <c r="A191" i="5"/>
  <c r="E190" i="5"/>
  <c r="C190" i="5"/>
  <c r="B190" i="5"/>
  <c r="A190" i="5"/>
  <c r="E189" i="5"/>
  <c r="C189" i="5"/>
  <c r="B189" i="5"/>
  <c r="A189" i="5"/>
  <c r="E188" i="5"/>
  <c r="C188" i="5"/>
  <c r="B188" i="5"/>
  <c r="A188" i="5"/>
  <c r="E187" i="5"/>
  <c r="C187" i="5"/>
  <c r="B187" i="5"/>
  <c r="A187" i="5"/>
  <c r="E186" i="5"/>
  <c r="C186" i="5"/>
  <c r="B186" i="5"/>
  <c r="A186" i="5"/>
  <c r="E185" i="5"/>
  <c r="C185" i="5"/>
  <c r="B185" i="5"/>
  <c r="A185" i="5"/>
  <c r="E184" i="5"/>
  <c r="C184" i="5"/>
  <c r="B184" i="5"/>
  <c r="A184" i="5"/>
  <c r="E183" i="5"/>
  <c r="C183" i="5"/>
  <c r="B183" i="5"/>
  <c r="A183" i="5"/>
  <c r="E182" i="5"/>
  <c r="C182" i="5"/>
  <c r="B182" i="5"/>
  <c r="A182" i="5"/>
  <c r="E181" i="5"/>
  <c r="C181" i="5"/>
  <c r="B181" i="5"/>
  <c r="A181" i="5"/>
  <c r="E180" i="5"/>
  <c r="C180" i="5"/>
  <c r="B180" i="5"/>
  <c r="A180" i="5"/>
  <c r="E179" i="5"/>
  <c r="C179" i="5"/>
  <c r="B179" i="5"/>
  <c r="A179" i="5"/>
  <c r="E178" i="5"/>
  <c r="C178" i="5"/>
  <c r="B178" i="5"/>
  <c r="A178" i="5"/>
  <c r="E177" i="5"/>
  <c r="C177" i="5"/>
  <c r="B177" i="5"/>
  <c r="A177" i="5"/>
  <c r="E176" i="5"/>
  <c r="C176" i="5"/>
  <c r="B176" i="5"/>
  <c r="A176" i="5"/>
  <c r="E175" i="5"/>
  <c r="C175" i="5"/>
  <c r="B175" i="5"/>
  <c r="A175" i="5"/>
  <c r="E174" i="5"/>
  <c r="C174" i="5"/>
  <c r="B174" i="5"/>
  <c r="A174" i="5"/>
  <c r="E173" i="5"/>
  <c r="C173" i="5"/>
  <c r="B173" i="5"/>
  <c r="A173" i="5"/>
  <c r="E172" i="5"/>
  <c r="C172" i="5"/>
  <c r="B172" i="5"/>
  <c r="A172" i="5"/>
  <c r="E171" i="5"/>
  <c r="C171" i="5"/>
  <c r="B171" i="5"/>
  <c r="A171" i="5"/>
  <c r="E170" i="5"/>
  <c r="C170" i="5"/>
  <c r="B170" i="5"/>
  <c r="A170" i="5"/>
  <c r="E169" i="5"/>
  <c r="C169" i="5"/>
  <c r="B169" i="5"/>
  <c r="A169" i="5"/>
  <c r="E168" i="5"/>
  <c r="C168" i="5"/>
  <c r="B168" i="5"/>
  <c r="A168" i="5"/>
  <c r="E167" i="5"/>
  <c r="C167" i="5"/>
  <c r="B167" i="5"/>
  <c r="A167" i="5"/>
  <c r="E166" i="5"/>
  <c r="C166" i="5"/>
  <c r="B166" i="5"/>
  <c r="A166" i="5"/>
  <c r="E165" i="5"/>
  <c r="C165" i="5"/>
  <c r="B165" i="5"/>
  <c r="A165" i="5"/>
  <c r="E164" i="5"/>
  <c r="C164" i="5"/>
  <c r="B164" i="5"/>
  <c r="A164" i="5"/>
  <c r="E163" i="5"/>
  <c r="C163" i="5"/>
  <c r="B163" i="5"/>
  <c r="A163" i="5"/>
  <c r="E162" i="5"/>
  <c r="C162" i="5"/>
  <c r="B162" i="5"/>
  <c r="A162" i="5"/>
  <c r="E161" i="5"/>
  <c r="C161" i="5"/>
  <c r="B161" i="5"/>
  <c r="A161" i="5"/>
  <c r="E160" i="5"/>
  <c r="C160" i="5"/>
  <c r="B160" i="5"/>
  <c r="A160" i="5"/>
  <c r="E159" i="5"/>
  <c r="C159" i="5"/>
  <c r="B159" i="5"/>
  <c r="A159" i="5"/>
  <c r="E158" i="5"/>
  <c r="C158" i="5"/>
  <c r="B158" i="5"/>
  <c r="A158" i="5"/>
  <c r="E157" i="5"/>
  <c r="C157" i="5"/>
  <c r="B157" i="5"/>
  <c r="A157" i="5"/>
  <c r="E156" i="5"/>
  <c r="C156" i="5"/>
  <c r="B156" i="5"/>
  <c r="A156" i="5"/>
  <c r="E155" i="5"/>
  <c r="C155" i="5"/>
  <c r="B155" i="5"/>
  <c r="A155" i="5"/>
  <c r="E154" i="5"/>
  <c r="C154" i="5"/>
  <c r="B154" i="5"/>
  <c r="A154" i="5"/>
  <c r="E153" i="5"/>
  <c r="C153" i="5"/>
  <c r="B153" i="5"/>
  <c r="A153" i="5"/>
  <c r="E152" i="5"/>
  <c r="C152" i="5"/>
  <c r="B152" i="5"/>
  <c r="A152" i="5"/>
  <c r="E151" i="5"/>
  <c r="C151" i="5"/>
  <c r="B151" i="5"/>
  <c r="A151" i="5"/>
  <c r="E150" i="5"/>
  <c r="C150" i="5"/>
  <c r="B150" i="5"/>
  <c r="A150" i="5"/>
  <c r="E149" i="5"/>
  <c r="C149" i="5"/>
  <c r="B149" i="5"/>
  <c r="A149" i="5"/>
  <c r="E148" i="5"/>
  <c r="C148" i="5"/>
  <c r="B148" i="5"/>
  <c r="A148" i="5"/>
  <c r="E147" i="5"/>
  <c r="C147" i="5"/>
  <c r="B147" i="5"/>
  <c r="A147" i="5"/>
  <c r="E146" i="5"/>
  <c r="C146" i="5"/>
  <c r="B146" i="5"/>
  <c r="A146" i="5"/>
  <c r="E145" i="5"/>
  <c r="C145" i="5"/>
  <c r="B145" i="5"/>
  <c r="A145" i="5"/>
  <c r="E144" i="5"/>
  <c r="C144" i="5"/>
  <c r="B144" i="5"/>
  <c r="A144" i="5"/>
  <c r="E143" i="5"/>
  <c r="C143" i="5"/>
  <c r="B143" i="5"/>
  <c r="A143" i="5"/>
  <c r="E142" i="5"/>
  <c r="C142" i="5"/>
  <c r="B142" i="5"/>
  <c r="A142" i="5"/>
  <c r="E141" i="5"/>
  <c r="C141" i="5"/>
  <c r="B141" i="5"/>
  <c r="A141" i="5"/>
  <c r="E140" i="5"/>
  <c r="C140" i="5"/>
  <c r="B140" i="5"/>
  <c r="A140" i="5"/>
  <c r="E139" i="5"/>
  <c r="C139" i="5"/>
  <c r="B139" i="5"/>
  <c r="A139" i="5"/>
  <c r="E138" i="5"/>
  <c r="C138" i="5"/>
  <c r="B138" i="5"/>
  <c r="A138" i="5"/>
  <c r="E137" i="5"/>
  <c r="C137" i="5"/>
  <c r="B137" i="5"/>
  <c r="A137" i="5"/>
  <c r="E136" i="5"/>
  <c r="C136" i="5"/>
  <c r="B136" i="5"/>
  <c r="A136" i="5"/>
  <c r="E135" i="5"/>
  <c r="C135" i="5"/>
  <c r="B135" i="5"/>
  <c r="A135" i="5"/>
  <c r="E134" i="5"/>
  <c r="C134" i="5"/>
  <c r="B134" i="5"/>
  <c r="A134" i="5"/>
  <c r="E133" i="5"/>
  <c r="C133" i="5"/>
  <c r="B133" i="5"/>
  <c r="A133" i="5"/>
  <c r="E132" i="5"/>
  <c r="C132" i="5"/>
  <c r="B132" i="5"/>
  <c r="A132" i="5"/>
  <c r="E131" i="5"/>
  <c r="C131" i="5"/>
  <c r="B131" i="5"/>
  <c r="A131" i="5"/>
  <c r="E130" i="5"/>
  <c r="C130" i="5"/>
  <c r="B130" i="5"/>
  <c r="A130" i="5"/>
  <c r="E129" i="5"/>
  <c r="C129" i="5"/>
  <c r="B129" i="5"/>
  <c r="A129" i="5"/>
  <c r="E128" i="5"/>
  <c r="C128" i="5"/>
  <c r="B128" i="5"/>
  <c r="A128" i="5"/>
  <c r="E127" i="5"/>
  <c r="C127" i="5"/>
  <c r="B127" i="5"/>
  <c r="A127" i="5"/>
  <c r="E126" i="5"/>
  <c r="C126" i="5"/>
  <c r="B126" i="5"/>
  <c r="A126" i="5"/>
  <c r="E125" i="5"/>
  <c r="C125" i="5"/>
  <c r="B125" i="5"/>
  <c r="A125" i="5"/>
  <c r="E124" i="5"/>
  <c r="C124" i="5"/>
  <c r="B124" i="5"/>
  <c r="A124" i="5"/>
  <c r="E123" i="5"/>
  <c r="C123" i="5"/>
  <c r="B123" i="5"/>
  <c r="A123" i="5"/>
  <c r="E122" i="5"/>
  <c r="C122" i="5"/>
  <c r="B122" i="5"/>
  <c r="A122" i="5"/>
  <c r="E121" i="5"/>
  <c r="C121" i="5"/>
  <c r="B121" i="5"/>
  <c r="A121" i="5"/>
  <c r="E120" i="5"/>
  <c r="C120" i="5"/>
  <c r="B120" i="5"/>
  <c r="A120" i="5"/>
  <c r="E119" i="5"/>
  <c r="C119" i="5"/>
  <c r="B119" i="5"/>
  <c r="A119" i="5"/>
  <c r="E118" i="5"/>
  <c r="C118" i="5"/>
  <c r="B118" i="5"/>
  <c r="A118" i="5"/>
  <c r="E117" i="5"/>
  <c r="C117" i="5"/>
  <c r="B117" i="5"/>
  <c r="A117" i="5"/>
  <c r="E116" i="5"/>
  <c r="C116" i="5"/>
  <c r="B116" i="5"/>
  <c r="A116" i="5"/>
  <c r="E115" i="5"/>
  <c r="C115" i="5"/>
  <c r="B115" i="5"/>
  <c r="A115" i="5"/>
  <c r="E114" i="5"/>
  <c r="C114" i="5"/>
  <c r="B114" i="5"/>
  <c r="A114" i="5"/>
  <c r="E113" i="5"/>
  <c r="C113" i="5"/>
  <c r="B113" i="5"/>
  <c r="A113" i="5"/>
  <c r="E112" i="5"/>
  <c r="C112" i="5"/>
  <c r="B112" i="5"/>
  <c r="A112" i="5"/>
  <c r="E111" i="5"/>
  <c r="C111" i="5"/>
  <c r="B111" i="5"/>
  <c r="A111" i="5"/>
  <c r="E110" i="5"/>
  <c r="C110" i="5"/>
  <c r="B110" i="5"/>
  <c r="A110" i="5"/>
  <c r="E109" i="5"/>
  <c r="C109" i="5"/>
  <c r="B109" i="5"/>
  <c r="A109" i="5"/>
  <c r="E108" i="5"/>
  <c r="C108" i="5"/>
  <c r="B108" i="5"/>
  <c r="A108" i="5"/>
  <c r="E107" i="5"/>
  <c r="C107" i="5"/>
  <c r="B107" i="5"/>
  <c r="A107" i="5"/>
  <c r="E106" i="5"/>
  <c r="C106" i="5"/>
  <c r="B106" i="5"/>
  <c r="A106" i="5"/>
  <c r="E105" i="5"/>
  <c r="C105" i="5"/>
  <c r="B105" i="5"/>
  <c r="A105" i="5"/>
  <c r="E104" i="5"/>
  <c r="C104" i="5"/>
  <c r="B104" i="5"/>
  <c r="A104" i="5"/>
  <c r="E103" i="5"/>
  <c r="C103" i="5"/>
  <c r="B103" i="5"/>
  <c r="A103" i="5"/>
  <c r="E102" i="5"/>
  <c r="C102" i="5"/>
  <c r="B102" i="5"/>
  <c r="A102" i="5"/>
  <c r="E101" i="5"/>
  <c r="C101" i="5"/>
  <c r="B101" i="5"/>
  <c r="A101" i="5"/>
  <c r="E100" i="5"/>
  <c r="C100" i="5"/>
  <c r="B100" i="5"/>
  <c r="A100" i="5"/>
  <c r="E99" i="5"/>
  <c r="C99" i="5"/>
  <c r="B99" i="5"/>
  <c r="A99" i="5"/>
  <c r="E98" i="5"/>
  <c r="C98" i="5"/>
  <c r="B98" i="5"/>
  <c r="A98" i="5"/>
  <c r="E97" i="5"/>
  <c r="C97" i="5"/>
  <c r="B97" i="5"/>
  <c r="A97" i="5"/>
  <c r="E96" i="5"/>
  <c r="C96" i="5"/>
  <c r="B96" i="5"/>
  <c r="A96" i="5"/>
  <c r="E95" i="5"/>
  <c r="C95" i="5"/>
  <c r="B95" i="5"/>
  <c r="A95" i="5"/>
  <c r="E94" i="5"/>
  <c r="C94" i="5"/>
  <c r="B94" i="5"/>
  <c r="A94" i="5"/>
  <c r="E93" i="5"/>
  <c r="C93" i="5"/>
  <c r="B93" i="5"/>
  <c r="A93" i="5"/>
  <c r="E92" i="5"/>
  <c r="C92" i="5"/>
  <c r="B92" i="5"/>
  <c r="A92" i="5"/>
  <c r="E91" i="5"/>
  <c r="C91" i="5"/>
  <c r="B91" i="5"/>
  <c r="A91" i="5"/>
  <c r="E90" i="5"/>
  <c r="C90" i="5"/>
  <c r="B90" i="5"/>
  <c r="A90" i="5"/>
  <c r="E89" i="5"/>
  <c r="C89" i="5"/>
  <c r="B89" i="5"/>
  <c r="A89" i="5"/>
  <c r="E88" i="5"/>
  <c r="C88" i="5"/>
  <c r="B88" i="5"/>
  <c r="A88" i="5"/>
  <c r="E87" i="5"/>
  <c r="C87" i="5"/>
  <c r="B87" i="5"/>
  <c r="A87" i="5"/>
  <c r="E86" i="5"/>
  <c r="C86" i="5"/>
  <c r="B86" i="5"/>
  <c r="A86" i="5"/>
  <c r="E85" i="5"/>
  <c r="C85" i="5"/>
  <c r="B85" i="5"/>
  <c r="A85" i="5"/>
  <c r="E84" i="5"/>
  <c r="C84" i="5"/>
  <c r="B84" i="5"/>
  <c r="A84" i="5"/>
  <c r="E83" i="5"/>
  <c r="C83" i="5"/>
  <c r="B83" i="5"/>
  <c r="A83" i="5"/>
  <c r="E82" i="5"/>
  <c r="C82" i="5"/>
  <c r="B82" i="5"/>
  <c r="A82" i="5"/>
  <c r="E81" i="5"/>
  <c r="C81" i="5"/>
  <c r="B81" i="5"/>
  <c r="A81" i="5"/>
  <c r="E80" i="5"/>
  <c r="C80" i="5"/>
  <c r="B80" i="5"/>
  <c r="A80" i="5"/>
  <c r="E79" i="5"/>
  <c r="C79" i="5"/>
  <c r="B79" i="5"/>
  <c r="A79" i="5"/>
  <c r="E78" i="5"/>
  <c r="C78" i="5"/>
  <c r="B78" i="5"/>
  <c r="A78" i="5"/>
  <c r="E77" i="5"/>
  <c r="C77" i="5"/>
  <c r="B77" i="5"/>
  <c r="A77" i="5"/>
  <c r="E76" i="5"/>
  <c r="C76" i="5"/>
  <c r="B76" i="5"/>
  <c r="A76" i="5"/>
  <c r="E75" i="5"/>
  <c r="C75" i="5"/>
  <c r="B75" i="5"/>
  <c r="A75" i="5"/>
  <c r="E74" i="5"/>
  <c r="C74" i="5"/>
  <c r="B74" i="5"/>
  <c r="A74" i="5"/>
  <c r="E73" i="5"/>
  <c r="C73" i="5"/>
  <c r="B73" i="5"/>
  <c r="A73" i="5"/>
  <c r="E72" i="5"/>
  <c r="C72" i="5"/>
  <c r="B72" i="5"/>
  <c r="A72" i="5"/>
  <c r="E71" i="5"/>
  <c r="C71" i="5"/>
  <c r="B71" i="5"/>
  <c r="A71" i="5"/>
  <c r="E70" i="5"/>
  <c r="C70" i="5"/>
  <c r="B70" i="5"/>
  <c r="A70" i="5"/>
  <c r="E69" i="5"/>
  <c r="C69" i="5"/>
  <c r="B69" i="5"/>
  <c r="A69" i="5"/>
  <c r="E68" i="5"/>
  <c r="C68" i="5"/>
  <c r="B68" i="5"/>
  <c r="A68" i="5"/>
  <c r="E67" i="5"/>
  <c r="C67" i="5"/>
  <c r="B67" i="5"/>
  <c r="A67" i="5"/>
  <c r="E66" i="5"/>
  <c r="C66" i="5"/>
  <c r="B66" i="5"/>
  <c r="A66" i="5"/>
  <c r="E65" i="5"/>
  <c r="C65" i="5"/>
  <c r="B65" i="5"/>
  <c r="A65" i="5"/>
  <c r="E64" i="5"/>
  <c r="C64" i="5"/>
  <c r="B64" i="5"/>
  <c r="A64" i="5"/>
  <c r="E63" i="5"/>
  <c r="C63" i="5"/>
  <c r="B63" i="5"/>
  <c r="A63" i="5"/>
  <c r="E62" i="5"/>
  <c r="C62" i="5"/>
  <c r="B62" i="5"/>
  <c r="A62" i="5"/>
  <c r="E61" i="5"/>
  <c r="C61" i="5"/>
  <c r="B61" i="5"/>
  <c r="A61" i="5"/>
  <c r="E60" i="5"/>
  <c r="C60" i="5"/>
  <c r="B60" i="5"/>
  <c r="A60" i="5"/>
  <c r="E59" i="5"/>
  <c r="C59" i="5"/>
  <c r="B59" i="5"/>
  <c r="A59" i="5"/>
  <c r="E58" i="5"/>
  <c r="C58" i="5"/>
  <c r="B58" i="5"/>
  <c r="A58" i="5"/>
  <c r="E57" i="5"/>
  <c r="C57" i="5"/>
  <c r="B57" i="5"/>
  <c r="A57" i="5"/>
  <c r="E56" i="5"/>
  <c r="C56" i="5"/>
  <c r="B56" i="5"/>
  <c r="A56" i="5"/>
  <c r="E55" i="5"/>
  <c r="C55" i="5"/>
  <c r="B55" i="5"/>
  <c r="A55" i="5"/>
  <c r="E54" i="5"/>
  <c r="C54" i="5"/>
  <c r="B54" i="5"/>
  <c r="A54" i="5"/>
  <c r="E53" i="5"/>
  <c r="C53" i="5"/>
  <c r="B53" i="5"/>
  <c r="A53" i="5"/>
  <c r="E52" i="5"/>
  <c r="C52" i="5"/>
  <c r="B52" i="5"/>
  <c r="A52" i="5"/>
  <c r="E51" i="5"/>
  <c r="C51" i="5"/>
  <c r="B51" i="5"/>
  <c r="A51" i="5"/>
  <c r="E50" i="5"/>
  <c r="C50" i="5"/>
  <c r="B50" i="5"/>
  <c r="A50" i="5"/>
  <c r="E49" i="5"/>
  <c r="C49" i="5"/>
  <c r="B49" i="5"/>
  <c r="A49" i="5"/>
  <c r="E48" i="5"/>
  <c r="C48" i="5"/>
  <c r="B48" i="5"/>
  <c r="A48" i="5"/>
  <c r="E47" i="5"/>
  <c r="C47" i="5"/>
  <c r="B47" i="5"/>
  <c r="A47" i="5"/>
  <c r="E46" i="5"/>
  <c r="C46" i="5"/>
  <c r="B46" i="5"/>
  <c r="A46" i="5"/>
  <c r="E45" i="5"/>
  <c r="C45" i="5"/>
  <c r="B45" i="5"/>
  <c r="A45" i="5"/>
  <c r="E44" i="5"/>
  <c r="C44" i="5"/>
  <c r="B44" i="5"/>
  <c r="A44" i="5"/>
  <c r="E43" i="5"/>
  <c r="C43" i="5"/>
  <c r="B43" i="5"/>
  <c r="A43" i="5"/>
  <c r="E42" i="5"/>
  <c r="C42" i="5"/>
  <c r="B42" i="5"/>
  <c r="A42" i="5"/>
  <c r="E41" i="5"/>
  <c r="C41" i="5"/>
  <c r="B41" i="5"/>
  <c r="A41" i="5"/>
  <c r="E40" i="5"/>
  <c r="C40" i="5"/>
  <c r="B40" i="5"/>
  <c r="A40" i="5"/>
  <c r="E39" i="5"/>
  <c r="C39" i="5"/>
  <c r="B39" i="5"/>
  <c r="A39" i="5"/>
  <c r="E38" i="5"/>
  <c r="C38" i="5"/>
  <c r="B38" i="5"/>
  <c r="A38" i="5"/>
  <c r="E37" i="5"/>
  <c r="C37" i="5"/>
  <c r="B37" i="5"/>
  <c r="A37" i="5"/>
  <c r="E36" i="5"/>
  <c r="C36" i="5"/>
  <c r="B36" i="5"/>
  <c r="A36" i="5"/>
  <c r="E35" i="5"/>
  <c r="C35" i="5"/>
  <c r="B35" i="5"/>
  <c r="A35" i="5"/>
  <c r="E34" i="5"/>
  <c r="C34" i="5"/>
  <c r="B34" i="5"/>
  <c r="A34" i="5"/>
  <c r="E33" i="5"/>
  <c r="C33" i="5"/>
  <c r="B33" i="5"/>
  <c r="A33" i="5"/>
  <c r="E32" i="5"/>
  <c r="C32" i="5"/>
  <c r="B32" i="5"/>
  <c r="A32" i="5"/>
  <c r="E31" i="5"/>
  <c r="C31" i="5"/>
  <c r="B31" i="5"/>
  <c r="A31" i="5"/>
  <c r="E30" i="5"/>
  <c r="C30" i="5"/>
  <c r="B30" i="5"/>
  <c r="A30" i="5"/>
  <c r="E29" i="5"/>
  <c r="C29" i="5"/>
  <c r="B29" i="5"/>
  <c r="A29" i="5"/>
  <c r="E28" i="5"/>
  <c r="C28" i="5"/>
  <c r="B28" i="5"/>
  <c r="A28" i="5"/>
  <c r="E27" i="5"/>
  <c r="C27" i="5"/>
  <c r="B27" i="5"/>
  <c r="A27" i="5"/>
  <c r="E26" i="5"/>
  <c r="C26" i="5"/>
  <c r="B26" i="5"/>
  <c r="A26" i="5"/>
  <c r="E25" i="5"/>
  <c r="C25" i="5"/>
  <c r="B25" i="5"/>
  <c r="A25" i="5"/>
  <c r="E24" i="5"/>
  <c r="C24" i="5"/>
  <c r="B24" i="5"/>
  <c r="A24" i="5"/>
  <c r="E23" i="5"/>
  <c r="C23" i="5"/>
  <c r="B23" i="5"/>
  <c r="A23" i="5"/>
  <c r="E22" i="5"/>
  <c r="C22" i="5"/>
  <c r="B22" i="5"/>
  <c r="A22" i="5"/>
  <c r="E21" i="5"/>
  <c r="C21" i="5"/>
  <c r="B21" i="5"/>
  <c r="A21" i="5"/>
  <c r="E20" i="5"/>
  <c r="C20" i="5"/>
  <c r="B20" i="5"/>
  <c r="A20" i="5"/>
  <c r="E19" i="5"/>
  <c r="C19" i="5"/>
  <c r="B19" i="5"/>
  <c r="A19" i="5"/>
  <c r="E18" i="5"/>
  <c r="C18" i="5"/>
  <c r="B18" i="5"/>
  <c r="A18" i="5"/>
  <c r="E17" i="5"/>
  <c r="C17" i="5"/>
  <c r="B17" i="5"/>
  <c r="A17" i="5"/>
  <c r="E16" i="5"/>
  <c r="C16" i="5"/>
  <c r="B16" i="5"/>
  <c r="A16" i="5"/>
  <c r="E15" i="5"/>
  <c r="C15" i="5"/>
  <c r="B15" i="5"/>
  <c r="A15" i="5"/>
  <c r="E14" i="5"/>
  <c r="C14" i="5"/>
  <c r="B14" i="5"/>
  <c r="A14" i="5"/>
  <c r="E13" i="5"/>
  <c r="C13" i="5"/>
  <c r="B13" i="5"/>
  <c r="A13" i="5"/>
  <c r="E12" i="5"/>
  <c r="C12" i="5"/>
  <c r="B12" i="5"/>
  <c r="A12" i="5"/>
  <c r="E11" i="5"/>
  <c r="C11" i="5"/>
  <c r="B11" i="5"/>
  <c r="A11" i="5"/>
  <c r="E10" i="5"/>
  <c r="C10" i="5"/>
  <c r="B10" i="5"/>
  <c r="A10" i="5"/>
  <c r="E9" i="5"/>
  <c r="C9" i="5"/>
  <c r="B9" i="5"/>
  <c r="A9" i="5"/>
  <c r="E8" i="5"/>
  <c r="C8" i="5"/>
  <c r="B8" i="5"/>
  <c r="A8" i="5"/>
  <c r="E7" i="5"/>
  <c r="C7" i="5"/>
  <c r="B7" i="5"/>
  <c r="A7" i="5"/>
  <c r="E6" i="5"/>
  <c r="C6" i="5"/>
  <c r="B6" i="5"/>
  <c r="A6" i="5"/>
  <c r="E5" i="5"/>
  <c r="C5" i="5"/>
  <c r="B5" i="5"/>
  <c r="A5" i="5"/>
  <c r="E4" i="5"/>
  <c r="C4" i="5"/>
  <c r="B4" i="5"/>
  <c r="A4" i="5"/>
  <c r="E3" i="5"/>
  <c r="C3" i="5"/>
  <c r="B3" i="5"/>
  <c r="A3" i="5"/>
  <c r="E2" i="5"/>
  <c r="C2" i="5"/>
  <c r="B2" i="5"/>
  <c r="A2" i="5"/>
  <c r="M1001" i="4"/>
  <c r="L1001" i="4"/>
  <c r="M1000" i="4"/>
  <c r="L1000" i="4"/>
  <c r="M999" i="4"/>
  <c r="L999" i="4"/>
  <c r="M998" i="4"/>
  <c r="L998" i="4"/>
  <c r="M997" i="4"/>
  <c r="L997" i="4"/>
  <c r="M996" i="4"/>
  <c r="L996" i="4"/>
  <c r="M995" i="4"/>
  <c r="L995" i="4"/>
  <c r="M994" i="4"/>
  <c r="L994" i="4"/>
  <c r="M993" i="4"/>
  <c r="L993" i="4"/>
  <c r="M992" i="4"/>
  <c r="L992" i="4"/>
  <c r="M991" i="4"/>
  <c r="L991" i="4"/>
  <c r="M990" i="4"/>
  <c r="L990" i="4"/>
  <c r="M989" i="4"/>
  <c r="L989" i="4"/>
  <c r="M988" i="4"/>
  <c r="L988" i="4"/>
  <c r="M987" i="4"/>
  <c r="L987" i="4"/>
  <c r="M986" i="4"/>
  <c r="L986" i="4"/>
  <c r="M985" i="4"/>
  <c r="L985" i="4"/>
  <c r="M984" i="4"/>
  <c r="L984" i="4"/>
  <c r="M983" i="4"/>
  <c r="L983" i="4"/>
  <c r="M982" i="4"/>
  <c r="L982" i="4"/>
  <c r="M981" i="4"/>
  <c r="L981" i="4"/>
  <c r="M980" i="4"/>
  <c r="L980" i="4"/>
  <c r="M979" i="4"/>
  <c r="L979" i="4"/>
  <c r="M978" i="4"/>
  <c r="L978" i="4"/>
  <c r="M977" i="4"/>
  <c r="L977" i="4"/>
  <c r="M976" i="4"/>
  <c r="L976" i="4"/>
  <c r="M975" i="4"/>
  <c r="L975" i="4"/>
  <c r="M974" i="4"/>
  <c r="L974" i="4"/>
  <c r="M973" i="4"/>
  <c r="L973" i="4"/>
  <c r="M972" i="4"/>
  <c r="L972" i="4"/>
  <c r="M971" i="4"/>
  <c r="L971" i="4"/>
  <c r="M970" i="4"/>
  <c r="L970" i="4"/>
  <c r="M969" i="4"/>
  <c r="L969" i="4"/>
  <c r="M968" i="4"/>
  <c r="L968" i="4"/>
  <c r="M967" i="4"/>
  <c r="L967" i="4"/>
  <c r="M966" i="4"/>
  <c r="L966" i="4"/>
  <c r="M965" i="4"/>
  <c r="L965" i="4"/>
  <c r="M964" i="4"/>
  <c r="L964" i="4"/>
  <c r="M963" i="4"/>
  <c r="L963" i="4"/>
  <c r="M962" i="4"/>
  <c r="L962" i="4"/>
  <c r="M961" i="4"/>
  <c r="L961" i="4"/>
  <c r="M960" i="4"/>
  <c r="L960" i="4"/>
  <c r="M959" i="4"/>
  <c r="L959" i="4"/>
  <c r="M958" i="4"/>
  <c r="L958" i="4"/>
  <c r="M957" i="4"/>
  <c r="L957" i="4"/>
  <c r="M956" i="4"/>
  <c r="L956" i="4"/>
  <c r="M955" i="4"/>
  <c r="L955" i="4"/>
  <c r="M954" i="4"/>
  <c r="L954" i="4"/>
  <c r="M953" i="4"/>
  <c r="L953" i="4"/>
  <c r="M952" i="4"/>
  <c r="L952" i="4"/>
  <c r="M951" i="4"/>
  <c r="L951" i="4"/>
  <c r="M950" i="4"/>
  <c r="L950" i="4"/>
  <c r="M949" i="4"/>
  <c r="L949" i="4"/>
  <c r="M948" i="4"/>
  <c r="L948" i="4"/>
  <c r="M947" i="4"/>
  <c r="L947" i="4"/>
  <c r="M946" i="4"/>
  <c r="L946" i="4"/>
  <c r="M945" i="4"/>
  <c r="L945" i="4"/>
  <c r="M944" i="4"/>
  <c r="L944" i="4"/>
  <c r="M943" i="4"/>
  <c r="L943" i="4"/>
  <c r="M942" i="4"/>
  <c r="L942" i="4"/>
  <c r="M941" i="4"/>
  <c r="L941" i="4"/>
  <c r="M940" i="4"/>
  <c r="L940" i="4"/>
  <c r="M939" i="4"/>
  <c r="L939" i="4"/>
  <c r="M938" i="4"/>
  <c r="L938" i="4"/>
  <c r="M937" i="4"/>
  <c r="L937" i="4"/>
  <c r="M936" i="4"/>
  <c r="L936" i="4"/>
  <c r="M935" i="4"/>
  <c r="L935" i="4"/>
  <c r="M934" i="4"/>
  <c r="L934" i="4"/>
  <c r="M933" i="4"/>
  <c r="L933" i="4"/>
  <c r="M932" i="4"/>
  <c r="L932" i="4"/>
  <c r="M931" i="4"/>
  <c r="L931" i="4"/>
  <c r="M930" i="4"/>
  <c r="L930" i="4"/>
  <c r="M929" i="4"/>
  <c r="L929" i="4"/>
  <c r="M928" i="4"/>
  <c r="L928" i="4"/>
  <c r="M927" i="4"/>
  <c r="L927" i="4"/>
  <c r="M926" i="4"/>
  <c r="L926" i="4"/>
  <c r="M925" i="4"/>
  <c r="L925" i="4"/>
  <c r="M924" i="4"/>
  <c r="L924" i="4"/>
  <c r="M923" i="4"/>
  <c r="L923" i="4"/>
  <c r="M922" i="4"/>
  <c r="L922" i="4"/>
  <c r="M921" i="4"/>
  <c r="L921" i="4"/>
  <c r="M920" i="4"/>
  <c r="L920" i="4"/>
  <c r="M919" i="4"/>
  <c r="L919" i="4"/>
  <c r="M918" i="4"/>
  <c r="L918" i="4"/>
  <c r="M917" i="4"/>
  <c r="L917" i="4"/>
  <c r="M916" i="4"/>
  <c r="L916" i="4"/>
  <c r="M915" i="4"/>
  <c r="L915" i="4"/>
  <c r="M914" i="4"/>
  <c r="L914" i="4"/>
  <c r="M913" i="4"/>
  <c r="L913" i="4"/>
  <c r="M912" i="4"/>
  <c r="L912" i="4"/>
  <c r="M911" i="4"/>
  <c r="L911" i="4"/>
  <c r="M910" i="4"/>
  <c r="L910" i="4"/>
  <c r="M909" i="4"/>
  <c r="L909" i="4"/>
  <c r="M908" i="4"/>
  <c r="L908" i="4"/>
  <c r="M907" i="4"/>
  <c r="L907" i="4"/>
  <c r="M906" i="4"/>
  <c r="L906" i="4"/>
  <c r="M905" i="4"/>
  <c r="L905" i="4"/>
  <c r="M904" i="4"/>
  <c r="L904" i="4"/>
  <c r="M903" i="4"/>
  <c r="L903" i="4"/>
  <c r="M902" i="4"/>
  <c r="L902" i="4"/>
  <c r="M901" i="4"/>
  <c r="L901" i="4"/>
  <c r="M900" i="4"/>
  <c r="L900" i="4"/>
  <c r="M899" i="4"/>
  <c r="L899" i="4"/>
  <c r="M898" i="4"/>
  <c r="L898" i="4"/>
  <c r="M897" i="4"/>
  <c r="L897" i="4"/>
  <c r="M896" i="4"/>
  <c r="L896" i="4"/>
  <c r="M895" i="4"/>
  <c r="L895" i="4"/>
  <c r="M894" i="4"/>
  <c r="L894" i="4"/>
  <c r="M893" i="4"/>
  <c r="L893" i="4"/>
  <c r="M892" i="4"/>
  <c r="L892" i="4"/>
  <c r="M891" i="4"/>
  <c r="L891" i="4"/>
  <c r="M890" i="4"/>
  <c r="L890" i="4"/>
  <c r="M889" i="4"/>
  <c r="L889" i="4"/>
  <c r="M888" i="4"/>
  <c r="L888" i="4"/>
  <c r="M887" i="4"/>
  <c r="L887" i="4"/>
  <c r="M886" i="4"/>
  <c r="L886" i="4"/>
  <c r="M885" i="4"/>
  <c r="L885" i="4"/>
  <c r="M884" i="4"/>
  <c r="L884" i="4"/>
  <c r="M883" i="4"/>
  <c r="L883" i="4"/>
  <c r="M882" i="4"/>
  <c r="L882" i="4"/>
  <c r="M881" i="4"/>
  <c r="L881" i="4"/>
  <c r="M880" i="4"/>
  <c r="L880" i="4"/>
  <c r="M879" i="4"/>
  <c r="L879" i="4"/>
  <c r="M878" i="4"/>
  <c r="L878" i="4"/>
  <c r="M877" i="4"/>
  <c r="L877" i="4"/>
  <c r="M876" i="4"/>
  <c r="L876" i="4"/>
  <c r="M875" i="4"/>
  <c r="L875" i="4"/>
  <c r="M874" i="4"/>
  <c r="L874" i="4"/>
  <c r="M873" i="4"/>
  <c r="L873" i="4"/>
  <c r="M872" i="4"/>
  <c r="L872" i="4"/>
  <c r="M871" i="4"/>
  <c r="L871" i="4"/>
  <c r="M870" i="4"/>
  <c r="L870" i="4"/>
  <c r="M869" i="4"/>
  <c r="L869" i="4"/>
  <c r="M868" i="4"/>
  <c r="L868" i="4"/>
  <c r="M867" i="4"/>
  <c r="L867" i="4"/>
  <c r="M866" i="4"/>
  <c r="L866" i="4"/>
  <c r="M865" i="4"/>
  <c r="L865" i="4"/>
  <c r="M864" i="4"/>
  <c r="L864" i="4"/>
  <c r="M863" i="4"/>
  <c r="L863" i="4"/>
  <c r="M862" i="4"/>
  <c r="L862" i="4"/>
  <c r="M861" i="4"/>
  <c r="L861" i="4"/>
  <c r="M860" i="4"/>
  <c r="L860" i="4"/>
  <c r="M859" i="4"/>
  <c r="L859" i="4"/>
  <c r="M858" i="4"/>
  <c r="L858" i="4"/>
  <c r="M857" i="4"/>
  <c r="L857" i="4"/>
  <c r="M856" i="4"/>
  <c r="L856" i="4"/>
  <c r="M855" i="4"/>
  <c r="L855" i="4"/>
  <c r="M854" i="4"/>
  <c r="L854" i="4"/>
  <c r="M853" i="4"/>
  <c r="L853" i="4"/>
  <c r="M852" i="4"/>
  <c r="L852" i="4"/>
  <c r="M851" i="4"/>
  <c r="L851" i="4"/>
  <c r="M850" i="4"/>
  <c r="L850" i="4"/>
  <c r="M849" i="4"/>
  <c r="L849" i="4"/>
  <c r="M848" i="4"/>
  <c r="L848" i="4"/>
  <c r="M847" i="4"/>
  <c r="L847" i="4"/>
  <c r="M846" i="4"/>
  <c r="L846" i="4"/>
  <c r="M845" i="4"/>
  <c r="L845" i="4"/>
  <c r="M844" i="4"/>
  <c r="L844" i="4"/>
  <c r="M843" i="4"/>
  <c r="L843" i="4"/>
  <c r="M842" i="4"/>
  <c r="L842" i="4"/>
  <c r="M841" i="4"/>
  <c r="L841" i="4"/>
  <c r="M840" i="4"/>
  <c r="L840" i="4"/>
  <c r="M839" i="4"/>
  <c r="L839" i="4"/>
  <c r="M838" i="4"/>
  <c r="L838" i="4"/>
  <c r="M837" i="4"/>
  <c r="L837" i="4"/>
  <c r="M836" i="4"/>
  <c r="L836" i="4"/>
  <c r="M835" i="4"/>
  <c r="L835" i="4"/>
  <c r="M834" i="4"/>
  <c r="L834" i="4"/>
  <c r="M833" i="4"/>
  <c r="L833" i="4"/>
  <c r="M832" i="4"/>
  <c r="L832" i="4"/>
  <c r="M831" i="4"/>
  <c r="L831" i="4"/>
  <c r="M830" i="4"/>
  <c r="L830" i="4"/>
  <c r="M829" i="4"/>
  <c r="L829" i="4"/>
  <c r="M828" i="4"/>
  <c r="L828" i="4"/>
  <c r="M827" i="4"/>
  <c r="L827" i="4"/>
  <c r="M826" i="4"/>
  <c r="L826" i="4"/>
  <c r="M825" i="4"/>
  <c r="L825" i="4"/>
  <c r="M824" i="4"/>
  <c r="L824" i="4"/>
  <c r="M823" i="4"/>
  <c r="L823" i="4"/>
  <c r="M822" i="4"/>
  <c r="L822" i="4"/>
  <c r="M821" i="4"/>
  <c r="L821" i="4"/>
  <c r="M820" i="4"/>
  <c r="L820" i="4"/>
  <c r="M819" i="4"/>
  <c r="L819" i="4"/>
  <c r="M818" i="4"/>
  <c r="L818" i="4"/>
  <c r="M817" i="4"/>
  <c r="L817" i="4"/>
  <c r="M816" i="4"/>
  <c r="L816" i="4"/>
  <c r="M815" i="4"/>
  <c r="L815" i="4"/>
  <c r="M814" i="4"/>
  <c r="L814" i="4"/>
  <c r="M813" i="4"/>
  <c r="L813" i="4"/>
  <c r="M812" i="4"/>
  <c r="L812" i="4"/>
  <c r="M811" i="4"/>
  <c r="L811" i="4"/>
  <c r="M810" i="4"/>
  <c r="L810" i="4"/>
  <c r="M809" i="4"/>
  <c r="L809" i="4"/>
  <c r="M808" i="4"/>
  <c r="L808" i="4"/>
  <c r="M807" i="4"/>
  <c r="L807" i="4"/>
  <c r="M806" i="4"/>
  <c r="L806" i="4"/>
  <c r="M805" i="4"/>
  <c r="L805" i="4"/>
  <c r="M804" i="4"/>
  <c r="L804" i="4"/>
  <c r="M803" i="4"/>
  <c r="L803" i="4"/>
  <c r="M802" i="4"/>
  <c r="L802" i="4"/>
  <c r="M801" i="4"/>
  <c r="L801" i="4"/>
  <c r="M800" i="4"/>
  <c r="L800" i="4"/>
  <c r="M799" i="4"/>
  <c r="L799" i="4"/>
  <c r="M798" i="4"/>
  <c r="L798" i="4"/>
  <c r="M797" i="4"/>
  <c r="L797" i="4"/>
  <c r="M796" i="4"/>
  <c r="L796" i="4"/>
  <c r="M795" i="4"/>
  <c r="L795" i="4"/>
  <c r="M794" i="4"/>
  <c r="L794" i="4"/>
  <c r="M793" i="4"/>
  <c r="L793" i="4"/>
  <c r="M792" i="4"/>
  <c r="L792" i="4"/>
  <c r="M791" i="4"/>
  <c r="L791" i="4"/>
  <c r="M790" i="4"/>
  <c r="L790" i="4"/>
  <c r="M789" i="4"/>
  <c r="L789" i="4"/>
  <c r="M788" i="4"/>
  <c r="L788" i="4"/>
  <c r="M787" i="4"/>
  <c r="L787" i="4"/>
  <c r="M786" i="4"/>
  <c r="L786" i="4"/>
  <c r="M785" i="4"/>
  <c r="L785" i="4"/>
  <c r="M784" i="4"/>
  <c r="L784" i="4"/>
  <c r="M783" i="4"/>
  <c r="L783" i="4"/>
  <c r="M782" i="4"/>
  <c r="L782" i="4"/>
  <c r="M781" i="4"/>
  <c r="L781" i="4"/>
  <c r="M780" i="4"/>
  <c r="L780" i="4"/>
  <c r="M779" i="4"/>
  <c r="L779" i="4"/>
  <c r="M778" i="4"/>
  <c r="L778" i="4"/>
  <c r="M777" i="4"/>
  <c r="L777" i="4"/>
  <c r="M776" i="4"/>
  <c r="L776" i="4"/>
  <c r="M775" i="4"/>
  <c r="L775" i="4"/>
  <c r="M774" i="4"/>
  <c r="L774" i="4"/>
  <c r="M773" i="4"/>
  <c r="L773" i="4"/>
  <c r="M772" i="4"/>
  <c r="L772" i="4"/>
  <c r="M771" i="4"/>
  <c r="L771" i="4"/>
  <c r="M770" i="4"/>
  <c r="L770" i="4"/>
  <c r="M769" i="4"/>
  <c r="L769" i="4"/>
  <c r="M768" i="4"/>
  <c r="L768" i="4"/>
  <c r="M767" i="4"/>
  <c r="L767" i="4"/>
  <c r="M766" i="4"/>
  <c r="L766" i="4"/>
  <c r="M765" i="4"/>
  <c r="L765" i="4"/>
  <c r="M764" i="4"/>
  <c r="L764" i="4"/>
  <c r="M763" i="4"/>
  <c r="L763" i="4"/>
  <c r="M762" i="4"/>
  <c r="L762" i="4"/>
  <c r="M761" i="4"/>
  <c r="L761" i="4"/>
  <c r="M760" i="4"/>
  <c r="L760" i="4"/>
  <c r="M759" i="4"/>
  <c r="L759" i="4"/>
  <c r="M758" i="4"/>
  <c r="L758" i="4"/>
  <c r="M757" i="4"/>
  <c r="L757" i="4"/>
  <c r="M756" i="4"/>
  <c r="L756" i="4"/>
  <c r="M755" i="4"/>
  <c r="L755" i="4"/>
  <c r="M754" i="4"/>
  <c r="L754" i="4"/>
  <c r="M753" i="4"/>
  <c r="L753" i="4"/>
  <c r="M752" i="4"/>
  <c r="L752" i="4"/>
  <c r="M751" i="4"/>
  <c r="L751" i="4"/>
  <c r="M750" i="4"/>
  <c r="L750" i="4"/>
  <c r="M749" i="4"/>
  <c r="L749" i="4"/>
  <c r="M748" i="4"/>
  <c r="L748" i="4"/>
  <c r="M747" i="4"/>
  <c r="L747" i="4"/>
  <c r="Q746" i="4"/>
  <c r="M746" i="4"/>
  <c r="L746" i="4"/>
  <c r="M745" i="4"/>
  <c r="L745" i="4"/>
  <c r="M744" i="4"/>
  <c r="L744" i="4"/>
  <c r="M743" i="4"/>
  <c r="L743" i="4"/>
  <c r="M742" i="4"/>
  <c r="L742" i="4"/>
  <c r="M741" i="4"/>
  <c r="L741" i="4"/>
  <c r="M740" i="4"/>
  <c r="L740" i="4"/>
  <c r="M739" i="4"/>
  <c r="L739" i="4"/>
  <c r="M738" i="4"/>
  <c r="L738" i="4"/>
  <c r="M737" i="4"/>
  <c r="L737" i="4"/>
  <c r="M736" i="4"/>
  <c r="L736" i="4"/>
  <c r="M735" i="4"/>
  <c r="L735" i="4"/>
  <c r="Q734" i="4"/>
  <c r="M734" i="4"/>
  <c r="L734" i="4"/>
  <c r="M733" i="4"/>
  <c r="L733" i="4"/>
  <c r="M732" i="4"/>
  <c r="L732" i="4"/>
  <c r="M731" i="4"/>
  <c r="L731" i="4"/>
  <c r="M730" i="4"/>
  <c r="L730" i="4"/>
  <c r="M729" i="4"/>
  <c r="L729" i="4"/>
  <c r="M728" i="4"/>
  <c r="L728" i="4"/>
  <c r="M727" i="4"/>
  <c r="L727" i="4"/>
  <c r="M726" i="4"/>
  <c r="L726" i="4"/>
  <c r="M725" i="4"/>
  <c r="L725" i="4"/>
  <c r="M724" i="4"/>
  <c r="L724" i="4"/>
  <c r="M723" i="4"/>
  <c r="L723" i="4"/>
  <c r="M722" i="4"/>
  <c r="L722" i="4"/>
  <c r="M721" i="4"/>
  <c r="L721" i="4"/>
  <c r="M720" i="4"/>
  <c r="L720" i="4"/>
  <c r="M719" i="4"/>
  <c r="L719" i="4"/>
  <c r="M718" i="4"/>
  <c r="L718" i="4"/>
  <c r="M717" i="4"/>
  <c r="L717" i="4"/>
  <c r="M716" i="4"/>
  <c r="L716" i="4"/>
  <c r="M715" i="4"/>
  <c r="L715" i="4"/>
  <c r="M714" i="4"/>
  <c r="L714" i="4"/>
  <c r="M713" i="4"/>
  <c r="L713" i="4"/>
  <c r="M712" i="4"/>
  <c r="L712" i="4"/>
  <c r="M711" i="4"/>
  <c r="L711" i="4"/>
  <c r="M710" i="4"/>
  <c r="L710" i="4"/>
  <c r="M709" i="4"/>
  <c r="L709" i="4"/>
  <c r="M708" i="4"/>
  <c r="L708" i="4"/>
  <c r="M707" i="4"/>
  <c r="L707" i="4"/>
  <c r="M706" i="4"/>
  <c r="L706" i="4"/>
  <c r="M705" i="4"/>
  <c r="L705" i="4"/>
  <c r="M704" i="4"/>
  <c r="L704" i="4"/>
  <c r="M703" i="4"/>
  <c r="L703" i="4"/>
  <c r="M702" i="4"/>
  <c r="L702" i="4"/>
  <c r="M701" i="4"/>
  <c r="L701" i="4"/>
  <c r="M700" i="4"/>
  <c r="L700" i="4"/>
  <c r="M699" i="4"/>
  <c r="L699" i="4"/>
  <c r="M698" i="4"/>
  <c r="L698" i="4"/>
  <c r="M697" i="4"/>
  <c r="L697" i="4"/>
  <c r="M696" i="4"/>
  <c r="L696" i="4"/>
  <c r="M695" i="4"/>
  <c r="L695" i="4"/>
  <c r="M694" i="4"/>
  <c r="L694" i="4"/>
  <c r="M693" i="4"/>
  <c r="L693" i="4"/>
  <c r="M692" i="4"/>
  <c r="L692" i="4"/>
  <c r="M691" i="4"/>
  <c r="L691" i="4"/>
  <c r="M690" i="4"/>
  <c r="L690" i="4"/>
  <c r="M689" i="4"/>
  <c r="L689" i="4"/>
  <c r="M688" i="4"/>
  <c r="L688" i="4"/>
  <c r="M687" i="4"/>
  <c r="L687" i="4"/>
  <c r="M686" i="4"/>
  <c r="L686" i="4"/>
  <c r="M685" i="4"/>
  <c r="L685" i="4"/>
  <c r="M684" i="4"/>
  <c r="L684" i="4"/>
  <c r="M683" i="4"/>
  <c r="L683" i="4"/>
  <c r="M682" i="4"/>
  <c r="L682" i="4"/>
  <c r="M681" i="4"/>
  <c r="L681" i="4"/>
  <c r="M680" i="4"/>
  <c r="L680" i="4"/>
  <c r="M679" i="4"/>
  <c r="L679" i="4"/>
  <c r="M678" i="4"/>
  <c r="L678" i="4"/>
  <c r="M677" i="4"/>
  <c r="L677" i="4"/>
  <c r="M676" i="4"/>
  <c r="L676" i="4"/>
  <c r="M675" i="4"/>
  <c r="L675" i="4"/>
  <c r="M674" i="4"/>
  <c r="L674" i="4"/>
  <c r="M673" i="4"/>
  <c r="L673" i="4"/>
  <c r="M672" i="4"/>
  <c r="L672" i="4"/>
  <c r="M671" i="4"/>
  <c r="L671" i="4"/>
  <c r="N670" i="4"/>
  <c r="M670" i="4"/>
  <c r="L670" i="4"/>
  <c r="M669" i="4"/>
  <c r="L669" i="4"/>
  <c r="M668" i="4"/>
  <c r="L668" i="4"/>
  <c r="M667" i="4"/>
  <c r="L667" i="4"/>
  <c r="M666" i="4"/>
  <c r="L666" i="4"/>
  <c r="M665" i="4"/>
  <c r="L665" i="4"/>
  <c r="M664" i="4"/>
  <c r="L664" i="4"/>
  <c r="M663" i="4"/>
  <c r="L663" i="4"/>
  <c r="M662" i="4"/>
  <c r="L662" i="4"/>
  <c r="M661" i="4"/>
  <c r="L661" i="4"/>
  <c r="M660" i="4"/>
  <c r="L660" i="4"/>
  <c r="M659" i="4"/>
  <c r="L659" i="4"/>
  <c r="M658" i="4"/>
  <c r="L658" i="4"/>
  <c r="M657" i="4"/>
  <c r="L657" i="4"/>
  <c r="M656" i="4"/>
  <c r="L656" i="4"/>
  <c r="M655" i="4"/>
  <c r="L655" i="4"/>
  <c r="M654" i="4"/>
  <c r="L654" i="4"/>
  <c r="M653" i="4"/>
  <c r="L653" i="4"/>
  <c r="M652" i="4"/>
  <c r="L652" i="4"/>
  <c r="M651" i="4"/>
  <c r="L651" i="4"/>
  <c r="M650" i="4"/>
  <c r="L650" i="4"/>
  <c r="M649" i="4"/>
  <c r="L649" i="4"/>
  <c r="M648" i="4"/>
  <c r="L648" i="4"/>
  <c r="M647" i="4"/>
  <c r="L647" i="4"/>
  <c r="M646" i="4"/>
  <c r="L646" i="4"/>
  <c r="M645" i="4"/>
  <c r="L645" i="4"/>
  <c r="M644" i="4"/>
  <c r="L644" i="4"/>
  <c r="M643" i="4"/>
  <c r="L643" i="4"/>
  <c r="M642" i="4"/>
  <c r="L642" i="4"/>
  <c r="M641" i="4"/>
  <c r="L641" i="4"/>
  <c r="M640" i="4"/>
  <c r="L640" i="4"/>
  <c r="M639" i="4"/>
  <c r="L639" i="4"/>
  <c r="M638" i="4"/>
  <c r="L638" i="4"/>
  <c r="M637" i="4"/>
  <c r="L637" i="4"/>
  <c r="M636" i="4"/>
  <c r="L636" i="4"/>
  <c r="M635" i="4"/>
  <c r="L635" i="4"/>
  <c r="M634" i="4"/>
  <c r="L634" i="4"/>
  <c r="M633" i="4"/>
  <c r="L633" i="4"/>
  <c r="M632" i="4"/>
  <c r="L632" i="4"/>
  <c r="M631" i="4"/>
  <c r="L631" i="4"/>
  <c r="M630" i="4"/>
  <c r="L630" i="4"/>
  <c r="M629" i="4"/>
  <c r="L629" i="4"/>
  <c r="M628" i="4"/>
  <c r="L628" i="4"/>
  <c r="M627" i="4"/>
  <c r="L627" i="4"/>
  <c r="R626" i="4"/>
  <c r="Q626" i="4"/>
  <c r="P626" i="4"/>
  <c r="M626" i="4"/>
  <c r="L626" i="4"/>
  <c r="M625" i="4"/>
  <c r="L625" i="4"/>
  <c r="M624" i="4"/>
  <c r="L624" i="4"/>
  <c r="M623" i="4"/>
  <c r="L623" i="4"/>
  <c r="M622" i="4"/>
  <c r="L622" i="4"/>
  <c r="M621" i="4"/>
  <c r="L621" i="4"/>
  <c r="M620" i="4"/>
  <c r="L620" i="4"/>
  <c r="M619" i="4"/>
  <c r="L619" i="4"/>
  <c r="M618" i="4"/>
  <c r="L618" i="4"/>
  <c r="M617" i="4"/>
  <c r="L617" i="4"/>
  <c r="M616" i="4"/>
  <c r="L616" i="4"/>
  <c r="M615" i="4"/>
  <c r="L615" i="4"/>
  <c r="M614" i="4"/>
  <c r="L614" i="4"/>
  <c r="M613" i="4"/>
  <c r="L613" i="4"/>
  <c r="M612" i="4"/>
  <c r="L612" i="4"/>
  <c r="M611" i="4"/>
  <c r="L611" i="4"/>
  <c r="M610" i="4"/>
  <c r="L610" i="4"/>
  <c r="M609" i="4"/>
  <c r="L609" i="4"/>
  <c r="M608" i="4"/>
  <c r="L608" i="4"/>
  <c r="M607" i="4"/>
  <c r="L607" i="4"/>
  <c r="M606" i="4"/>
  <c r="L606" i="4"/>
  <c r="M605" i="4"/>
  <c r="L605" i="4"/>
  <c r="M604" i="4"/>
  <c r="L604" i="4"/>
  <c r="M603" i="4"/>
  <c r="L603" i="4"/>
  <c r="M602" i="4"/>
  <c r="L602" i="4"/>
  <c r="M601" i="4"/>
  <c r="L601" i="4"/>
  <c r="M600" i="4"/>
  <c r="L600" i="4"/>
  <c r="M599" i="4"/>
  <c r="L599" i="4"/>
  <c r="M598" i="4"/>
  <c r="L598" i="4"/>
  <c r="M597" i="4"/>
  <c r="L597" i="4"/>
  <c r="M596" i="4"/>
  <c r="L596" i="4"/>
  <c r="M595" i="4"/>
  <c r="L595" i="4"/>
  <c r="M594" i="4"/>
  <c r="L594" i="4"/>
  <c r="M593" i="4"/>
  <c r="L593" i="4"/>
  <c r="M592" i="4"/>
  <c r="L592" i="4"/>
  <c r="M591" i="4"/>
  <c r="L591" i="4"/>
  <c r="M590" i="4"/>
  <c r="L590" i="4"/>
  <c r="M589" i="4"/>
  <c r="L589" i="4"/>
  <c r="M588" i="4"/>
  <c r="L588" i="4"/>
  <c r="M587" i="4"/>
  <c r="L587" i="4"/>
  <c r="M586" i="4"/>
  <c r="L586" i="4"/>
  <c r="M585" i="4"/>
  <c r="L585" i="4"/>
  <c r="M584" i="4"/>
  <c r="L584" i="4"/>
  <c r="M583" i="4"/>
  <c r="L583" i="4"/>
  <c r="M582" i="4"/>
  <c r="L582" i="4"/>
  <c r="M581" i="4"/>
  <c r="L581" i="4"/>
  <c r="M580" i="4"/>
  <c r="L580" i="4"/>
  <c r="M579" i="4"/>
  <c r="L579" i="4"/>
  <c r="M578" i="4"/>
  <c r="L578" i="4"/>
  <c r="M577" i="4"/>
  <c r="L577" i="4"/>
  <c r="M576" i="4"/>
  <c r="L576" i="4"/>
  <c r="M575" i="4"/>
  <c r="L575" i="4"/>
  <c r="M574" i="4"/>
  <c r="L574" i="4"/>
  <c r="M573" i="4"/>
  <c r="L573" i="4"/>
  <c r="M572" i="4"/>
  <c r="L572" i="4"/>
  <c r="M571" i="4"/>
  <c r="L571" i="4"/>
  <c r="M570" i="4"/>
  <c r="L570" i="4"/>
  <c r="M569" i="4"/>
  <c r="L569" i="4"/>
  <c r="M568" i="4"/>
  <c r="L568" i="4"/>
  <c r="M567" i="4"/>
  <c r="L567" i="4"/>
  <c r="M566" i="4"/>
  <c r="L566" i="4"/>
  <c r="M565" i="4"/>
  <c r="L565" i="4"/>
  <c r="M564" i="4"/>
  <c r="L564" i="4"/>
  <c r="M563" i="4"/>
  <c r="L563" i="4"/>
  <c r="M562" i="4"/>
  <c r="L562" i="4"/>
  <c r="M561" i="4"/>
  <c r="L561" i="4"/>
  <c r="M560" i="4"/>
  <c r="L560" i="4"/>
  <c r="M559" i="4"/>
  <c r="L559" i="4"/>
  <c r="M558" i="4"/>
  <c r="L558" i="4"/>
  <c r="M557" i="4"/>
  <c r="L557" i="4"/>
  <c r="M556" i="4"/>
  <c r="L556" i="4"/>
  <c r="M555" i="4"/>
  <c r="L555" i="4"/>
  <c r="M554" i="4"/>
  <c r="L554" i="4"/>
  <c r="M553" i="4"/>
  <c r="L553" i="4"/>
  <c r="M552" i="4"/>
  <c r="L552" i="4"/>
  <c r="M551" i="4"/>
  <c r="L551" i="4"/>
  <c r="M550" i="4"/>
  <c r="L550" i="4"/>
  <c r="M549" i="4"/>
  <c r="L549" i="4"/>
  <c r="M548" i="4"/>
  <c r="L548" i="4"/>
  <c r="M547" i="4"/>
  <c r="L547" i="4"/>
  <c r="M546" i="4"/>
  <c r="L546" i="4"/>
  <c r="M545" i="4"/>
  <c r="L545" i="4"/>
  <c r="M544" i="4"/>
  <c r="L544" i="4"/>
  <c r="M543" i="4"/>
  <c r="L543" i="4"/>
  <c r="M542" i="4"/>
  <c r="L542" i="4"/>
  <c r="M541" i="4"/>
  <c r="L541" i="4"/>
  <c r="M540" i="4"/>
  <c r="L540" i="4"/>
  <c r="M539" i="4"/>
  <c r="L539" i="4"/>
  <c r="M538" i="4"/>
  <c r="L538" i="4"/>
  <c r="M537" i="4"/>
  <c r="L537" i="4"/>
  <c r="M536" i="4"/>
  <c r="L536" i="4"/>
  <c r="M535" i="4"/>
  <c r="L535" i="4"/>
  <c r="M534" i="4"/>
  <c r="L534" i="4"/>
  <c r="M533" i="4"/>
  <c r="L533" i="4"/>
  <c r="M532" i="4"/>
  <c r="L532" i="4"/>
  <c r="M531" i="4"/>
  <c r="L531" i="4"/>
  <c r="M530" i="4"/>
  <c r="L530" i="4"/>
  <c r="M529" i="4"/>
  <c r="L529" i="4"/>
  <c r="M528" i="4"/>
  <c r="L528" i="4"/>
  <c r="M527" i="4"/>
  <c r="L527" i="4"/>
  <c r="M526" i="4"/>
  <c r="L526" i="4"/>
  <c r="M525" i="4"/>
  <c r="L525" i="4"/>
  <c r="M524" i="4"/>
  <c r="L524" i="4"/>
  <c r="M523" i="4"/>
  <c r="L523" i="4"/>
  <c r="M522" i="4"/>
  <c r="L522" i="4"/>
  <c r="M521" i="4"/>
  <c r="L521" i="4"/>
  <c r="M520" i="4"/>
  <c r="L520" i="4"/>
  <c r="M519" i="4"/>
  <c r="L519" i="4"/>
  <c r="M518" i="4"/>
  <c r="L518" i="4"/>
  <c r="M517" i="4"/>
  <c r="L517" i="4"/>
  <c r="M516" i="4"/>
  <c r="L516" i="4"/>
  <c r="M515" i="4"/>
  <c r="L515" i="4"/>
  <c r="M514" i="4"/>
  <c r="L514" i="4"/>
  <c r="M513" i="4"/>
  <c r="L513" i="4"/>
  <c r="M512" i="4"/>
  <c r="L512" i="4"/>
  <c r="M511" i="4"/>
  <c r="L511" i="4"/>
  <c r="M510" i="4"/>
  <c r="L510" i="4"/>
  <c r="M509" i="4"/>
  <c r="L509" i="4"/>
  <c r="M508" i="4"/>
  <c r="L508" i="4"/>
  <c r="M507" i="4"/>
  <c r="L507" i="4"/>
  <c r="M506" i="4"/>
  <c r="L506" i="4"/>
  <c r="M505" i="4"/>
  <c r="L505" i="4"/>
  <c r="M504" i="4"/>
  <c r="L504" i="4"/>
  <c r="M503" i="4"/>
  <c r="L503" i="4"/>
  <c r="M502" i="4"/>
  <c r="L502" i="4"/>
  <c r="M501" i="4"/>
  <c r="L501" i="4"/>
  <c r="M500" i="4"/>
  <c r="L500" i="4"/>
  <c r="M499" i="4"/>
  <c r="L499" i="4"/>
  <c r="M498" i="4"/>
  <c r="L498" i="4"/>
  <c r="M497" i="4"/>
  <c r="L497" i="4"/>
  <c r="M496" i="4"/>
  <c r="L496" i="4"/>
  <c r="M495" i="4"/>
  <c r="L495" i="4"/>
  <c r="M494" i="4"/>
  <c r="L494" i="4"/>
  <c r="M493" i="4"/>
  <c r="L493" i="4"/>
  <c r="M492" i="4"/>
  <c r="L492" i="4"/>
  <c r="M491" i="4"/>
  <c r="L491" i="4"/>
  <c r="M490" i="4"/>
  <c r="L490" i="4"/>
  <c r="M489" i="4"/>
  <c r="L489" i="4"/>
  <c r="M488" i="4"/>
  <c r="L488" i="4"/>
  <c r="O487" i="4"/>
  <c r="M487" i="4"/>
  <c r="L487" i="4"/>
  <c r="M486" i="4"/>
  <c r="L486" i="4"/>
  <c r="M485" i="4"/>
  <c r="L485" i="4"/>
  <c r="M484" i="4"/>
  <c r="L484" i="4"/>
  <c r="M483" i="4"/>
  <c r="L483" i="4"/>
  <c r="M482" i="4"/>
  <c r="L482" i="4"/>
  <c r="M481" i="4"/>
  <c r="L481" i="4"/>
  <c r="M480" i="4"/>
  <c r="L480" i="4"/>
  <c r="M479" i="4"/>
  <c r="L479" i="4"/>
  <c r="M478" i="4"/>
  <c r="L478" i="4"/>
  <c r="M477" i="4"/>
  <c r="L477" i="4"/>
  <c r="M476" i="4"/>
  <c r="L476" i="4"/>
  <c r="M475" i="4"/>
  <c r="L475" i="4"/>
  <c r="M474" i="4"/>
  <c r="L474" i="4"/>
  <c r="M473" i="4"/>
  <c r="L473" i="4"/>
  <c r="M472" i="4"/>
  <c r="L472" i="4"/>
  <c r="M471" i="4"/>
  <c r="L471" i="4"/>
  <c r="M470" i="4"/>
  <c r="L470" i="4"/>
  <c r="M469" i="4"/>
  <c r="L469" i="4"/>
  <c r="M468" i="4"/>
  <c r="L468" i="4"/>
  <c r="M467" i="4"/>
  <c r="L467" i="4"/>
  <c r="M466" i="4"/>
  <c r="L466" i="4"/>
  <c r="M465" i="4"/>
  <c r="L465" i="4"/>
  <c r="M464" i="4"/>
  <c r="L464" i="4"/>
  <c r="M463" i="4"/>
  <c r="L463" i="4"/>
  <c r="M462" i="4"/>
  <c r="L462" i="4"/>
  <c r="M461" i="4"/>
  <c r="L461" i="4"/>
  <c r="M460" i="4"/>
  <c r="L460" i="4"/>
  <c r="M459" i="4"/>
  <c r="L459" i="4"/>
  <c r="M458" i="4"/>
  <c r="L458" i="4"/>
  <c r="M457" i="4"/>
  <c r="L457" i="4"/>
  <c r="M456" i="4"/>
  <c r="L456" i="4"/>
  <c r="M455" i="4"/>
  <c r="L455" i="4"/>
  <c r="M454" i="4"/>
  <c r="L454" i="4"/>
  <c r="M453" i="4"/>
  <c r="L453" i="4"/>
  <c r="M452" i="4"/>
  <c r="L452" i="4"/>
  <c r="M451" i="4"/>
  <c r="L451" i="4"/>
  <c r="M450" i="4"/>
  <c r="L450" i="4"/>
  <c r="M449" i="4"/>
  <c r="L449" i="4"/>
  <c r="M448" i="4"/>
  <c r="L448" i="4"/>
  <c r="M447" i="4"/>
  <c r="L447" i="4"/>
  <c r="M446" i="4"/>
  <c r="L446" i="4"/>
  <c r="M445" i="4"/>
  <c r="L445" i="4"/>
  <c r="M444" i="4"/>
  <c r="L444" i="4"/>
  <c r="M443" i="4"/>
  <c r="L443" i="4"/>
  <c r="M442" i="4"/>
  <c r="L442" i="4"/>
  <c r="M441" i="4"/>
  <c r="L441" i="4"/>
  <c r="M440" i="4"/>
  <c r="L440" i="4"/>
  <c r="M439" i="4"/>
  <c r="L439" i="4"/>
  <c r="M438" i="4"/>
  <c r="L438" i="4"/>
  <c r="M437" i="4"/>
  <c r="L437" i="4"/>
  <c r="M436" i="4"/>
  <c r="L436" i="4"/>
  <c r="M435" i="4"/>
  <c r="L435" i="4"/>
  <c r="M434" i="4"/>
  <c r="L434" i="4"/>
  <c r="M433" i="4"/>
  <c r="L433" i="4"/>
  <c r="M432" i="4"/>
  <c r="L432" i="4"/>
  <c r="M431" i="4"/>
  <c r="L431" i="4"/>
  <c r="M430" i="4"/>
  <c r="L430" i="4"/>
  <c r="M429" i="4"/>
  <c r="L429" i="4"/>
  <c r="M428" i="4"/>
  <c r="L428" i="4"/>
  <c r="M427" i="4"/>
  <c r="L427" i="4"/>
  <c r="M426" i="4"/>
  <c r="L426" i="4"/>
  <c r="M425" i="4"/>
  <c r="L425" i="4"/>
  <c r="M424" i="4"/>
  <c r="L424" i="4"/>
  <c r="M423" i="4"/>
  <c r="L423" i="4"/>
  <c r="M422" i="4"/>
  <c r="L422" i="4"/>
  <c r="M421" i="4"/>
  <c r="L421" i="4"/>
  <c r="M420" i="4"/>
  <c r="L420" i="4"/>
  <c r="M419" i="4"/>
  <c r="L419" i="4"/>
  <c r="M418" i="4"/>
  <c r="L418" i="4"/>
  <c r="M417" i="4"/>
  <c r="L417" i="4"/>
  <c r="M416" i="4"/>
  <c r="L416" i="4"/>
  <c r="M415" i="4"/>
  <c r="L415" i="4"/>
  <c r="M414" i="4"/>
  <c r="L414" i="4"/>
  <c r="M413" i="4"/>
  <c r="L413" i="4"/>
  <c r="M412" i="4"/>
  <c r="L412" i="4"/>
  <c r="M411" i="4"/>
  <c r="L411" i="4"/>
  <c r="M410" i="4"/>
  <c r="L410" i="4"/>
  <c r="M409" i="4"/>
  <c r="L409" i="4"/>
  <c r="M408" i="4"/>
  <c r="L408" i="4"/>
  <c r="M407" i="4"/>
  <c r="L407" i="4"/>
  <c r="M406" i="4"/>
  <c r="L406" i="4"/>
  <c r="M405" i="4"/>
  <c r="L405" i="4"/>
  <c r="M404" i="4"/>
  <c r="L404" i="4"/>
  <c r="M403" i="4"/>
  <c r="L403" i="4"/>
  <c r="M402" i="4"/>
  <c r="L402" i="4"/>
  <c r="M401" i="4"/>
  <c r="L401" i="4"/>
  <c r="M400" i="4"/>
  <c r="L400" i="4"/>
  <c r="M399" i="4"/>
  <c r="L399" i="4"/>
  <c r="M398" i="4"/>
  <c r="L398" i="4"/>
  <c r="M397" i="4"/>
  <c r="L397" i="4"/>
  <c r="M396" i="4"/>
  <c r="L396" i="4"/>
  <c r="M395" i="4"/>
  <c r="L395" i="4"/>
  <c r="M394" i="4"/>
  <c r="L394" i="4"/>
  <c r="M393" i="4"/>
  <c r="L393" i="4"/>
  <c r="M392" i="4"/>
  <c r="L392" i="4"/>
  <c r="M391" i="4"/>
  <c r="L391" i="4"/>
  <c r="M390" i="4"/>
  <c r="L390" i="4"/>
  <c r="M389" i="4"/>
  <c r="L389" i="4"/>
  <c r="M388" i="4"/>
  <c r="L388" i="4"/>
  <c r="M387" i="4"/>
  <c r="L387" i="4"/>
  <c r="M386" i="4"/>
  <c r="L386" i="4"/>
  <c r="M385" i="4"/>
  <c r="L385" i="4"/>
  <c r="M384" i="4"/>
  <c r="L384" i="4"/>
  <c r="M383" i="4"/>
  <c r="L383" i="4"/>
  <c r="M382" i="4"/>
  <c r="L382" i="4"/>
  <c r="M381" i="4"/>
  <c r="L381" i="4"/>
  <c r="M380" i="4"/>
  <c r="L380" i="4"/>
  <c r="M379" i="4"/>
  <c r="L379" i="4"/>
  <c r="M378" i="4"/>
  <c r="L378" i="4"/>
  <c r="M377" i="4"/>
  <c r="L377" i="4"/>
  <c r="M376" i="4"/>
  <c r="L376" i="4"/>
  <c r="M375" i="4"/>
  <c r="L375" i="4"/>
  <c r="M374" i="4"/>
  <c r="L374" i="4"/>
  <c r="M373" i="4"/>
  <c r="L373" i="4"/>
  <c r="M372" i="4"/>
  <c r="L372" i="4"/>
  <c r="M371" i="4"/>
  <c r="L371" i="4"/>
  <c r="M370" i="4"/>
  <c r="L370" i="4"/>
  <c r="M369" i="4"/>
  <c r="L369" i="4"/>
  <c r="M368" i="4"/>
  <c r="L368" i="4"/>
  <c r="M367" i="4"/>
  <c r="L367" i="4"/>
  <c r="M366" i="4"/>
  <c r="L366" i="4"/>
  <c r="M365" i="4"/>
  <c r="L365" i="4"/>
  <c r="M364" i="4"/>
  <c r="L364" i="4"/>
  <c r="M363" i="4"/>
  <c r="L363" i="4"/>
  <c r="M362" i="4"/>
  <c r="L362" i="4"/>
  <c r="M361" i="4"/>
  <c r="L361" i="4"/>
  <c r="M360" i="4"/>
  <c r="L360" i="4"/>
  <c r="M359" i="4"/>
  <c r="L359" i="4"/>
  <c r="M358" i="4"/>
  <c r="L358" i="4"/>
  <c r="M357" i="4"/>
  <c r="L357" i="4"/>
  <c r="M356" i="4"/>
  <c r="L356" i="4"/>
  <c r="M355" i="4"/>
  <c r="L355" i="4"/>
  <c r="M354" i="4"/>
  <c r="L354" i="4"/>
  <c r="M353" i="4"/>
  <c r="L353" i="4"/>
  <c r="M352" i="4"/>
  <c r="L352" i="4"/>
  <c r="M351" i="4"/>
  <c r="L351" i="4"/>
  <c r="M350" i="4"/>
  <c r="L350" i="4"/>
  <c r="M349" i="4"/>
  <c r="L349" i="4"/>
  <c r="M348" i="4"/>
  <c r="L348" i="4"/>
  <c r="M347" i="4"/>
  <c r="L347" i="4"/>
  <c r="M346" i="4"/>
  <c r="L346" i="4"/>
  <c r="M345" i="4"/>
  <c r="L345" i="4"/>
  <c r="M344" i="4"/>
  <c r="L344" i="4"/>
  <c r="M343" i="4"/>
  <c r="L343" i="4"/>
  <c r="M342" i="4"/>
  <c r="L342" i="4"/>
  <c r="M341" i="4"/>
  <c r="L341" i="4"/>
  <c r="M340" i="4"/>
  <c r="L340" i="4"/>
  <c r="M339" i="4"/>
  <c r="L339" i="4"/>
  <c r="M338" i="4"/>
  <c r="L338" i="4"/>
  <c r="M337" i="4"/>
  <c r="L337" i="4"/>
  <c r="M336" i="4"/>
  <c r="L336" i="4"/>
  <c r="M335" i="4"/>
  <c r="L335" i="4"/>
  <c r="M334" i="4"/>
  <c r="L334" i="4"/>
  <c r="M333" i="4"/>
  <c r="L333" i="4"/>
  <c r="M332" i="4"/>
  <c r="L332" i="4"/>
  <c r="M331" i="4"/>
  <c r="L331" i="4"/>
  <c r="M330" i="4"/>
  <c r="L330" i="4"/>
  <c r="M329" i="4"/>
  <c r="L329" i="4"/>
  <c r="M328" i="4"/>
  <c r="L328" i="4"/>
  <c r="M327" i="4"/>
  <c r="L327" i="4"/>
  <c r="M326" i="4"/>
  <c r="L326" i="4"/>
  <c r="M325" i="4"/>
  <c r="L325" i="4"/>
  <c r="M324" i="4"/>
  <c r="L324" i="4"/>
  <c r="M323" i="4"/>
  <c r="L323" i="4"/>
  <c r="M322" i="4"/>
  <c r="L322" i="4"/>
  <c r="M321" i="4"/>
  <c r="L321" i="4"/>
  <c r="M320" i="4"/>
  <c r="L320" i="4"/>
  <c r="M319" i="4"/>
  <c r="L319" i="4"/>
  <c r="M318" i="4"/>
  <c r="L318" i="4"/>
  <c r="M317" i="4"/>
  <c r="L317" i="4"/>
  <c r="M316" i="4"/>
  <c r="L316" i="4"/>
  <c r="M315" i="4"/>
  <c r="L315" i="4"/>
  <c r="M314" i="4"/>
  <c r="L314" i="4"/>
  <c r="M313" i="4"/>
  <c r="L313" i="4"/>
  <c r="M312" i="4"/>
  <c r="L312" i="4"/>
  <c r="M311" i="4"/>
  <c r="L311" i="4"/>
  <c r="M310" i="4"/>
  <c r="L310" i="4"/>
  <c r="M309" i="4"/>
  <c r="L309" i="4"/>
  <c r="M308" i="4"/>
  <c r="L308" i="4"/>
  <c r="M307" i="4"/>
  <c r="L307" i="4"/>
  <c r="M306" i="4"/>
  <c r="L306" i="4"/>
  <c r="M305" i="4"/>
  <c r="L305" i="4"/>
  <c r="M304" i="4"/>
  <c r="L304" i="4"/>
  <c r="M303" i="4"/>
  <c r="L303" i="4"/>
  <c r="M302" i="4"/>
  <c r="L302" i="4"/>
  <c r="M301" i="4"/>
  <c r="L301" i="4"/>
  <c r="M300" i="4"/>
  <c r="L300" i="4"/>
  <c r="M299" i="4"/>
  <c r="L299" i="4"/>
  <c r="M298" i="4"/>
  <c r="L298" i="4"/>
  <c r="M297" i="4"/>
  <c r="L297" i="4"/>
  <c r="M296" i="4"/>
  <c r="L296" i="4"/>
  <c r="M295" i="4"/>
  <c r="L295" i="4"/>
  <c r="M294" i="4"/>
  <c r="L294" i="4"/>
  <c r="M293" i="4"/>
  <c r="L293" i="4"/>
  <c r="M292" i="4"/>
  <c r="L292" i="4"/>
  <c r="M291" i="4"/>
  <c r="L291" i="4"/>
  <c r="M290" i="4"/>
  <c r="L290" i="4"/>
  <c r="M289" i="4"/>
  <c r="L289" i="4"/>
  <c r="M288" i="4"/>
  <c r="L288" i="4"/>
  <c r="M287" i="4"/>
  <c r="L287" i="4"/>
  <c r="M286" i="4"/>
  <c r="L286" i="4"/>
  <c r="M285" i="4"/>
  <c r="L285" i="4"/>
  <c r="M284" i="4"/>
  <c r="L284" i="4"/>
  <c r="M283" i="4"/>
  <c r="L283" i="4"/>
  <c r="M282" i="4"/>
  <c r="L282" i="4"/>
  <c r="M281" i="4"/>
  <c r="L281" i="4"/>
  <c r="M280" i="4"/>
  <c r="L280" i="4"/>
  <c r="M279" i="4"/>
  <c r="L279" i="4"/>
  <c r="M278" i="4"/>
  <c r="L278" i="4"/>
  <c r="M277" i="4"/>
  <c r="L277" i="4"/>
  <c r="M276" i="4"/>
  <c r="L276" i="4"/>
  <c r="M275" i="4"/>
  <c r="L275" i="4"/>
  <c r="M274" i="4"/>
  <c r="L274" i="4"/>
  <c r="M273" i="4"/>
  <c r="L273" i="4"/>
  <c r="M272" i="4"/>
  <c r="L272" i="4"/>
  <c r="M271" i="4"/>
  <c r="L271" i="4"/>
  <c r="M270" i="4"/>
  <c r="L270" i="4"/>
  <c r="P269" i="4"/>
  <c r="M269" i="4"/>
  <c r="L269" i="4"/>
  <c r="M268" i="4"/>
  <c r="L268" i="4"/>
  <c r="M267" i="4"/>
  <c r="L267" i="4"/>
  <c r="M266" i="4"/>
  <c r="L266" i="4"/>
  <c r="M265" i="4"/>
  <c r="L265" i="4"/>
  <c r="M264" i="4"/>
  <c r="L264" i="4"/>
  <c r="M263" i="4"/>
  <c r="L263" i="4"/>
  <c r="M262" i="4"/>
  <c r="L262" i="4"/>
  <c r="M261" i="4"/>
  <c r="L261" i="4"/>
  <c r="M260" i="4"/>
  <c r="L260" i="4"/>
  <c r="M259" i="4"/>
  <c r="L259" i="4"/>
  <c r="M258" i="4"/>
  <c r="L258" i="4"/>
  <c r="M257" i="4"/>
  <c r="L257" i="4"/>
  <c r="M256" i="4"/>
  <c r="L256" i="4"/>
  <c r="M255" i="4"/>
  <c r="L255" i="4"/>
  <c r="M254" i="4"/>
  <c r="L254" i="4"/>
  <c r="M253" i="4"/>
  <c r="L253" i="4"/>
  <c r="M252" i="4"/>
  <c r="L252" i="4"/>
  <c r="M251" i="4"/>
  <c r="L251" i="4"/>
  <c r="M250" i="4"/>
  <c r="L250" i="4"/>
  <c r="M249" i="4"/>
  <c r="L249" i="4"/>
  <c r="M248" i="4"/>
  <c r="L248" i="4"/>
  <c r="R247" i="4"/>
  <c r="Q247" i="4"/>
  <c r="P247" i="4"/>
  <c r="M247" i="4"/>
  <c r="L247" i="4"/>
  <c r="M246" i="4"/>
  <c r="L246" i="4"/>
  <c r="M245" i="4"/>
  <c r="L245" i="4"/>
  <c r="M244" i="4"/>
  <c r="L244" i="4"/>
  <c r="M243" i="4"/>
  <c r="L243" i="4"/>
  <c r="M242" i="4"/>
  <c r="L242" i="4"/>
  <c r="M241" i="4"/>
  <c r="L241" i="4"/>
  <c r="M240" i="4"/>
  <c r="L240" i="4"/>
  <c r="M239" i="4"/>
  <c r="L239" i="4"/>
  <c r="M238" i="4"/>
  <c r="L238" i="4"/>
  <c r="M237" i="4"/>
  <c r="L237" i="4"/>
  <c r="M236" i="4"/>
  <c r="L236" i="4"/>
  <c r="M235" i="4"/>
  <c r="L235" i="4"/>
  <c r="M234" i="4"/>
  <c r="L234" i="4"/>
  <c r="M233" i="4"/>
  <c r="L233" i="4"/>
  <c r="M232" i="4"/>
  <c r="L232" i="4"/>
  <c r="M231" i="4"/>
  <c r="L231" i="4"/>
  <c r="M230" i="4"/>
  <c r="L230" i="4"/>
  <c r="M229" i="4"/>
  <c r="L229" i="4"/>
  <c r="M228" i="4"/>
  <c r="L228" i="4"/>
  <c r="M227" i="4"/>
  <c r="L227" i="4"/>
  <c r="M226" i="4"/>
  <c r="L226" i="4"/>
  <c r="M225" i="4"/>
  <c r="L225" i="4"/>
  <c r="M224" i="4"/>
  <c r="L224" i="4"/>
  <c r="M223" i="4"/>
  <c r="L223" i="4"/>
  <c r="M222" i="4"/>
  <c r="L222" i="4"/>
  <c r="M221" i="4"/>
  <c r="L221" i="4"/>
  <c r="M220" i="4"/>
  <c r="L220" i="4"/>
  <c r="M219" i="4"/>
  <c r="L219" i="4"/>
  <c r="M218" i="4"/>
  <c r="L218" i="4"/>
  <c r="M217" i="4"/>
  <c r="L217" i="4"/>
  <c r="M216" i="4"/>
  <c r="L216" i="4"/>
  <c r="M215" i="4"/>
  <c r="L215" i="4"/>
  <c r="M214" i="4"/>
  <c r="L214" i="4"/>
  <c r="M213" i="4"/>
  <c r="L213" i="4"/>
  <c r="M212" i="4"/>
  <c r="L212" i="4"/>
  <c r="M211" i="4"/>
  <c r="L211" i="4"/>
  <c r="M210" i="4"/>
  <c r="L210" i="4"/>
  <c r="M209" i="4"/>
  <c r="L209" i="4"/>
  <c r="M208" i="4"/>
  <c r="L208" i="4"/>
  <c r="M207" i="4"/>
  <c r="L207" i="4"/>
  <c r="M206" i="4"/>
  <c r="L206" i="4"/>
  <c r="M205" i="4"/>
  <c r="L205" i="4"/>
  <c r="M204" i="4"/>
  <c r="L204" i="4"/>
  <c r="M203" i="4"/>
  <c r="L203" i="4"/>
  <c r="M202" i="4"/>
  <c r="L202" i="4"/>
  <c r="M201" i="4"/>
  <c r="L201" i="4"/>
  <c r="M200" i="4"/>
  <c r="L200" i="4"/>
  <c r="M199" i="4"/>
  <c r="L199" i="4"/>
  <c r="M198" i="4"/>
  <c r="L198" i="4"/>
  <c r="M197" i="4"/>
  <c r="L197" i="4"/>
  <c r="M196" i="4"/>
  <c r="L196" i="4"/>
  <c r="M195" i="4"/>
  <c r="L195" i="4"/>
  <c r="M194" i="4"/>
  <c r="L194" i="4"/>
  <c r="M193" i="4"/>
  <c r="L193" i="4"/>
  <c r="M192" i="4"/>
  <c r="L192" i="4"/>
  <c r="M191" i="4"/>
  <c r="L191" i="4"/>
  <c r="M190" i="4"/>
  <c r="L190" i="4"/>
  <c r="M189" i="4"/>
  <c r="L189" i="4"/>
  <c r="M188" i="4"/>
  <c r="L188" i="4"/>
  <c r="M187" i="4"/>
  <c r="L187" i="4"/>
  <c r="M186" i="4"/>
  <c r="L186" i="4"/>
  <c r="M185" i="4"/>
  <c r="L185" i="4"/>
  <c r="M184" i="4"/>
  <c r="L184" i="4"/>
  <c r="M183" i="4"/>
  <c r="L183" i="4"/>
  <c r="M182" i="4"/>
  <c r="L182" i="4"/>
  <c r="M181" i="4"/>
  <c r="L181" i="4"/>
  <c r="M180" i="4"/>
  <c r="L180" i="4"/>
  <c r="M179" i="4"/>
  <c r="L179" i="4"/>
  <c r="M178" i="4"/>
  <c r="L178" i="4"/>
  <c r="M177" i="4"/>
  <c r="L177" i="4"/>
  <c r="M176" i="4"/>
  <c r="L176" i="4"/>
  <c r="M175" i="4"/>
  <c r="L175" i="4"/>
  <c r="M174" i="4"/>
  <c r="L174" i="4"/>
  <c r="M173" i="4"/>
  <c r="L173" i="4"/>
  <c r="M172" i="4"/>
  <c r="L172" i="4"/>
  <c r="M171" i="4"/>
  <c r="L171" i="4"/>
  <c r="M170" i="4"/>
  <c r="L170" i="4"/>
  <c r="M169" i="4"/>
  <c r="L169" i="4"/>
  <c r="M168" i="4"/>
  <c r="L168" i="4"/>
  <c r="M167" i="4"/>
  <c r="L167" i="4"/>
  <c r="M166" i="4"/>
  <c r="L166" i="4"/>
  <c r="M165" i="4"/>
  <c r="L165" i="4"/>
  <c r="M164" i="4"/>
  <c r="L164" i="4"/>
  <c r="M163" i="4"/>
  <c r="L163" i="4"/>
  <c r="M162" i="4"/>
  <c r="L162" i="4"/>
  <c r="M161" i="4"/>
  <c r="L161" i="4"/>
  <c r="M160" i="4"/>
  <c r="L160" i="4"/>
  <c r="M159" i="4"/>
  <c r="L159" i="4"/>
  <c r="M158" i="4"/>
  <c r="L158" i="4"/>
  <c r="M157" i="4"/>
  <c r="L157" i="4"/>
  <c r="M156" i="4"/>
  <c r="L156" i="4"/>
  <c r="M155" i="4"/>
  <c r="L155" i="4"/>
  <c r="M154" i="4"/>
  <c r="L154" i="4"/>
  <c r="M153" i="4"/>
  <c r="L153" i="4"/>
  <c r="M152" i="4"/>
  <c r="L152" i="4"/>
  <c r="M151" i="4"/>
  <c r="L151" i="4"/>
  <c r="M150" i="4"/>
  <c r="L150" i="4"/>
  <c r="M149" i="4"/>
  <c r="L149" i="4"/>
  <c r="M148" i="4"/>
  <c r="L148" i="4"/>
  <c r="M147" i="4"/>
  <c r="L147" i="4"/>
  <c r="M146" i="4"/>
  <c r="L146" i="4"/>
  <c r="M145" i="4"/>
  <c r="L145" i="4"/>
  <c r="M144" i="4"/>
  <c r="L144" i="4"/>
  <c r="M143" i="4"/>
  <c r="L143" i="4"/>
  <c r="M142" i="4"/>
  <c r="L142" i="4"/>
  <c r="M141" i="4"/>
  <c r="L141" i="4"/>
  <c r="M140" i="4"/>
  <c r="L140" i="4"/>
  <c r="M139" i="4"/>
  <c r="L139" i="4"/>
  <c r="M138" i="4"/>
  <c r="L138" i="4"/>
  <c r="M137" i="4"/>
  <c r="L137" i="4"/>
  <c r="M136" i="4"/>
  <c r="L136" i="4"/>
  <c r="M135" i="4"/>
  <c r="L135" i="4"/>
  <c r="M134" i="4"/>
  <c r="L134" i="4"/>
  <c r="M133" i="4"/>
  <c r="L133" i="4"/>
  <c r="M132" i="4"/>
  <c r="L132" i="4"/>
  <c r="M131" i="4"/>
  <c r="L131" i="4"/>
  <c r="M130" i="4"/>
  <c r="L130" i="4"/>
  <c r="M129" i="4"/>
  <c r="L129" i="4"/>
  <c r="M128" i="4"/>
  <c r="L128" i="4"/>
  <c r="M127" i="4"/>
  <c r="L127" i="4"/>
  <c r="M126" i="4"/>
  <c r="L126" i="4"/>
  <c r="M125" i="4"/>
  <c r="L125" i="4"/>
  <c r="M124" i="4"/>
  <c r="L124" i="4"/>
  <c r="M123" i="4"/>
  <c r="L123" i="4"/>
  <c r="M122" i="4"/>
  <c r="L122" i="4"/>
  <c r="M121" i="4"/>
  <c r="L121" i="4"/>
  <c r="M120" i="4"/>
  <c r="L120" i="4"/>
  <c r="M119" i="4"/>
  <c r="L119" i="4"/>
  <c r="M118" i="4"/>
  <c r="L118" i="4"/>
  <c r="M117" i="4"/>
  <c r="L117" i="4"/>
  <c r="M116" i="4"/>
  <c r="L116" i="4"/>
  <c r="M115" i="4"/>
  <c r="L115" i="4"/>
  <c r="M114" i="4"/>
  <c r="L114" i="4"/>
  <c r="M113" i="4"/>
  <c r="L113" i="4"/>
  <c r="M112" i="4"/>
  <c r="L112" i="4"/>
  <c r="M111" i="4"/>
  <c r="L111" i="4"/>
  <c r="M110" i="4"/>
  <c r="L110" i="4"/>
  <c r="M109" i="4"/>
  <c r="L109" i="4"/>
  <c r="M108" i="4"/>
  <c r="L108" i="4"/>
  <c r="M107" i="4"/>
  <c r="L107" i="4"/>
  <c r="M106" i="4"/>
  <c r="L106" i="4"/>
  <c r="M105" i="4"/>
  <c r="L105" i="4"/>
  <c r="M104" i="4"/>
  <c r="L104" i="4"/>
  <c r="M103" i="4"/>
  <c r="L103" i="4"/>
  <c r="M102" i="4"/>
  <c r="L102" i="4"/>
  <c r="M101" i="4"/>
  <c r="L101" i="4"/>
  <c r="M100" i="4"/>
  <c r="L100" i="4"/>
  <c r="M99" i="4"/>
  <c r="L99" i="4"/>
  <c r="M98" i="4"/>
  <c r="L98" i="4"/>
  <c r="M97" i="4"/>
  <c r="L97" i="4"/>
  <c r="M96" i="4"/>
  <c r="L96" i="4"/>
  <c r="M95" i="4"/>
  <c r="L95" i="4"/>
  <c r="M94" i="4"/>
  <c r="L94" i="4"/>
  <c r="M93" i="4"/>
  <c r="L93" i="4"/>
  <c r="M92" i="4"/>
  <c r="L92" i="4"/>
  <c r="M91" i="4"/>
  <c r="L91" i="4"/>
  <c r="M90" i="4"/>
  <c r="L90" i="4"/>
  <c r="M89" i="4"/>
  <c r="L89" i="4"/>
  <c r="M88" i="4"/>
  <c r="L88" i="4"/>
  <c r="M87" i="4"/>
  <c r="L87" i="4"/>
  <c r="M86" i="4"/>
  <c r="L86" i="4"/>
  <c r="M85" i="4"/>
  <c r="L85" i="4"/>
  <c r="M84" i="4"/>
  <c r="L84" i="4"/>
  <c r="M83" i="4"/>
  <c r="L83" i="4"/>
  <c r="M82" i="4"/>
  <c r="L82" i="4"/>
  <c r="M81" i="4"/>
  <c r="L81" i="4"/>
  <c r="M80" i="4"/>
  <c r="L80" i="4"/>
  <c r="M79" i="4"/>
  <c r="L79" i="4"/>
  <c r="M78" i="4"/>
  <c r="L78" i="4"/>
  <c r="M77" i="4"/>
  <c r="L77" i="4"/>
  <c r="M76" i="4"/>
  <c r="L76" i="4"/>
  <c r="M75" i="4"/>
  <c r="L75" i="4"/>
  <c r="M74" i="4"/>
  <c r="L74" i="4"/>
  <c r="M73" i="4"/>
  <c r="L73" i="4"/>
  <c r="M72" i="4"/>
  <c r="L72" i="4"/>
  <c r="M71" i="4"/>
  <c r="L71" i="4"/>
  <c r="M70" i="4"/>
  <c r="L70" i="4"/>
  <c r="M69" i="4"/>
  <c r="L69" i="4"/>
  <c r="M68" i="4"/>
  <c r="L68" i="4"/>
  <c r="M67" i="4"/>
  <c r="L67" i="4"/>
  <c r="M66" i="4"/>
  <c r="L66" i="4"/>
  <c r="M65" i="4"/>
  <c r="L65" i="4"/>
  <c r="M64" i="4"/>
  <c r="L64" i="4"/>
  <c r="M63" i="4"/>
  <c r="L63" i="4"/>
  <c r="M62" i="4"/>
  <c r="L62" i="4"/>
  <c r="M61" i="4"/>
  <c r="L61" i="4"/>
  <c r="M60" i="4"/>
  <c r="L60" i="4"/>
  <c r="M59" i="4"/>
  <c r="L59" i="4"/>
  <c r="M58" i="4"/>
  <c r="L58" i="4"/>
  <c r="M57" i="4"/>
  <c r="L57" i="4"/>
  <c r="M56" i="4"/>
  <c r="L56" i="4"/>
  <c r="M55" i="4"/>
  <c r="L55" i="4"/>
  <c r="M54" i="4"/>
  <c r="L54" i="4"/>
  <c r="M53" i="4"/>
  <c r="L53" i="4"/>
  <c r="M52" i="4"/>
  <c r="L52" i="4"/>
  <c r="M51" i="4"/>
  <c r="L51" i="4"/>
  <c r="M50" i="4"/>
  <c r="L50" i="4"/>
  <c r="M49" i="4"/>
  <c r="L49" i="4"/>
  <c r="M48" i="4"/>
  <c r="L48" i="4"/>
  <c r="M47" i="4"/>
  <c r="L47" i="4"/>
  <c r="M46" i="4"/>
  <c r="L46" i="4"/>
  <c r="M45" i="4"/>
  <c r="L45" i="4"/>
  <c r="M44" i="4"/>
  <c r="L44" i="4"/>
  <c r="M43" i="4"/>
  <c r="L43" i="4"/>
  <c r="M42" i="4"/>
  <c r="L42" i="4"/>
  <c r="M41" i="4"/>
  <c r="L41" i="4"/>
  <c r="M40" i="4"/>
  <c r="L40" i="4"/>
  <c r="M39" i="4"/>
  <c r="L39" i="4"/>
  <c r="M38" i="4"/>
  <c r="L38" i="4"/>
  <c r="M37" i="4"/>
  <c r="L37" i="4"/>
  <c r="M36" i="4"/>
  <c r="L36" i="4"/>
  <c r="M35" i="4"/>
  <c r="L35" i="4"/>
  <c r="M34" i="4"/>
  <c r="L34" i="4"/>
  <c r="M33" i="4"/>
  <c r="L33" i="4"/>
  <c r="M32" i="4"/>
  <c r="L32" i="4"/>
  <c r="M31" i="4"/>
  <c r="L31" i="4"/>
  <c r="M30" i="4"/>
  <c r="L30" i="4"/>
  <c r="M29" i="4"/>
  <c r="L29" i="4"/>
  <c r="M28" i="4"/>
  <c r="L28" i="4"/>
  <c r="M27" i="4"/>
  <c r="L27" i="4"/>
  <c r="M26" i="4"/>
  <c r="L26" i="4"/>
  <c r="M25" i="4"/>
  <c r="L25" i="4"/>
  <c r="M24" i="4"/>
  <c r="L24" i="4"/>
  <c r="M23" i="4"/>
  <c r="L23" i="4"/>
  <c r="M22" i="4"/>
  <c r="L22" i="4"/>
  <c r="M21" i="4"/>
  <c r="L21" i="4"/>
  <c r="M20" i="4"/>
  <c r="L20" i="4"/>
  <c r="M19" i="4"/>
  <c r="L19" i="4"/>
  <c r="M18" i="4"/>
  <c r="L18" i="4"/>
  <c r="M17" i="4"/>
  <c r="L17" i="4"/>
  <c r="M16" i="4"/>
  <c r="L16" i="4"/>
  <c r="M15" i="4"/>
  <c r="L15" i="4"/>
  <c r="M14" i="4"/>
  <c r="L14" i="4"/>
  <c r="M13" i="4"/>
  <c r="L13" i="4"/>
  <c r="M12" i="4"/>
  <c r="L12" i="4"/>
  <c r="M11" i="4"/>
  <c r="L11" i="4"/>
  <c r="M10" i="4"/>
  <c r="L10" i="4"/>
  <c r="M9" i="4"/>
  <c r="L9" i="4"/>
  <c r="M8" i="4"/>
  <c r="L8" i="4"/>
  <c r="M7" i="4"/>
  <c r="L7" i="4"/>
  <c r="M6" i="4"/>
  <c r="L6" i="4"/>
  <c r="M5" i="4"/>
  <c r="L5" i="4"/>
  <c r="M4" i="4"/>
  <c r="L4" i="4"/>
  <c r="M3" i="4"/>
  <c r="L3" i="4"/>
  <c r="M2" i="4"/>
  <c r="L2" i="4"/>
  <c r="BC401" i="2"/>
  <c r="K401" i="5" s="1"/>
  <c r="BB401" i="2"/>
  <c r="J401" i="5" s="1"/>
  <c r="BA401" i="2"/>
  <c r="I401" i="5" s="1"/>
  <c r="AZ401" i="2"/>
  <c r="H401" i="5" s="1"/>
  <c r="AY401" i="2"/>
  <c r="G401" i="5" s="1"/>
  <c r="AX401" i="2"/>
  <c r="F401" i="5" s="1"/>
  <c r="AQ401" i="2"/>
  <c r="S401" i="2"/>
  <c r="G401" i="2"/>
  <c r="E401" i="2"/>
  <c r="BC400" i="2"/>
  <c r="K400" i="5" s="1"/>
  <c r="BB400" i="2"/>
  <c r="J400" i="5" s="1"/>
  <c r="BA400" i="2"/>
  <c r="I400" i="5" s="1"/>
  <c r="AZ400" i="2"/>
  <c r="H400" i="5" s="1"/>
  <c r="AY400" i="2"/>
  <c r="G400" i="5" s="1"/>
  <c r="AX400" i="2"/>
  <c r="F400" i="5" s="1"/>
  <c r="AQ400" i="2"/>
  <c r="S400" i="2"/>
  <c r="G400" i="2"/>
  <c r="E400" i="2"/>
  <c r="BC399" i="2"/>
  <c r="K399" i="5" s="1"/>
  <c r="BB399" i="2"/>
  <c r="J399" i="5" s="1"/>
  <c r="BA399" i="2"/>
  <c r="I399" i="5" s="1"/>
  <c r="AZ399" i="2"/>
  <c r="H399" i="5" s="1"/>
  <c r="AY399" i="2"/>
  <c r="G399" i="5" s="1"/>
  <c r="AX399" i="2"/>
  <c r="F399" i="5" s="1"/>
  <c r="AQ399" i="2"/>
  <c r="S399" i="2"/>
  <c r="G399" i="2"/>
  <c r="E399" i="2"/>
  <c r="BC398" i="2"/>
  <c r="K398" i="5" s="1"/>
  <c r="BB398" i="2"/>
  <c r="J398" i="5" s="1"/>
  <c r="BA398" i="2"/>
  <c r="I398" i="5" s="1"/>
  <c r="AZ398" i="2"/>
  <c r="H398" i="5" s="1"/>
  <c r="AY398" i="2"/>
  <c r="G398" i="5" s="1"/>
  <c r="AX398" i="2"/>
  <c r="F398" i="5" s="1"/>
  <c r="AQ398" i="2"/>
  <c r="S398" i="2"/>
  <c r="G398" i="2"/>
  <c r="E398" i="2"/>
  <c r="BC397" i="2"/>
  <c r="K397" i="5" s="1"/>
  <c r="BB397" i="2"/>
  <c r="J397" i="5" s="1"/>
  <c r="BA397" i="2"/>
  <c r="I397" i="5" s="1"/>
  <c r="AZ397" i="2"/>
  <c r="H397" i="5" s="1"/>
  <c r="AY397" i="2"/>
  <c r="G397" i="5" s="1"/>
  <c r="AX397" i="2"/>
  <c r="F397" i="5" s="1"/>
  <c r="AQ397" i="2"/>
  <c r="S397" i="2"/>
  <c r="G397" i="2"/>
  <c r="E397" i="2"/>
  <c r="BC396" i="2"/>
  <c r="K396" i="5" s="1"/>
  <c r="BB396" i="2"/>
  <c r="J396" i="5" s="1"/>
  <c r="BA396" i="2"/>
  <c r="I396" i="5" s="1"/>
  <c r="AZ396" i="2"/>
  <c r="H396" i="5" s="1"/>
  <c r="AY396" i="2"/>
  <c r="G396" i="5" s="1"/>
  <c r="AX396" i="2"/>
  <c r="F396" i="5" s="1"/>
  <c r="AQ396" i="2"/>
  <c r="S396" i="2"/>
  <c r="G396" i="2"/>
  <c r="E396" i="2"/>
  <c r="BC395" i="2"/>
  <c r="K395" i="5" s="1"/>
  <c r="BB395" i="2"/>
  <c r="J395" i="5" s="1"/>
  <c r="BA395" i="2"/>
  <c r="I395" i="5" s="1"/>
  <c r="AZ395" i="2"/>
  <c r="H395" i="5" s="1"/>
  <c r="AY395" i="2"/>
  <c r="G395" i="5" s="1"/>
  <c r="AX395" i="2"/>
  <c r="F395" i="5" s="1"/>
  <c r="AQ395" i="2"/>
  <c r="S395" i="2"/>
  <c r="G395" i="2"/>
  <c r="E395" i="2"/>
  <c r="BC394" i="2"/>
  <c r="K394" i="5" s="1"/>
  <c r="BB394" i="2"/>
  <c r="J394" i="5" s="1"/>
  <c r="BA394" i="2"/>
  <c r="I394" i="5" s="1"/>
  <c r="AZ394" i="2"/>
  <c r="H394" i="5" s="1"/>
  <c r="AY394" i="2"/>
  <c r="G394" i="5" s="1"/>
  <c r="AX394" i="2"/>
  <c r="F394" i="5" s="1"/>
  <c r="AQ394" i="2"/>
  <c r="S394" i="2"/>
  <c r="G394" i="2"/>
  <c r="E394" i="2"/>
  <c r="BC393" i="2"/>
  <c r="K393" i="5" s="1"/>
  <c r="BB393" i="2"/>
  <c r="J393" i="5" s="1"/>
  <c r="BA393" i="2"/>
  <c r="I393" i="5" s="1"/>
  <c r="AZ393" i="2"/>
  <c r="H393" i="5" s="1"/>
  <c r="AY393" i="2"/>
  <c r="G393" i="5" s="1"/>
  <c r="AX393" i="2"/>
  <c r="F393" i="5" s="1"/>
  <c r="AQ393" i="2"/>
  <c r="S393" i="2"/>
  <c r="G393" i="2"/>
  <c r="E393" i="2"/>
  <c r="BC392" i="2"/>
  <c r="K392" i="5" s="1"/>
  <c r="BB392" i="2"/>
  <c r="J392" i="5" s="1"/>
  <c r="BA392" i="2"/>
  <c r="I392" i="5" s="1"/>
  <c r="AZ392" i="2"/>
  <c r="H392" i="5" s="1"/>
  <c r="AY392" i="2"/>
  <c r="G392" i="5" s="1"/>
  <c r="AX392" i="2"/>
  <c r="F392" i="5" s="1"/>
  <c r="AQ392" i="2"/>
  <c r="S392" i="2"/>
  <c r="G392" i="2"/>
  <c r="E392" i="2"/>
  <c r="BC391" i="2"/>
  <c r="K391" i="5" s="1"/>
  <c r="BB391" i="2"/>
  <c r="J391" i="5" s="1"/>
  <c r="BA391" i="2"/>
  <c r="I391" i="5" s="1"/>
  <c r="AZ391" i="2"/>
  <c r="H391" i="5" s="1"/>
  <c r="AY391" i="2"/>
  <c r="G391" i="5" s="1"/>
  <c r="AX391" i="2"/>
  <c r="F391" i="5" s="1"/>
  <c r="AQ391" i="2"/>
  <c r="S391" i="2"/>
  <c r="G391" i="2"/>
  <c r="E391" i="2"/>
  <c r="BC390" i="2"/>
  <c r="K390" i="5" s="1"/>
  <c r="BB390" i="2"/>
  <c r="J390" i="5" s="1"/>
  <c r="BA390" i="2"/>
  <c r="I390" i="5" s="1"/>
  <c r="AZ390" i="2"/>
  <c r="H390" i="5" s="1"/>
  <c r="AY390" i="2"/>
  <c r="G390" i="5" s="1"/>
  <c r="AX390" i="2"/>
  <c r="F390" i="5" s="1"/>
  <c r="AQ390" i="2"/>
  <c r="S390" i="2"/>
  <c r="G390" i="2"/>
  <c r="E390" i="2"/>
  <c r="BC389" i="2"/>
  <c r="K389" i="5" s="1"/>
  <c r="BB389" i="2"/>
  <c r="J389" i="5" s="1"/>
  <c r="BA389" i="2"/>
  <c r="I389" i="5" s="1"/>
  <c r="AZ389" i="2"/>
  <c r="H389" i="5" s="1"/>
  <c r="AY389" i="2"/>
  <c r="G389" i="5" s="1"/>
  <c r="AX389" i="2"/>
  <c r="F389" i="5" s="1"/>
  <c r="AQ389" i="2"/>
  <c r="S389" i="2"/>
  <c r="G389" i="2"/>
  <c r="E389" i="2"/>
  <c r="BC388" i="2"/>
  <c r="K388" i="5" s="1"/>
  <c r="BB388" i="2"/>
  <c r="J388" i="5" s="1"/>
  <c r="BA388" i="2"/>
  <c r="I388" i="5" s="1"/>
  <c r="AZ388" i="2"/>
  <c r="H388" i="5" s="1"/>
  <c r="AY388" i="2"/>
  <c r="G388" i="5" s="1"/>
  <c r="AX388" i="2"/>
  <c r="F388" i="5" s="1"/>
  <c r="AQ388" i="2"/>
  <c r="S388" i="2"/>
  <c r="G388" i="2"/>
  <c r="E388" i="2"/>
  <c r="BC387" i="2"/>
  <c r="K387" i="5" s="1"/>
  <c r="BB387" i="2"/>
  <c r="J387" i="5" s="1"/>
  <c r="BA387" i="2"/>
  <c r="I387" i="5" s="1"/>
  <c r="AZ387" i="2"/>
  <c r="H387" i="5" s="1"/>
  <c r="AY387" i="2"/>
  <c r="G387" i="5" s="1"/>
  <c r="AX387" i="2"/>
  <c r="F387" i="5" s="1"/>
  <c r="AQ387" i="2"/>
  <c r="S387" i="2"/>
  <c r="G387" i="2"/>
  <c r="E387" i="2"/>
  <c r="BC386" i="2"/>
  <c r="K386" i="5" s="1"/>
  <c r="BB386" i="2"/>
  <c r="J386" i="5" s="1"/>
  <c r="BA386" i="2"/>
  <c r="I386" i="5" s="1"/>
  <c r="AZ386" i="2"/>
  <c r="H386" i="5" s="1"/>
  <c r="AY386" i="2"/>
  <c r="G386" i="5" s="1"/>
  <c r="AX386" i="2"/>
  <c r="F386" i="5" s="1"/>
  <c r="AQ386" i="2"/>
  <c r="S386" i="2"/>
  <c r="G386" i="2"/>
  <c r="E386" i="2"/>
  <c r="BC385" i="2"/>
  <c r="K385" i="5" s="1"/>
  <c r="BB385" i="2"/>
  <c r="J385" i="5" s="1"/>
  <c r="BA385" i="2"/>
  <c r="I385" i="5" s="1"/>
  <c r="AZ385" i="2"/>
  <c r="H385" i="5" s="1"/>
  <c r="AY385" i="2"/>
  <c r="G385" i="5" s="1"/>
  <c r="AX385" i="2"/>
  <c r="F385" i="5" s="1"/>
  <c r="AQ385" i="2"/>
  <c r="S385" i="2"/>
  <c r="G385" i="2"/>
  <c r="E385" i="2"/>
  <c r="BC384" i="2"/>
  <c r="K384" i="5" s="1"/>
  <c r="BB384" i="2"/>
  <c r="J384" i="5" s="1"/>
  <c r="BA384" i="2"/>
  <c r="I384" i="5" s="1"/>
  <c r="AZ384" i="2"/>
  <c r="H384" i="5" s="1"/>
  <c r="AY384" i="2"/>
  <c r="G384" i="5" s="1"/>
  <c r="AX384" i="2"/>
  <c r="F384" i="5" s="1"/>
  <c r="AQ384" i="2"/>
  <c r="S384" i="2"/>
  <c r="G384" i="2"/>
  <c r="E384" i="2"/>
  <c r="BC383" i="2"/>
  <c r="K383" i="5" s="1"/>
  <c r="BB383" i="2"/>
  <c r="J383" i="5" s="1"/>
  <c r="BA383" i="2"/>
  <c r="I383" i="5" s="1"/>
  <c r="AZ383" i="2"/>
  <c r="H383" i="5" s="1"/>
  <c r="AY383" i="2"/>
  <c r="G383" i="5" s="1"/>
  <c r="AX383" i="2"/>
  <c r="F383" i="5" s="1"/>
  <c r="AQ383" i="2"/>
  <c r="S383" i="2"/>
  <c r="G383" i="2"/>
  <c r="E383" i="2"/>
  <c r="BC382" i="2"/>
  <c r="K382" i="5" s="1"/>
  <c r="BB382" i="2"/>
  <c r="J382" i="5" s="1"/>
  <c r="BA382" i="2"/>
  <c r="I382" i="5" s="1"/>
  <c r="AZ382" i="2"/>
  <c r="H382" i="5" s="1"/>
  <c r="AY382" i="2"/>
  <c r="G382" i="5" s="1"/>
  <c r="AX382" i="2"/>
  <c r="F382" i="5" s="1"/>
  <c r="AQ382" i="2"/>
  <c r="S382" i="2"/>
  <c r="G382" i="2"/>
  <c r="E382" i="2"/>
  <c r="BC381" i="2"/>
  <c r="K381" i="5" s="1"/>
  <c r="BB381" i="2"/>
  <c r="J381" i="5" s="1"/>
  <c r="BA381" i="2"/>
  <c r="I381" i="5" s="1"/>
  <c r="AZ381" i="2"/>
  <c r="H381" i="5" s="1"/>
  <c r="AY381" i="2"/>
  <c r="G381" i="5" s="1"/>
  <c r="AX381" i="2"/>
  <c r="F381" i="5" s="1"/>
  <c r="AQ381" i="2"/>
  <c r="S381" i="2"/>
  <c r="G381" i="2"/>
  <c r="E381" i="2"/>
  <c r="BC380" i="2"/>
  <c r="K380" i="5" s="1"/>
  <c r="BB380" i="2"/>
  <c r="J380" i="5" s="1"/>
  <c r="BA380" i="2"/>
  <c r="I380" i="5" s="1"/>
  <c r="AZ380" i="2"/>
  <c r="H380" i="5" s="1"/>
  <c r="AY380" i="2"/>
  <c r="G380" i="5" s="1"/>
  <c r="AX380" i="2"/>
  <c r="F380" i="5" s="1"/>
  <c r="AQ380" i="2"/>
  <c r="S380" i="2"/>
  <c r="G380" i="2"/>
  <c r="E380" i="2"/>
  <c r="BC379" i="2"/>
  <c r="K379" i="5" s="1"/>
  <c r="BB379" i="2"/>
  <c r="J379" i="5" s="1"/>
  <c r="BA379" i="2"/>
  <c r="I379" i="5" s="1"/>
  <c r="AZ379" i="2"/>
  <c r="H379" i="5" s="1"/>
  <c r="AY379" i="2"/>
  <c r="G379" i="5" s="1"/>
  <c r="AX379" i="2"/>
  <c r="F379" i="5" s="1"/>
  <c r="AQ379" i="2"/>
  <c r="S379" i="2"/>
  <c r="G379" i="2"/>
  <c r="E379" i="2"/>
  <c r="BC378" i="2"/>
  <c r="K378" i="5" s="1"/>
  <c r="BB378" i="2"/>
  <c r="J378" i="5" s="1"/>
  <c r="BA378" i="2"/>
  <c r="I378" i="5" s="1"/>
  <c r="AZ378" i="2"/>
  <c r="H378" i="5" s="1"/>
  <c r="AY378" i="2"/>
  <c r="G378" i="5" s="1"/>
  <c r="AX378" i="2"/>
  <c r="F378" i="5" s="1"/>
  <c r="AQ378" i="2"/>
  <c r="S378" i="2"/>
  <c r="G378" i="2"/>
  <c r="E378" i="2"/>
  <c r="BC377" i="2"/>
  <c r="K377" i="5" s="1"/>
  <c r="BB377" i="2"/>
  <c r="J377" i="5" s="1"/>
  <c r="BA377" i="2"/>
  <c r="I377" i="5" s="1"/>
  <c r="AZ377" i="2"/>
  <c r="H377" i="5" s="1"/>
  <c r="AY377" i="2"/>
  <c r="G377" i="5" s="1"/>
  <c r="AX377" i="2"/>
  <c r="F377" i="5" s="1"/>
  <c r="AQ377" i="2"/>
  <c r="S377" i="2"/>
  <c r="G377" i="2"/>
  <c r="E377" i="2"/>
  <c r="BC376" i="2"/>
  <c r="K376" i="5" s="1"/>
  <c r="BB376" i="2"/>
  <c r="J376" i="5" s="1"/>
  <c r="BA376" i="2"/>
  <c r="I376" i="5" s="1"/>
  <c r="AZ376" i="2"/>
  <c r="H376" i="5" s="1"/>
  <c r="AY376" i="2"/>
  <c r="G376" i="5" s="1"/>
  <c r="AX376" i="2"/>
  <c r="F376" i="5" s="1"/>
  <c r="AQ376" i="2"/>
  <c r="S376" i="2"/>
  <c r="G376" i="2"/>
  <c r="E376" i="2"/>
  <c r="BC375" i="2"/>
  <c r="K375" i="5" s="1"/>
  <c r="BB375" i="2"/>
  <c r="J375" i="5" s="1"/>
  <c r="BA375" i="2"/>
  <c r="I375" i="5" s="1"/>
  <c r="AZ375" i="2"/>
  <c r="H375" i="5" s="1"/>
  <c r="AY375" i="2"/>
  <c r="G375" i="5" s="1"/>
  <c r="AX375" i="2"/>
  <c r="F375" i="5" s="1"/>
  <c r="AQ375" i="2"/>
  <c r="S375" i="2"/>
  <c r="G375" i="2"/>
  <c r="E375" i="2"/>
  <c r="BC374" i="2"/>
  <c r="K374" i="5" s="1"/>
  <c r="BB374" i="2"/>
  <c r="J374" i="5" s="1"/>
  <c r="BA374" i="2"/>
  <c r="I374" i="5" s="1"/>
  <c r="AZ374" i="2"/>
  <c r="H374" i="5" s="1"/>
  <c r="AY374" i="2"/>
  <c r="G374" i="5" s="1"/>
  <c r="AX374" i="2"/>
  <c r="F374" i="5" s="1"/>
  <c r="AQ374" i="2"/>
  <c r="S374" i="2"/>
  <c r="G374" i="2"/>
  <c r="E374" i="2"/>
  <c r="BC373" i="2"/>
  <c r="K373" i="5" s="1"/>
  <c r="BB373" i="2"/>
  <c r="J373" i="5" s="1"/>
  <c r="BA373" i="2"/>
  <c r="I373" i="5" s="1"/>
  <c r="AZ373" i="2"/>
  <c r="H373" i="5" s="1"/>
  <c r="AY373" i="2"/>
  <c r="G373" i="5" s="1"/>
  <c r="AX373" i="2"/>
  <c r="F373" i="5" s="1"/>
  <c r="AQ373" i="2"/>
  <c r="S373" i="2"/>
  <c r="G373" i="2"/>
  <c r="E373" i="2"/>
  <c r="BC372" i="2"/>
  <c r="K372" i="5" s="1"/>
  <c r="BB372" i="2"/>
  <c r="J372" i="5" s="1"/>
  <c r="BA372" i="2"/>
  <c r="I372" i="5" s="1"/>
  <c r="AZ372" i="2"/>
  <c r="H372" i="5" s="1"/>
  <c r="AY372" i="2"/>
  <c r="G372" i="5" s="1"/>
  <c r="AX372" i="2"/>
  <c r="F372" i="5" s="1"/>
  <c r="AQ372" i="2"/>
  <c r="S372" i="2"/>
  <c r="G372" i="2"/>
  <c r="E372" i="2"/>
  <c r="BC371" i="2"/>
  <c r="K371" i="5" s="1"/>
  <c r="BB371" i="2"/>
  <c r="J371" i="5" s="1"/>
  <c r="BA371" i="2"/>
  <c r="I371" i="5" s="1"/>
  <c r="AZ371" i="2"/>
  <c r="H371" i="5" s="1"/>
  <c r="AY371" i="2"/>
  <c r="G371" i="5" s="1"/>
  <c r="AX371" i="2"/>
  <c r="F371" i="5" s="1"/>
  <c r="AQ371" i="2"/>
  <c r="S371" i="2"/>
  <c r="G371" i="2"/>
  <c r="E371" i="2"/>
  <c r="BC370" i="2"/>
  <c r="K370" i="5" s="1"/>
  <c r="BB370" i="2"/>
  <c r="J370" i="5" s="1"/>
  <c r="BA370" i="2"/>
  <c r="I370" i="5" s="1"/>
  <c r="AZ370" i="2"/>
  <c r="H370" i="5" s="1"/>
  <c r="AY370" i="2"/>
  <c r="G370" i="5" s="1"/>
  <c r="AX370" i="2"/>
  <c r="F370" i="5" s="1"/>
  <c r="AQ370" i="2"/>
  <c r="S370" i="2"/>
  <c r="G370" i="2"/>
  <c r="E370" i="2"/>
  <c r="BC369" i="2"/>
  <c r="K369" i="5" s="1"/>
  <c r="BB369" i="2"/>
  <c r="J369" i="5" s="1"/>
  <c r="BA369" i="2"/>
  <c r="I369" i="5" s="1"/>
  <c r="AZ369" i="2"/>
  <c r="H369" i="5" s="1"/>
  <c r="AY369" i="2"/>
  <c r="G369" i="5" s="1"/>
  <c r="AX369" i="2"/>
  <c r="F369" i="5" s="1"/>
  <c r="AQ369" i="2"/>
  <c r="S369" i="2"/>
  <c r="G369" i="2"/>
  <c r="E369" i="2"/>
  <c r="BC368" i="2"/>
  <c r="K368" i="5" s="1"/>
  <c r="BB368" i="2"/>
  <c r="J368" i="5" s="1"/>
  <c r="BA368" i="2"/>
  <c r="I368" i="5" s="1"/>
  <c r="AZ368" i="2"/>
  <c r="H368" i="5" s="1"/>
  <c r="AY368" i="2"/>
  <c r="G368" i="5" s="1"/>
  <c r="AX368" i="2"/>
  <c r="F368" i="5" s="1"/>
  <c r="AQ368" i="2"/>
  <c r="S368" i="2"/>
  <c r="G368" i="2"/>
  <c r="E368" i="2"/>
  <c r="BC367" i="2"/>
  <c r="K367" i="5" s="1"/>
  <c r="BB367" i="2"/>
  <c r="J367" i="5" s="1"/>
  <c r="BA367" i="2"/>
  <c r="I367" i="5" s="1"/>
  <c r="AZ367" i="2"/>
  <c r="H367" i="5" s="1"/>
  <c r="AY367" i="2"/>
  <c r="G367" i="5" s="1"/>
  <c r="AX367" i="2"/>
  <c r="F367" i="5" s="1"/>
  <c r="AQ367" i="2"/>
  <c r="S367" i="2"/>
  <c r="G367" i="2"/>
  <c r="E367" i="2"/>
  <c r="BC366" i="2"/>
  <c r="K366" i="5" s="1"/>
  <c r="BB366" i="2"/>
  <c r="J366" i="5" s="1"/>
  <c r="BA366" i="2"/>
  <c r="I366" i="5" s="1"/>
  <c r="AZ366" i="2"/>
  <c r="H366" i="5" s="1"/>
  <c r="AY366" i="2"/>
  <c r="G366" i="5" s="1"/>
  <c r="AX366" i="2"/>
  <c r="F366" i="5" s="1"/>
  <c r="AQ366" i="2"/>
  <c r="S366" i="2"/>
  <c r="G366" i="2"/>
  <c r="E366" i="2"/>
  <c r="BC365" i="2"/>
  <c r="K365" i="5" s="1"/>
  <c r="BB365" i="2"/>
  <c r="J365" i="5" s="1"/>
  <c r="BA365" i="2"/>
  <c r="I365" i="5" s="1"/>
  <c r="AZ365" i="2"/>
  <c r="H365" i="5" s="1"/>
  <c r="AY365" i="2"/>
  <c r="G365" i="5" s="1"/>
  <c r="AX365" i="2"/>
  <c r="F365" i="5" s="1"/>
  <c r="AQ365" i="2"/>
  <c r="S365" i="2"/>
  <c r="G365" i="2"/>
  <c r="E365" i="2"/>
  <c r="BC364" i="2"/>
  <c r="K364" i="5" s="1"/>
  <c r="BB364" i="2"/>
  <c r="J364" i="5" s="1"/>
  <c r="BA364" i="2"/>
  <c r="I364" i="5" s="1"/>
  <c r="AZ364" i="2"/>
  <c r="H364" i="5" s="1"/>
  <c r="AY364" i="2"/>
  <c r="G364" i="5" s="1"/>
  <c r="AX364" i="2"/>
  <c r="F364" i="5" s="1"/>
  <c r="AQ364" i="2"/>
  <c r="S364" i="2"/>
  <c r="G364" i="2"/>
  <c r="E364" i="2"/>
  <c r="BC363" i="2"/>
  <c r="K363" i="5" s="1"/>
  <c r="BB363" i="2"/>
  <c r="J363" i="5" s="1"/>
  <c r="BA363" i="2"/>
  <c r="I363" i="5" s="1"/>
  <c r="AZ363" i="2"/>
  <c r="H363" i="5" s="1"/>
  <c r="AY363" i="2"/>
  <c r="G363" i="5" s="1"/>
  <c r="AX363" i="2"/>
  <c r="F363" i="5" s="1"/>
  <c r="AQ363" i="2"/>
  <c r="S363" i="2"/>
  <c r="G363" i="2"/>
  <c r="E363" i="2"/>
  <c r="BC362" i="2"/>
  <c r="K362" i="5" s="1"/>
  <c r="BB362" i="2"/>
  <c r="J362" i="5" s="1"/>
  <c r="BA362" i="2"/>
  <c r="I362" i="5" s="1"/>
  <c r="AZ362" i="2"/>
  <c r="H362" i="5" s="1"/>
  <c r="AY362" i="2"/>
  <c r="G362" i="5" s="1"/>
  <c r="AX362" i="2"/>
  <c r="F362" i="5" s="1"/>
  <c r="AQ362" i="2"/>
  <c r="S362" i="2"/>
  <c r="G362" i="2"/>
  <c r="E362" i="2"/>
  <c r="BC361" i="2"/>
  <c r="K361" i="5" s="1"/>
  <c r="BB361" i="2"/>
  <c r="J361" i="5" s="1"/>
  <c r="BA361" i="2"/>
  <c r="I361" i="5" s="1"/>
  <c r="AZ361" i="2"/>
  <c r="H361" i="5" s="1"/>
  <c r="AY361" i="2"/>
  <c r="G361" i="5" s="1"/>
  <c r="AX361" i="2"/>
  <c r="F361" i="5" s="1"/>
  <c r="AQ361" i="2"/>
  <c r="S361" i="2"/>
  <c r="G361" i="2"/>
  <c r="E361" i="2"/>
  <c r="BC360" i="2"/>
  <c r="K360" i="5" s="1"/>
  <c r="BB360" i="2"/>
  <c r="J360" i="5" s="1"/>
  <c r="BA360" i="2"/>
  <c r="I360" i="5" s="1"/>
  <c r="AZ360" i="2"/>
  <c r="H360" i="5" s="1"/>
  <c r="AY360" i="2"/>
  <c r="G360" i="5" s="1"/>
  <c r="AX360" i="2"/>
  <c r="F360" i="5" s="1"/>
  <c r="AQ360" i="2"/>
  <c r="S360" i="2"/>
  <c r="G360" i="2"/>
  <c r="E360" i="2"/>
  <c r="BC359" i="2"/>
  <c r="K359" i="5" s="1"/>
  <c r="BB359" i="2"/>
  <c r="J359" i="5" s="1"/>
  <c r="BA359" i="2"/>
  <c r="I359" i="5" s="1"/>
  <c r="AZ359" i="2"/>
  <c r="H359" i="5" s="1"/>
  <c r="AY359" i="2"/>
  <c r="G359" i="5" s="1"/>
  <c r="AX359" i="2"/>
  <c r="F359" i="5" s="1"/>
  <c r="AQ359" i="2"/>
  <c r="S359" i="2"/>
  <c r="G359" i="2"/>
  <c r="E359" i="2"/>
  <c r="BC358" i="2"/>
  <c r="K358" i="5" s="1"/>
  <c r="BB358" i="2"/>
  <c r="J358" i="5" s="1"/>
  <c r="BA358" i="2"/>
  <c r="I358" i="5" s="1"/>
  <c r="AZ358" i="2"/>
  <c r="H358" i="5" s="1"/>
  <c r="AY358" i="2"/>
  <c r="G358" i="5" s="1"/>
  <c r="AX358" i="2"/>
  <c r="F358" i="5" s="1"/>
  <c r="AQ358" i="2"/>
  <c r="S358" i="2"/>
  <c r="G358" i="2"/>
  <c r="E358" i="2"/>
  <c r="BC357" i="2"/>
  <c r="K357" i="5" s="1"/>
  <c r="BB357" i="2"/>
  <c r="J357" i="5" s="1"/>
  <c r="BA357" i="2"/>
  <c r="I357" i="5" s="1"/>
  <c r="AZ357" i="2"/>
  <c r="H357" i="5" s="1"/>
  <c r="AY357" i="2"/>
  <c r="G357" i="5" s="1"/>
  <c r="AX357" i="2"/>
  <c r="F357" i="5" s="1"/>
  <c r="AQ357" i="2"/>
  <c r="S357" i="2"/>
  <c r="G357" i="2"/>
  <c r="E357" i="2"/>
  <c r="BC356" i="2"/>
  <c r="K356" i="5" s="1"/>
  <c r="BB356" i="2"/>
  <c r="J356" i="5" s="1"/>
  <c r="BA356" i="2"/>
  <c r="I356" i="5" s="1"/>
  <c r="AZ356" i="2"/>
  <c r="H356" i="5" s="1"/>
  <c r="AY356" i="2"/>
  <c r="G356" i="5" s="1"/>
  <c r="AX356" i="2"/>
  <c r="F356" i="5" s="1"/>
  <c r="AQ356" i="2"/>
  <c r="S356" i="2"/>
  <c r="G356" i="2"/>
  <c r="E356" i="2"/>
  <c r="BC355" i="2"/>
  <c r="K355" i="5" s="1"/>
  <c r="BB355" i="2"/>
  <c r="J355" i="5" s="1"/>
  <c r="BA355" i="2"/>
  <c r="I355" i="5" s="1"/>
  <c r="AZ355" i="2"/>
  <c r="H355" i="5" s="1"/>
  <c r="AY355" i="2"/>
  <c r="G355" i="5" s="1"/>
  <c r="AX355" i="2"/>
  <c r="F355" i="5" s="1"/>
  <c r="AQ355" i="2"/>
  <c r="S355" i="2"/>
  <c r="G355" i="2"/>
  <c r="E355" i="2"/>
  <c r="BC354" i="2"/>
  <c r="K354" i="5" s="1"/>
  <c r="BB354" i="2"/>
  <c r="J354" i="5" s="1"/>
  <c r="BA354" i="2"/>
  <c r="I354" i="5" s="1"/>
  <c r="AZ354" i="2"/>
  <c r="H354" i="5" s="1"/>
  <c r="AY354" i="2"/>
  <c r="G354" i="5" s="1"/>
  <c r="AX354" i="2"/>
  <c r="F354" i="5" s="1"/>
  <c r="AQ354" i="2"/>
  <c r="S354" i="2"/>
  <c r="G354" i="2"/>
  <c r="E354" i="2"/>
  <c r="BC353" i="2"/>
  <c r="K353" i="5" s="1"/>
  <c r="BB353" i="2"/>
  <c r="J353" i="5" s="1"/>
  <c r="BA353" i="2"/>
  <c r="I353" i="5" s="1"/>
  <c r="AZ353" i="2"/>
  <c r="H353" i="5" s="1"/>
  <c r="AY353" i="2"/>
  <c r="G353" i="5" s="1"/>
  <c r="AX353" i="2"/>
  <c r="F353" i="5" s="1"/>
  <c r="AQ353" i="2"/>
  <c r="S353" i="2"/>
  <c r="G353" i="2"/>
  <c r="E353" i="2"/>
  <c r="BC352" i="2"/>
  <c r="K352" i="5" s="1"/>
  <c r="BB352" i="2"/>
  <c r="J352" i="5" s="1"/>
  <c r="BA352" i="2"/>
  <c r="I352" i="5" s="1"/>
  <c r="AZ352" i="2"/>
  <c r="H352" i="5" s="1"/>
  <c r="AY352" i="2"/>
  <c r="G352" i="5" s="1"/>
  <c r="AX352" i="2"/>
  <c r="F352" i="5" s="1"/>
  <c r="AQ352" i="2"/>
  <c r="S352" i="2"/>
  <c r="G352" i="2"/>
  <c r="E352" i="2"/>
  <c r="BC351" i="2"/>
  <c r="K351" i="5" s="1"/>
  <c r="BB351" i="2"/>
  <c r="J351" i="5" s="1"/>
  <c r="BA351" i="2"/>
  <c r="I351" i="5" s="1"/>
  <c r="AZ351" i="2"/>
  <c r="H351" i="5" s="1"/>
  <c r="AY351" i="2"/>
  <c r="G351" i="5" s="1"/>
  <c r="AX351" i="2"/>
  <c r="F351" i="5" s="1"/>
  <c r="AQ351" i="2"/>
  <c r="S351" i="2"/>
  <c r="G351" i="2"/>
  <c r="E351" i="2"/>
  <c r="BC350" i="2"/>
  <c r="K350" i="5" s="1"/>
  <c r="BB350" i="2"/>
  <c r="J350" i="5" s="1"/>
  <c r="BA350" i="2"/>
  <c r="I350" i="5" s="1"/>
  <c r="AZ350" i="2"/>
  <c r="H350" i="5" s="1"/>
  <c r="AY350" i="2"/>
  <c r="G350" i="5" s="1"/>
  <c r="AX350" i="2"/>
  <c r="F350" i="5" s="1"/>
  <c r="AQ350" i="2"/>
  <c r="S350" i="2"/>
  <c r="G350" i="2"/>
  <c r="E350" i="2"/>
  <c r="BC349" i="2"/>
  <c r="K349" i="5" s="1"/>
  <c r="BB349" i="2"/>
  <c r="J349" i="5" s="1"/>
  <c r="BA349" i="2"/>
  <c r="I349" i="5" s="1"/>
  <c r="AZ349" i="2"/>
  <c r="H349" i="5" s="1"/>
  <c r="AY349" i="2"/>
  <c r="G349" i="5" s="1"/>
  <c r="AX349" i="2"/>
  <c r="F349" i="5" s="1"/>
  <c r="AQ349" i="2"/>
  <c r="S349" i="2"/>
  <c r="G349" i="2"/>
  <c r="E349" i="2"/>
  <c r="BC348" i="2"/>
  <c r="K348" i="5" s="1"/>
  <c r="BB348" i="2"/>
  <c r="J348" i="5" s="1"/>
  <c r="BA348" i="2"/>
  <c r="I348" i="5" s="1"/>
  <c r="AZ348" i="2"/>
  <c r="H348" i="5" s="1"/>
  <c r="AY348" i="2"/>
  <c r="G348" i="5" s="1"/>
  <c r="AX348" i="2"/>
  <c r="F348" i="5" s="1"/>
  <c r="AQ348" i="2"/>
  <c r="S348" i="2"/>
  <c r="G348" i="2"/>
  <c r="E348" i="2"/>
  <c r="BC347" i="2"/>
  <c r="K347" i="5" s="1"/>
  <c r="BB347" i="2"/>
  <c r="J347" i="5" s="1"/>
  <c r="BA347" i="2"/>
  <c r="I347" i="5" s="1"/>
  <c r="AZ347" i="2"/>
  <c r="H347" i="5" s="1"/>
  <c r="AY347" i="2"/>
  <c r="G347" i="5" s="1"/>
  <c r="AX347" i="2"/>
  <c r="F347" i="5" s="1"/>
  <c r="AQ347" i="2"/>
  <c r="S347" i="2"/>
  <c r="G347" i="2"/>
  <c r="E347" i="2"/>
  <c r="BC346" i="2"/>
  <c r="K346" i="5" s="1"/>
  <c r="BB346" i="2"/>
  <c r="J346" i="5" s="1"/>
  <c r="BA346" i="2"/>
  <c r="I346" i="5" s="1"/>
  <c r="AZ346" i="2"/>
  <c r="H346" i="5" s="1"/>
  <c r="AY346" i="2"/>
  <c r="G346" i="5" s="1"/>
  <c r="AX346" i="2"/>
  <c r="F346" i="5" s="1"/>
  <c r="AQ346" i="2"/>
  <c r="S346" i="2"/>
  <c r="G346" i="2"/>
  <c r="E346" i="2"/>
  <c r="BC345" i="2"/>
  <c r="K345" i="5" s="1"/>
  <c r="BB345" i="2"/>
  <c r="J345" i="5" s="1"/>
  <c r="BA345" i="2"/>
  <c r="I345" i="5" s="1"/>
  <c r="AZ345" i="2"/>
  <c r="H345" i="5" s="1"/>
  <c r="AY345" i="2"/>
  <c r="G345" i="5" s="1"/>
  <c r="AX345" i="2"/>
  <c r="F345" i="5" s="1"/>
  <c r="AQ345" i="2"/>
  <c r="S345" i="2"/>
  <c r="G345" i="2"/>
  <c r="E345" i="2"/>
  <c r="BC344" i="2"/>
  <c r="K344" i="5" s="1"/>
  <c r="BB344" i="2"/>
  <c r="J344" i="5" s="1"/>
  <c r="BA344" i="2"/>
  <c r="I344" i="5" s="1"/>
  <c r="AZ344" i="2"/>
  <c r="H344" i="5" s="1"/>
  <c r="AY344" i="2"/>
  <c r="G344" i="5" s="1"/>
  <c r="AX344" i="2"/>
  <c r="F344" i="5" s="1"/>
  <c r="AQ344" i="2"/>
  <c r="S344" i="2"/>
  <c r="G344" i="2"/>
  <c r="E344" i="2"/>
  <c r="BC343" i="2"/>
  <c r="K343" i="5" s="1"/>
  <c r="BB343" i="2"/>
  <c r="J343" i="5" s="1"/>
  <c r="BA343" i="2"/>
  <c r="I343" i="5" s="1"/>
  <c r="AZ343" i="2"/>
  <c r="H343" i="5" s="1"/>
  <c r="AY343" i="2"/>
  <c r="G343" i="5" s="1"/>
  <c r="AX343" i="2"/>
  <c r="F343" i="5" s="1"/>
  <c r="AQ343" i="2"/>
  <c r="S343" i="2"/>
  <c r="G343" i="2"/>
  <c r="E343" i="2"/>
  <c r="BC342" i="2"/>
  <c r="K342" i="5" s="1"/>
  <c r="BB342" i="2"/>
  <c r="J342" i="5" s="1"/>
  <c r="BA342" i="2"/>
  <c r="I342" i="5" s="1"/>
  <c r="AZ342" i="2"/>
  <c r="H342" i="5" s="1"/>
  <c r="AY342" i="2"/>
  <c r="G342" i="5" s="1"/>
  <c r="AX342" i="2"/>
  <c r="F342" i="5" s="1"/>
  <c r="AQ342" i="2"/>
  <c r="S342" i="2"/>
  <c r="G342" i="2"/>
  <c r="E342" i="2"/>
  <c r="BC341" i="2"/>
  <c r="K341" i="5" s="1"/>
  <c r="BB341" i="2"/>
  <c r="J341" i="5" s="1"/>
  <c r="BA341" i="2"/>
  <c r="I341" i="5" s="1"/>
  <c r="AZ341" i="2"/>
  <c r="H341" i="5" s="1"/>
  <c r="AY341" i="2"/>
  <c r="G341" i="5" s="1"/>
  <c r="AX341" i="2"/>
  <c r="F341" i="5" s="1"/>
  <c r="AQ341" i="2"/>
  <c r="S341" i="2"/>
  <c r="G341" i="2"/>
  <c r="E341" i="2"/>
  <c r="BC340" i="2"/>
  <c r="K340" i="5" s="1"/>
  <c r="BB340" i="2"/>
  <c r="J340" i="5" s="1"/>
  <c r="BA340" i="2"/>
  <c r="I340" i="5" s="1"/>
  <c r="AZ340" i="2"/>
  <c r="H340" i="5" s="1"/>
  <c r="AY340" i="2"/>
  <c r="G340" i="5" s="1"/>
  <c r="AX340" i="2"/>
  <c r="F340" i="5" s="1"/>
  <c r="AQ340" i="2"/>
  <c r="S340" i="2"/>
  <c r="G340" i="2"/>
  <c r="E340" i="2"/>
  <c r="BC339" i="2"/>
  <c r="K339" i="5" s="1"/>
  <c r="BB339" i="2"/>
  <c r="J339" i="5" s="1"/>
  <c r="BA339" i="2"/>
  <c r="I339" i="5" s="1"/>
  <c r="AZ339" i="2"/>
  <c r="H339" i="5" s="1"/>
  <c r="AY339" i="2"/>
  <c r="G339" i="5" s="1"/>
  <c r="AX339" i="2"/>
  <c r="F339" i="5" s="1"/>
  <c r="AQ339" i="2"/>
  <c r="S339" i="2"/>
  <c r="G339" i="2"/>
  <c r="E339" i="2"/>
  <c r="BC338" i="2"/>
  <c r="K338" i="5" s="1"/>
  <c r="BB338" i="2"/>
  <c r="J338" i="5" s="1"/>
  <c r="BA338" i="2"/>
  <c r="I338" i="5" s="1"/>
  <c r="AZ338" i="2"/>
  <c r="H338" i="5" s="1"/>
  <c r="AY338" i="2"/>
  <c r="G338" i="5" s="1"/>
  <c r="AX338" i="2"/>
  <c r="F338" i="5" s="1"/>
  <c r="AQ338" i="2"/>
  <c r="S338" i="2"/>
  <c r="G338" i="2"/>
  <c r="E338" i="2"/>
  <c r="BC337" i="2"/>
  <c r="K337" i="5" s="1"/>
  <c r="BB337" i="2"/>
  <c r="J337" i="5" s="1"/>
  <c r="BA337" i="2"/>
  <c r="I337" i="5" s="1"/>
  <c r="AZ337" i="2"/>
  <c r="H337" i="5" s="1"/>
  <c r="AY337" i="2"/>
  <c r="G337" i="5" s="1"/>
  <c r="AX337" i="2"/>
  <c r="F337" i="5" s="1"/>
  <c r="AQ337" i="2"/>
  <c r="S337" i="2"/>
  <c r="G337" i="2"/>
  <c r="E337" i="2"/>
  <c r="BC336" i="2"/>
  <c r="K336" i="5" s="1"/>
  <c r="BB336" i="2"/>
  <c r="J336" i="5" s="1"/>
  <c r="BA336" i="2"/>
  <c r="I336" i="5" s="1"/>
  <c r="AZ336" i="2"/>
  <c r="H336" i="5" s="1"/>
  <c r="AY336" i="2"/>
  <c r="G336" i="5" s="1"/>
  <c r="AX336" i="2"/>
  <c r="F336" i="5" s="1"/>
  <c r="AQ336" i="2"/>
  <c r="S336" i="2"/>
  <c r="G336" i="2"/>
  <c r="E336" i="2"/>
  <c r="BC335" i="2"/>
  <c r="K335" i="5" s="1"/>
  <c r="BB335" i="2"/>
  <c r="J335" i="5" s="1"/>
  <c r="BA335" i="2"/>
  <c r="I335" i="5" s="1"/>
  <c r="AZ335" i="2"/>
  <c r="H335" i="5" s="1"/>
  <c r="AY335" i="2"/>
  <c r="G335" i="5" s="1"/>
  <c r="AX335" i="2"/>
  <c r="F335" i="5" s="1"/>
  <c r="AQ335" i="2"/>
  <c r="S335" i="2"/>
  <c r="G335" i="2"/>
  <c r="E335" i="2"/>
  <c r="BC334" i="2"/>
  <c r="K334" i="5" s="1"/>
  <c r="BB334" i="2"/>
  <c r="J334" i="5" s="1"/>
  <c r="BA334" i="2"/>
  <c r="I334" i="5" s="1"/>
  <c r="AZ334" i="2"/>
  <c r="H334" i="5" s="1"/>
  <c r="AY334" i="2"/>
  <c r="G334" i="5" s="1"/>
  <c r="AX334" i="2"/>
  <c r="F334" i="5" s="1"/>
  <c r="AQ334" i="2"/>
  <c r="S334" i="2"/>
  <c r="G334" i="2"/>
  <c r="E334" i="2"/>
  <c r="BC333" i="2"/>
  <c r="K333" i="5" s="1"/>
  <c r="BB333" i="2"/>
  <c r="J333" i="5" s="1"/>
  <c r="BA333" i="2"/>
  <c r="I333" i="5" s="1"/>
  <c r="AZ333" i="2"/>
  <c r="H333" i="5" s="1"/>
  <c r="AY333" i="2"/>
  <c r="G333" i="5" s="1"/>
  <c r="AX333" i="2"/>
  <c r="F333" i="5" s="1"/>
  <c r="AQ333" i="2"/>
  <c r="S333" i="2"/>
  <c r="G333" i="2"/>
  <c r="E333" i="2"/>
  <c r="BC332" i="2"/>
  <c r="K332" i="5" s="1"/>
  <c r="BB332" i="2"/>
  <c r="J332" i="5" s="1"/>
  <c r="BA332" i="2"/>
  <c r="I332" i="5" s="1"/>
  <c r="AZ332" i="2"/>
  <c r="H332" i="5" s="1"/>
  <c r="AY332" i="2"/>
  <c r="G332" i="5" s="1"/>
  <c r="AX332" i="2"/>
  <c r="F332" i="5" s="1"/>
  <c r="AQ332" i="2"/>
  <c r="S332" i="2"/>
  <c r="G332" i="2"/>
  <c r="E332" i="2"/>
  <c r="BC331" i="2"/>
  <c r="K331" i="5" s="1"/>
  <c r="BB331" i="2"/>
  <c r="J331" i="5" s="1"/>
  <c r="BA331" i="2"/>
  <c r="I331" i="5" s="1"/>
  <c r="AZ331" i="2"/>
  <c r="H331" i="5" s="1"/>
  <c r="AY331" i="2"/>
  <c r="G331" i="5" s="1"/>
  <c r="AX331" i="2"/>
  <c r="F331" i="5" s="1"/>
  <c r="AQ331" i="2"/>
  <c r="S331" i="2"/>
  <c r="G331" i="2"/>
  <c r="E331" i="2"/>
  <c r="BC330" i="2"/>
  <c r="K330" i="5" s="1"/>
  <c r="BB330" i="2"/>
  <c r="J330" i="5" s="1"/>
  <c r="BA330" i="2"/>
  <c r="I330" i="5" s="1"/>
  <c r="AZ330" i="2"/>
  <c r="H330" i="5" s="1"/>
  <c r="AY330" i="2"/>
  <c r="G330" i="5" s="1"/>
  <c r="AX330" i="2"/>
  <c r="F330" i="5" s="1"/>
  <c r="AQ330" i="2"/>
  <c r="S330" i="2"/>
  <c r="G330" i="2"/>
  <c r="E330" i="2"/>
  <c r="BC329" i="2"/>
  <c r="K329" i="5" s="1"/>
  <c r="BB329" i="2"/>
  <c r="J329" i="5" s="1"/>
  <c r="BA329" i="2"/>
  <c r="I329" i="5" s="1"/>
  <c r="AZ329" i="2"/>
  <c r="H329" i="5" s="1"/>
  <c r="AY329" i="2"/>
  <c r="G329" i="5" s="1"/>
  <c r="AX329" i="2"/>
  <c r="F329" i="5" s="1"/>
  <c r="AQ329" i="2"/>
  <c r="S329" i="2"/>
  <c r="G329" i="2"/>
  <c r="E329" i="2"/>
  <c r="BC328" i="2"/>
  <c r="K328" i="5" s="1"/>
  <c r="BB328" i="2"/>
  <c r="J328" i="5" s="1"/>
  <c r="BA328" i="2"/>
  <c r="I328" i="5" s="1"/>
  <c r="AZ328" i="2"/>
  <c r="H328" i="5" s="1"/>
  <c r="AY328" i="2"/>
  <c r="G328" i="5" s="1"/>
  <c r="AX328" i="2"/>
  <c r="F328" i="5" s="1"/>
  <c r="AQ328" i="2"/>
  <c r="S328" i="2"/>
  <c r="G328" i="2"/>
  <c r="E328" i="2"/>
  <c r="BC327" i="2"/>
  <c r="K327" i="5" s="1"/>
  <c r="BB327" i="2"/>
  <c r="J327" i="5" s="1"/>
  <c r="BA327" i="2"/>
  <c r="I327" i="5" s="1"/>
  <c r="AZ327" i="2"/>
  <c r="H327" i="5" s="1"/>
  <c r="AY327" i="2"/>
  <c r="G327" i="5" s="1"/>
  <c r="AX327" i="2"/>
  <c r="F327" i="5" s="1"/>
  <c r="AQ327" i="2"/>
  <c r="S327" i="2"/>
  <c r="G327" i="2"/>
  <c r="E327" i="2"/>
  <c r="BC326" i="2"/>
  <c r="K326" i="5" s="1"/>
  <c r="BB326" i="2"/>
  <c r="J326" i="5" s="1"/>
  <c r="BA326" i="2"/>
  <c r="I326" i="5" s="1"/>
  <c r="AZ326" i="2"/>
  <c r="H326" i="5" s="1"/>
  <c r="AY326" i="2"/>
  <c r="G326" i="5" s="1"/>
  <c r="AX326" i="2"/>
  <c r="F326" i="5" s="1"/>
  <c r="AQ326" i="2"/>
  <c r="S326" i="2"/>
  <c r="G326" i="2"/>
  <c r="E326" i="2"/>
  <c r="BC325" i="2"/>
  <c r="K325" i="5" s="1"/>
  <c r="BB325" i="2"/>
  <c r="J325" i="5" s="1"/>
  <c r="BA325" i="2"/>
  <c r="I325" i="5" s="1"/>
  <c r="AZ325" i="2"/>
  <c r="H325" i="5" s="1"/>
  <c r="AY325" i="2"/>
  <c r="G325" i="5" s="1"/>
  <c r="AX325" i="2"/>
  <c r="F325" i="5" s="1"/>
  <c r="AQ325" i="2"/>
  <c r="S325" i="2"/>
  <c r="G325" i="2"/>
  <c r="E325" i="2"/>
  <c r="BC324" i="2"/>
  <c r="K324" i="5" s="1"/>
  <c r="BB324" i="2"/>
  <c r="J324" i="5" s="1"/>
  <c r="BA324" i="2"/>
  <c r="I324" i="5" s="1"/>
  <c r="AZ324" i="2"/>
  <c r="H324" i="5" s="1"/>
  <c r="AY324" i="2"/>
  <c r="G324" i="5" s="1"/>
  <c r="AX324" i="2"/>
  <c r="F324" i="5" s="1"/>
  <c r="AQ324" i="2"/>
  <c r="S324" i="2"/>
  <c r="G324" i="2"/>
  <c r="E324" i="2"/>
  <c r="BC323" i="2"/>
  <c r="K323" i="5" s="1"/>
  <c r="BB323" i="2"/>
  <c r="J323" i="5" s="1"/>
  <c r="BA323" i="2"/>
  <c r="I323" i="5" s="1"/>
  <c r="AZ323" i="2"/>
  <c r="H323" i="5" s="1"/>
  <c r="AY323" i="2"/>
  <c r="G323" i="5" s="1"/>
  <c r="AX323" i="2"/>
  <c r="F323" i="5" s="1"/>
  <c r="AQ323" i="2"/>
  <c r="S323" i="2"/>
  <c r="G323" i="2"/>
  <c r="E323" i="2"/>
  <c r="BC322" i="2"/>
  <c r="K322" i="5" s="1"/>
  <c r="BB322" i="2"/>
  <c r="J322" i="5" s="1"/>
  <c r="BA322" i="2"/>
  <c r="I322" i="5" s="1"/>
  <c r="AZ322" i="2"/>
  <c r="H322" i="5" s="1"/>
  <c r="AY322" i="2"/>
  <c r="G322" i="5" s="1"/>
  <c r="AX322" i="2"/>
  <c r="F322" i="5" s="1"/>
  <c r="AQ322" i="2"/>
  <c r="S322" i="2"/>
  <c r="G322" i="2"/>
  <c r="E322" i="2"/>
  <c r="BC321" i="2"/>
  <c r="K321" i="5" s="1"/>
  <c r="BB321" i="2"/>
  <c r="J321" i="5" s="1"/>
  <c r="BA321" i="2"/>
  <c r="I321" i="5" s="1"/>
  <c r="AZ321" i="2"/>
  <c r="H321" i="5" s="1"/>
  <c r="AY321" i="2"/>
  <c r="G321" i="5" s="1"/>
  <c r="AX321" i="2"/>
  <c r="F321" i="5" s="1"/>
  <c r="AQ321" i="2"/>
  <c r="S321" i="2"/>
  <c r="G321" i="2"/>
  <c r="E321" i="2"/>
  <c r="BC320" i="2"/>
  <c r="K320" i="5" s="1"/>
  <c r="BB320" i="2"/>
  <c r="J320" i="5" s="1"/>
  <c r="BA320" i="2"/>
  <c r="I320" i="5" s="1"/>
  <c r="AZ320" i="2"/>
  <c r="H320" i="5" s="1"/>
  <c r="AY320" i="2"/>
  <c r="G320" i="5" s="1"/>
  <c r="AX320" i="2"/>
  <c r="F320" i="5" s="1"/>
  <c r="AQ320" i="2"/>
  <c r="S320" i="2"/>
  <c r="G320" i="2"/>
  <c r="E320" i="2"/>
  <c r="BC319" i="2"/>
  <c r="K319" i="5" s="1"/>
  <c r="BB319" i="2"/>
  <c r="J319" i="5" s="1"/>
  <c r="BA319" i="2"/>
  <c r="I319" i="5" s="1"/>
  <c r="AZ319" i="2"/>
  <c r="H319" i="5" s="1"/>
  <c r="AY319" i="2"/>
  <c r="G319" i="5" s="1"/>
  <c r="AX319" i="2"/>
  <c r="F319" i="5" s="1"/>
  <c r="AQ319" i="2"/>
  <c r="S319" i="2"/>
  <c r="G319" i="2"/>
  <c r="E319" i="2"/>
  <c r="BC318" i="2"/>
  <c r="K318" i="5" s="1"/>
  <c r="BB318" i="2"/>
  <c r="J318" i="5" s="1"/>
  <c r="BA318" i="2"/>
  <c r="I318" i="5" s="1"/>
  <c r="AZ318" i="2"/>
  <c r="H318" i="5" s="1"/>
  <c r="AY318" i="2"/>
  <c r="G318" i="5" s="1"/>
  <c r="AX318" i="2"/>
  <c r="F318" i="5" s="1"/>
  <c r="AQ318" i="2"/>
  <c r="S318" i="2"/>
  <c r="G318" i="2"/>
  <c r="E318" i="2"/>
  <c r="BC317" i="2"/>
  <c r="K317" i="5" s="1"/>
  <c r="BB317" i="2"/>
  <c r="J317" i="5" s="1"/>
  <c r="BA317" i="2"/>
  <c r="I317" i="5" s="1"/>
  <c r="AZ317" i="2"/>
  <c r="H317" i="5" s="1"/>
  <c r="AY317" i="2"/>
  <c r="G317" i="5" s="1"/>
  <c r="AX317" i="2"/>
  <c r="F317" i="5" s="1"/>
  <c r="AQ317" i="2"/>
  <c r="S317" i="2"/>
  <c r="G317" i="2"/>
  <c r="E317" i="2"/>
  <c r="BC316" i="2"/>
  <c r="K316" i="5" s="1"/>
  <c r="BB316" i="2"/>
  <c r="J316" i="5" s="1"/>
  <c r="BA316" i="2"/>
  <c r="I316" i="5" s="1"/>
  <c r="AZ316" i="2"/>
  <c r="H316" i="5" s="1"/>
  <c r="AY316" i="2"/>
  <c r="G316" i="5" s="1"/>
  <c r="AX316" i="2"/>
  <c r="F316" i="5" s="1"/>
  <c r="AQ316" i="2"/>
  <c r="S316" i="2"/>
  <c r="G316" i="2"/>
  <c r="E316" i="2"/>
  <c r="BC315" i="2"/>
  <c r="K315" i="5" s="1"/>
  <c r="BB315" i="2"/>
  <c r="J315" i="5" s="1"/>
  <c r="BA315" i="2"/>
  <c r="I315" i="5" s="1"/>
  <c r="AZ315" i="2"/>
  <c r="H315" i="5" s="1"/>
  <c r="AY315" i="2"/>
  <c r="G315" i="5" s="1"/>
  <c r="AX315" i="2"/>
  <c r="F315" i="5" s="1"/>
  <c r="AQ315" i="2"/>
  <c r="S315" i="2"/>
  <c r="G315" i="2"/>
  <c r="E315" i="2"/>
  <c r="BC314" i="2"/>
  <c r="K314" i="5" s="1"/>
  <c r="BB314" i="2"/>
  <c r="J314" i="5" s="1"/>
  <c r="BA314" i="2"/>
  <c r="I314" i="5" s="1"/>
  <c r="AZ314" i="2"/>
  <c r="H314" i="5" s="1"/>
  <c r="AY314" i="2"/>
  <c r="G314" i="5" s="1"/>
  <c r="AX314" i="2"/>
  <c r="F314" i="5" s="1"/>
  <c r="AQ314" i="2"/>
  <c r="S314" i="2"/>
  <c r="G314" i="2"/>
  <c r="E314" i="2"/>
  <c r="BC313" i="2"/>
  <c r="K313" i="5" s="1"/>
  <c r="BB313" i="2"/>
  <c r="J313" i="5" s="1"/>
  <c r="BA313" i="2"/>
  <c r="I313" i="5" s="1"/>
  <c r="AZ313" i="2"/>
  <c r="H313" i="5" s="1"/>
  <c r="AY313" i="2"/>
  <c r="G313" i="5" s="1"/>
  <c r="AX313" i="2"/>
  <c r="F313" i="5" s="1"/>
  <c r="AQ313" i="2"/>
  <c r="S313" i="2"/>
  <c r="G313" i="2"/>
  <c r="E313" i="2"/>
  <c r="BC312" i="2"/>
  <c r="K312" i="5" s="1"/>
  <c r="BB312" i="2"/>
  <c r="J312" i="5" s="1"/>
  <c r="BA312" i="2"/>
  <c r="I312" i="5" s="1"/>
  <c r="AZ312" i="2"/>
  <c r="H312" i="5" s="1"/>
  <c r="AY312" i="2"/>
  <c r="G312" i="5" s="1"/>
  <c r="AX312" i="2"/>
  <c r="F312" i="5" s="1"/>
  <c r="AQ312" i="2"/>
  <c r="S312" i="2"/>
  <c r="G312" i="2"/>
  <c r="E312" i="2"/>
  <c r="BC311" i="2"/>
  <c r="K311" i="5" s="1"/>
  <c r="BB311" i="2"/>
  <c r="J311" i="5" s="1"/>
  <c r="BA311" i="2"/>
  <c r="I311" i="5" s="1"/>
  <c r="AZ311" i="2"/>
  <c r="H311" i="5" s="1"/>
  <c r="AY311" i="2"/>
  <c r="G311" i="5" s="1"/>
  <c r="AX311" i="2"/>
  <c r="F311" i="5" s="1"/>
  <c r="AQ311" i="2"/>
  <c r="S311" i="2"/>
  <c r="G311" i="2"/>
  <c r="E311" i="2"/>
  <c r="BC310" i="2"/>
  <c r="K310" i="5" s="1"/>
  <c r="BB310" i="2"/>
  <c r="J310" i="5" s="1"/>
  <c r="BA310" i="2"/>
  <c r="I310" i="5" s="1"/>
  <c r="AZ310" i="2"/>
  <c r="H310" i="5" s="1"/>
  <c r="AY310" i="2"/>
  <c r="G310" i="5" s="1"/>
  <c r="AX310" i="2"/>
  <c r="F310" i="5" s="1"/>
  <c r="AQ310" i="2"/>
  <c r="S310" i="2"/>
  <c r="G310" i="2"/>
  <c r="E310" i="2"/>
  <c r="BC309" i="2"/>
  <c r="K309" i="5" s="1"/>
  <c r="BB309" i="2"/>
  <c r="J309" i="5" s="1"/>
  <c r="BA309" i="2"/>
  <c r="I309" i="5" s="1"/>
  <c r="AZ309" i="2"/>
  <c r="H309" i="5" s="1"/>
  <c r="AY309" i="2"/>
  <c r="G309" i="5" s="1"/>
  <c r="AX309" i="2"/>
  <c r="F309" i="5" s="1"/>
  <c r="AQ309" i="2"/>
  <c r="S309" i="2"/>
  <c r="G309" i="2"/>
  <c r="E309" i="2"/>
  <c r="BC308" i="2"/>
  <c r="K308" i="5" s="1"/>
  <c r="BB308" i="2"/>
  <c r="J308" i="5" s="1"/>
  <c r="BA308" i="2"/>
  <c r="I308" i="5" s="1"/>
  <c r="AZ308" i="2"/>
  <c r="H308" i="5" s="1"/>
  <c r="AY308" i="2"/>
  <c r="G308" i="5" s="1"/>
  <c r="AX308" i="2"/>
  <c r="F308" i="5" s="1"/>
  <c r="AQ308" i="2"/>
  <c r="S308" i="2"/>
  <c r="G308" i="2"/>
  <c r="E308" i="2"/>
  <c r="BC307" i="2"/>
  <c r="K307" i="5" s="1"/>
  <c r="BB307" i="2"/>
  <c r="J307" i="5" s="1"/>
  <c r="BA307" i="2"/>
  <c r="I307" i="5" s="1"/>
  <c r="AZ307" i="2"/>
  <c r="H307" i="5" s="1"/>
  <c r="AY307" i="2"/>
  <c r="G307" i="5" s="1"/>
  <c r="AX307" i="2"/>
  <c r="F307" i="5" s="1"/>
  <c r="AQ307" i="2"/>
  <c r="S307" i="2"/>
  <c r="G307" i="2"/>
  <c r="E307" i="2"/>
  <c r="BC306" i="2"/>
  <c r="K306" i="5" s="1"/>
  <c r="BB306" i="2"/>
  <c r="J306" i="5" s="1"/>
  <c r="BA306" i="2"/>
  <c r="I306" i="5" s="1"/>
  <c r="AZ306" i="2"/>
  <c r="H306" i="5" s="1"/>
  <c r="AY306" i="2"/>
  <c r="G306" i="5" s="1"/>
  <c r="AX306" i="2"/>
  <c r="F306" i="5" s="1"/>
  <c r="AQ306" i="2"/>
  <c r="S306" i="2"/>
  <c r="G306" i="2"/>
  <c r="E306" i="2"/>
  <c r="BC305" i="2"/>
  <c r="K305" i="5" s="1"/>
  <c r="BB305" i="2"/>
  <c r="J305" i="5" s="1"/>
  <c r="BA305" i="2"/>
  <c r="I305" i="5" s="1"/>
  <c r="AZ305" i="2"/>
  <c r="H305" i="5" s="1"/>
  <c r="AY305" i="2"/>
  <c r="G305" i="5" s="1"/>
  <c r="AX305" i="2"/>
  <c r="F305" i="5" s="1"/>
  <c r="AQ305" i="2"/>
  <c r="S305" i="2"/>
  <c r="G305" i="2"/>
  <c r="E305" i="2"/>
  <c r="BC304" i="2"/>
  <c r="K304" i="5" s="1"/>
  <c r="BB304" i="2"/>
  <c r="J304" i="5" s="1"/>
  <c r="BA304" i="2"/>
  <c r="I304" i="5" s="1"/>
  <c r="AZ304" i="2"/>
  <c r="H304" i="5" s="1"/>
  <c r="AY304" i="2"/>
  <c r="G304" i="5" s="1"/>
  <c r="AX304" i="2"/>
  <c r="F304" i="5" s="1"/>
  <c r="AQ304" i="2"/>
  <c r="S304" i="2"/>
  <c r="G304" i="2"/>
  <c r="E304" i="2"/>
  <c r="BC303" i="2"/>
  <c r="K303" i="5" s="1"/>
  <c r="BB303" i="2"/>
  <c r="J303" i="5" s="1"/>
  <c r="BA303" i="2"/>
  <c r="I303" i="5" s="1"/>
  <c r="AZ303" i="2"/>
  <c r="H303" i="5" s="1"/>
  <c r="AY303" i="2"/>
  <c r="G303" i="5" s="1"/>
  <c r="AX303" i="2"/>
  <c r="F303" i="5" s="1"/>
  <c r="AQ303" i="2"/>
  <c r="S303" i="2"/>
  <c r="G303" i="2"/>
  <c r="E303" i="2"/>
  <c r="BC302" i="2"/>
  <c r="K302" i="5" s="1"/>
  <c r="BB302" i="2"/>
  <c r="J302" i="5" s="1"/>
  <c r="BA302" i="2"/>
  <c r="I302" i="5" s="1"/>
  <c r="AZ302" i="2"/>
  <c r="H302" i="5" s="1"/>
  <c r="AY302" i="2"/>
  <c r="G302" i="5" s="1"/>
  <c r="AX302" i="2"/>
  <c r="F302" i="5" s="1"/>
  <c r="AQ302" i="2"/>
  <c r="S302" i="2"/>
  <c r="G302" i="2"/>
  <c r="E302" i="2"/>
  <c r="BC301" i="2"/>
  <c r="K301" i="5" s="1"/>
  <c r="BB301" i="2"/>
  <c r="J301" i="5" s="1"/>
  <c r="BA301" i="2"/>
  <c r="I301" i="5" s="1"/>
  <c r="AZ301" i="2"/>
  <c r="H301" i="5" s="1"/>
  <c r="AY301" i="2"/>
  <c r="G301" i="5" s="1"/>
  <c r="AX301" i="2"/>
  <c r="F301" i="5" s="1"/>
  <c r="AQ301" i="2"/>
  <c r="S301" i="2"/>
  <c r="G301" i="2"/>
  <c r="E301" i="2"/>
  <c r="BC300" i="2"/>
  <c r="K300" i="5" s="1"/>
  <c r="BB300" i="2"/>
  <c r="J300" i="5" s="1"/>
  <c r="BA300" i="2"/>
  <c r="I300" i="5" s="1"/>
  <c r="AZ300" i="2"/>
  <c r="H300" i="5" s="1"/>
  <c r="AY300" i="2"/>
  <c r="G300" i="5" s="1"/>
  <c r="AX300" i="2"/>
  <c r="F300" i="5" s="1"/>
  <c r="AQ300" i="2"/>
  <c r="S300" i="2"/>
  <c r="G300" i="2"/>
  <c r="E300" i="2"/>
  <c r="BC299" i="2"/>
  <c r="K299" i="5" s="1"/>
  <c r="BB299" i="2"/>
  <c r="J299" i="5" s="1"/>
  <c r="BA299" i="2"/>
  <c r="I299" i="5" s="1"/>
  <c r="AZ299" i="2"/>
  <c r="H299" i="5" s="1"/>
  <c r="AY299" i="2"/>
  <c r="G299" i="5" s="1"/>
  <c r="AX299" i="2"/>
  <c r="F299" i="5" s="1"/>
  <c r="AQ299" i="2"/>
  <c r="S299" i="2"/>
  <c r="G299" i="2"/>
  <c r="E299" i="2"/>
  <c r="BC298" i="2"/>
  <c r="K298" i="5" s="1"/>
  <c r="BB298" i="2"/>
  <c r="J298" i="5" s="1"/>
  <c r="BA298" i="2"/>
  <c r="I298" i="5" s="1"/>
  <c r="AZ298" i="2"/>
  <c r="H298" i="5" s="1"/>
  <c r="AY298" i="2"/>
  <c r="G298" i="5" s="1"/>
  <c r="AX298" i="2"/>
  <c r="F298" i="5" s="1"/>
  <c r="AQ298" i="2"/>
  <c r="S298" i="2"/>
  <c r="G298" i="2"/>
  <c r="E298" i="2"/>
  <c r="BC297" i="2"/>
  <c r="K297" i="5" s="1"/>
  <c r="BB297" i="2"/>
  <c r="J297" i="5" s="1"/>
  <c r="BA297" i="2"/>
  <c r="I297" i="5" s="1"/>
  <c r="AZ297" i="2"/>
  <c r="H297" i="5" s="1"/>
  <c r="AY297" i="2"/>
  <c r="G297" i="5" s="1"/>
  <c r="AX297" i="2"/>
  <c r="F297" i="5" s="1"/>
  <c r="AQ297" i="2"/>
  <c r="S297" i="2"/>
  <c r="G297" i="2"/>
  <c r="E297" i="2"/>
  <c r="BC296" i="2"/>
  <c r="K296" i="5" s="1"/>
  <c r="BB296" i="2"/>
  <c r="J296" i="5" s="1"/>
  <c r="BA296" i="2"/>
  <c r="I296" i="5" s="1"/>
  <c r="AZ296" i="2"/>
  <c r="H296" i="5" s="1"/>
  <c r="AY296" i="2"/>
  <c r="G296" i="5" s="1"/>
  <c r="AX296" i="2"/>
  <c r="F296" i="5" s="1"/>
  <c r="AQ296" i="2"/>
  <c r="S296" i="2"/>
  <c r="G296" i="2"/>
  <c r="E296" i="2"/>
  <c r="BC295" i="2"/>
  <c r="K295" i="5" s="1"/>
  <c r="BB295" i="2"/>
  <c r="J295" i="5" s="1"/>
  <c r="BA295" i="2"/>
  <c r="I295" i="5" s="1"/>
  <c r="AZ295" i="2"/>
  <c r="H295" i="5" s="1"/>
  <c r="AY295" i="2"/>
  <c r="G295" i="5" s="1"/>
  <c r="AX295" i="2"/>
  <c r="F295" i="5" s="1"/>
  <c r="AQ295" i="2"/>
  <c r="S295" i="2"/>
  <c r="G295" i="2"/>
  <c r="E295" i="2"/>
  <c r="BC294" i="2"/>
  <c r="K294" i="5" s="1"/>
  <c r="BB294" i="2"/>
  <c r="J294" i="5" s="1"/>
  <c r="BA294" i="2"/>
  <c r="I294" i="5" s="1"/>
  <c r="AZ294" i="2"/>
  <c r="H294" i="5" s="1"/>
  <c r="AY294" i="2"/>
  <c r="G294" i="5" s="1"/>
  <c r="AX294" i="2"/>
  <c r="F294" i="5" s="1"/>
  <c r="AQ294" i="2"/>
  <c r="S294" i="2"/>
  <c r="G294" i="2"/>
  <c r="E294" i="2"/>
  <c r="BC293" i="2"/>
  <c r="K293" i="5" s="1"/>
  <c r="BB293" i="2"/>
  <c r="J293" i="5" s="1"/>
  <c r="BA293" i="2"/>
  <c r="I293" i="5" s="1"/>
  <c r="AZ293" i="2"/>
  <c r="H293" i="5" s="1"/>
  <c r="AY293" i="2"/>
  <c r="G293" i="5" s="1"/>
  <c r="AX293" i="2"/>
  <c r="F293" i="5" s="1"/>
  <c r="AQ293" i="2"/>
  <c r="S293" i="2"/>
  <c r="G293" i="2"/>
  <c r="E293" i="2"/>
  <c r="BC292" i="2"/>
  <c r="K292" i="5" s="1"/>
  <c r="BB292" i="2"/>
  <c r="J292" i="5" s="1"/>
  <c r="BA292" i="2"/>
  <c r="I292" i="5" s="1"/>
  <c r="AZ292" i="2"/>
  <c r="H292" i="5" s="1"/>
  <c r="AY292" i="2"/>
  <c r="G292" i="5" s="1"/>
  <c r="AX292" i="2"/>
  <c r="F292" i="5" s="1"/>
  <c r="AQ292" i="2"/>
  <c r="S292" i="2"/>
  <c r="G292" i="2"/>
  <c r="E292" i="2"/>
  <c r="BC291" i="2"/>
  <c r="K291" i="5" s="1"/>
  <c r="BB291" i="2"/>
  <c r="J291" i="5" s="1"/>
  <c r="BA291" i="2"/>
  <c r="I291" i="5" s="1"/>
  <c r="AZ291" i="2"/>
  <c r="H291" i="5" s="1"/>
  <c r="AY291" i="2"/>
  <c r="G291" i="5" s="1"/>
  <c r="AX291" i="2"/>
  <c r="F291" i="5" s="1"/>
  <c r="AQ291" i="2"/>
  <c r="S291" i="2"/>
  <c r="G291" i="2"/>
  <c r="E291" i="2"/>
  <c r="BC290" i="2"/>
  <c r="K290" i="5" s="1"/>
  <c r="BB290" i="2"/>
  <c r="J290" i="5" s="1"/>
  <c r="BA290" i="2"/>
  <c r="I290" i="5" s="1"/>
  <c r="AZ290" i="2"/>
  <c r="H290" i="5" s="1"/>
  <c r="AY290" i="2"/>
  <c r="G290" i="5" s="1"/>
  <c r="AX290" i="2"/>
  <c r="F290" i="5" s="1"/>
  <c r="AQ290" i="2"/>
  <c r="S290" i="2"/>
  <c r="G290" i="2"/>
  <c r="E290" i="2"/>
  <c r="BC289" i="2"/>
  <c r="K289" i="5" s="1"/>
  <c r="BB289" i="2"/>
  <c r="J289" i="5" s="1"/>
  <c r="BA289" i="2"/>
  <c r="I289" i="5" s="1"/>
  <c r="AZ289" i="2"/>
  <c r="H289" i="5" s="1"/>
  <c r="AY289" i="2"/>
  <c r="G289" i="5" s="1"/>
  <c r="AX289" i="2"/>
  <c r="F289" i="5" s="1"/>
  <c r="AQ289" i="2"/>
  <c r="S289" i="2"/>
  <c r="G289" i="2"/>
  <c r="E289" i="2"/>
  <c r="BC288" i="2"/>
  <c r="K288" i="5" s="1"/>
  <c r="BB288" i="2"/>
  <c r="J288" i="5" s="1"/>
  <c r="BA288" i="2"/>
  <c r="I288" i="5" s="1"/>
  <c r="AZ288" i="2"/>
  <c r="H288" i="5" s="1"/>
  <c r="AY288" i="2"/>
  <c r="G288" i="5" s="1"/>
  <c r="AX288" i="2"/>
  <c r="F288" i="5" s="1"/>
  <c r="AQ288" i="2"/>
  <c r="S288" i="2"/>
  <c r="G288" i="2"/>
  <c r="E288" i="2"/>
  <c r="BC287" i="2"/>
  <c r="K287" i="5" s="1"/>
  <c r="BB287" i="2"/>
  <c r="J287" i="5" s="1"/>
  <c r="BA287" i="2"/>
  <c r="I287" i="5" s="1"/>
  <c r="AZ287" i="2"/>
  <c r="H287" i="5" s="1"/>
  <c r="AY287" i="2"/>
  <c r="G287" i="5" s="1"/>
  <c r="AX287" i="2"/>
  <c r="F287" i="5" s="1"/>
  <c r="AQ287" i="2"/>
  <c r="S287" i="2"/>
  <c r="G287" i="2"/>
  <c r="E287" i="2"/>
  <c r="BC286" i="2"/>
  <c r="K286" i="5" s="1"/>
  <c r="BB286" i="2"/>
  <c r="J286" i="5" s="1"/>
  <c r="BA286" i="2"/>
  <c r="I286" i="5" s="1"/>
  <c r="AZ286" i="2"/>
  <c r="H286" i="5" s="1"/>
  <c r="AY286" i="2"/>
  <c r="G286" i="5" s="1"/>
  <c r="AX286" i="2"/>
  <c r="F286" i="5" s="1"/>
  <c r="AQ286" i="2"/>
  <c r="S286" i="2"/>
  <c r="G286" i="2"/>
  <c r="E286" i="2"/>
  <c r="BC285" i="2"/>
  <c r="K285" i="5" s="1"/>
  <c r="BB285" i="2"/>
  <c r="J285" i="5" s="1"/>
  <c r="BA285" i="2"/>
  <c r="I285" i="5" s="1"/>
  <c r="AZ285" i="2"/>
  <c r="H285" i="5" s="1"/>
  <c r="AY285" i="2"/>
  <c r="G285" i="5" s="1"/>
  <c r="AX285" i="2"/>
  <c r="F285" i="5" s="1"/>
  <c r="AQ285" i="2"/>
  <c r="S285" i="2"/>
  <c r="G285" i="2"/>
  <c r="E285" i="2"/>
  <c r="BC284" i="2"/>
  <c r="K284" i="5" s="1"/>
  <c r="BB284" i="2"/>
  <c r="J284" i="5" s="1"/>
  <c r="BA284" i="2"/>
  <c r="I284" i="5" s="1"/>
  <c r="AZ284" i="2"/>
  <c r="H284" i="5" s="1"/>
  <c r="AY284" i="2"/>
  <c r="G284" i="5" s="1"/>
  <c r="AX284" i="2"/>
  <c r="F284" i="5" s="1"/>
  <c r="AQ284" i="2"/>
  <c r="S284" i="2"/>
  <c r="G284" i="2"/>
  <c r="E284" i="2"/>
  <c r="BC283" i="2"/>
  <c r="K283" i="5" s="1"/>
  <c r="BB283" i="2"/>
  <c r="J283" i="5" s="1"/>
  <c r="BA283" i="2"/>
  <c r="I283" i="5" s="1"/>
  <c r="AZ283" i="2"/>
  <c r="H283" i="5" s="1"/>
  <c r="AY283" i="2"/>
  <c r="G283" i="5" s="1"/>
  <c r="AX283" i="2"/>
  <c r="F283" i="5" s="1"/>
  <c r="AQ283" i="2"/>
  <c r="S283" i="2"/>
  <c r="G283" i="2"/>
  <c r="E283" i="2"/>
  <c r="BC282" i="2"/>
  <c r="K282" i="5" s="1"/>
  <c r="BB282" i="2"/>
  <c r="J282" i="5" s="1"/>
  <c r="BA282" i="2"/>
  <c r="I282" i="5" s="1"/>
  <c r="AZ282" i="2"/>
  <c r="H282" i="5" s="1"/>
  <c r="AY282" i="2"/>
  <c r="G282" i="5" s="1"/>
  <c r="AX282" i="2"/>
  <c r="F282" i="5" s="1"/>
  <c r="AQ282" i="2"/>
  <c r="S282" i="2"/>
  <c r="G282" i="2"/>
  <c r="E282" i="2"/>
  <c r="BC281" i="2"/>
  <c r="K281" i="5" s="1"/>
  <c r="BB281" i="2"/>
  <c r="J281" i="5" s="1"/>
  <c r="BA281" i="2"/>
  <c r="I281" i="5" s="1"/>
  <c r="AZ281" i="2"/>
  <c r="H281" i="5" s="1"/>
  <c r="AY281" i="2"/>
  <c r="G281" i="5" s="1"/>
  <c r="AX281" i="2"/>
  <c r="F281" i="5" s="1"/>
  <c r="AQ281" i="2"/>
  <c r="S281" i="2"/>
  <c r="G281" i="2"/>
  <c r="E281" i="2"/>
  <c r="BC280" i="2"/>
  <c r="K280" i="5" s="1"/>
  <c r="BB280" i="2"/>
  <c r="J280" i="5" s="1"/>
  <c r="BA280" i="2"/>
  <c r="I280" i="5" s="1"/>
  <c r="AZ280" i="2"/>
  <c r="H280" i="5" s="1"/>
  <c r="AY280" i="2"/>
  <c r="G280" i="5" s="1"/>
  <c r="AX280" i="2"/>
  <c r="F280" i="5" s="1"/>
  <c r="AQ280" i="2"/>
  <c r="S280" i="2"/>
  <c r="G280" i="2"/>
  <c r="E280" i="2"/>
  <c r="BC279" i="2"/>
  <c r="K279" i="5" s="1"/>
  <c r="BB279" i="2"/>
  <c r="J279" i="5" s="1"/>
  <c r="BA279" i="2"/>
  <c r="I279" i="5" s="1"/>
  <c r="AZ279" i="2"/>
  <c r="H279" i="5" s="1"/>
  <c r="AY279" i="2"/>
  <c r="G279" i="5" s="1"/>
  <c r="AX279" i="2"/>
  <c r="F279" i="5" s="1"/>
  <c r="AQ279" i="2"/>
  <c r="S279" i="2"/>
  <c r="G279" i="2"/>
  <c r="E279" i="2"/>
  <c r="BC278" i="2"/>
  <c r="K278" i="5" s="1"/>
  <c r="BB278" i="2"/>
  <c r="J278" i="5" s="1"/>
  <c r="BA278" i="2"/>
  <c r="I278" i="5" s="1"/>
  <c r="AZ278" i="2"/>
  <c r="H278" i="5" s="1"/>
  <c r="AY278" i="2"/>
  <c r="G278" i="5" s="1"/>
  <c r="AX278" i="2"/>
  <c r="F278" i="5" s="1"/>
  <c r="AQ278" i="2"/>
  <c r="S278" i="2"/>
  <c r="G278" i="2"/>
  <c r="E278" i="2"/>
  <c r="BC277" i="2"/>
  <c r="K277" i="5" s="1"/>
  <c r="BB277" i="2"/>
  <c r="J277" i="5" s="1"/>
  <c r="BA277" i="2"/>
  <c r="I277" i="5" s="1"/>
  <c r="AZ277" i="2"/>
  <c r="H277" i="5" s="1"/>
  <c r="AY277" i="2"/>
  <c r="G277" i="5" s="1"/>
  <c r="AX277" i="2"/>
  <c r="F277" i="5" s="1"/>
  <c r="AQ277" i="2"/>
  <c r="S277" i="2"/>
  <c r="G277" i="2"/>
  <c r="E277" i="2"/>
  <c r="BC276" i="2"/>
  <c r="K276" i="5" s="1"/>
  <c r="BB276" i="2"/>
  <c r="J276" i="5" s="1"/>
  <c r="BA276" i="2"/>
  <c r="I276" i="5" s="1"/>
  <c r="AZ276" i="2"/>
  <c r="H276" i="5" s="1"/>
  <c r="AY276" i="2"/>
  <c r="G276" i="5" s="1"/>
  <c r="AX276" i="2"/>
  <c r="F276" i="5" s="1"/>
  <c r="AQ276" i="2"/>
  <c r="S276" i="2"/>
  <c r="G276" i="2"/>
  <c r="E276" i="2"/>
  <c r="BC275" i="2"/>
  <c r="K275" i="5" s="1"/>
  <c r="BB275" i="2"/>
  <c r="J275" i="5" s="1"/>
  <c r="BA275" i="2"/>
  <c r="I275" i="5" s="1"/>
  <c r="AZ275" i="2"/>
  <c r="H275" i="5" s="1"/>
  <c r="AY275" i="2"/>
  <c r="G275" i="5" s="1"/>
  <c r="AX275" i="2"/>
  <c r="F275" i="5" s="1"/>
  <c r="AQ275" i="2"/>
  <c r="S275" i="2"/>
  <c r="G275" i="2"/>
  <c r="E275" i="2"/>
  <c r="BC274" i="2"/>
  <c r="K274" i="5" s="1"/>
  <c r="BB274" i="2"/>
  <c r="J274" i="5" s="1"/>
  <c r="BA274" i="2"/>
  <c r="I274" i="5" s="1"/>
  <c r="AZ274" i="2"/>
  <c r="H274" i="5" s="1"/>
  <c r="AY274" i="2"/>
  <c r="G274" i="5" s="1"/>
  <c r="AX274" i="2"/>
  <c r="F274" i="5" s="1"/>
  <c r="AQ274" i="2"/>
  <c r="S274" i="2"/>
  <c r="G274" i="2"/>
  <c r="E274" i="2"/>
  <c r="BC273" i="2"/>
  <c r="K273" i="5" s="1"/>
  <c r="BB273" i="2"/>
  <c r="J273" i="5" s="1"/>
  <c r="BA273" i="2"/>
  <c r="I273" i="5" s="1"/>
  <c r="AZ273" i="2"/>
  <c r="H273" i="5" s="1"/>
  <c r="AY273" i="2"/>
  <c r="G273" i="5" s="1"/>
  <c r="AX273" i="2"/>
  <c r="F273" i="5" s="1"/>
  <c r="AQ273" i="2"/>
  <c r="S273" i="2"/>
  <c r="G273" i="2"/>
  <c r="E273" i="2"/>
  <c r="BC272" i="2"/>
  <c r="K272" i="5" s="1"/>
  <c r="BB272" i="2"/>
  <c r="J272" i="5" s="1"/>
  <c r="BA272" i="2"/>
  <c r="I272" i="5" s="1"/>
  <c r="AZ272" i="2"/>
  <c r="H272" i="5" s="1"/>
  <c r="AY272" i="2"/>
  <c r="G272" i="5" s="1"/>
  <c r="AX272" i="2"/>
  <c r="F272" i="5" s="1"/>
  <c r="AQ272" i="2"/>
  <c r="S272" i="2"/>
  <c r="G272" i="2"/>
  <c r="E272" i="2"/>
  <c r="BC271" i="2"/>
  <c r="K271" i="5" s="1"/>
  <c r="BB271" i="2"/>
  <c r="J271" i="5" s="1"/>
  <c r="BA271" i="2"/>
  <c r="I271" i="5" s="1"/>
  <c r="AZ271" i="2"/>
  <c r="H271" i="5" s="1"/>
  <c r="AY271" i="2"/>
  <c r="G271" i="5" s="1"/>
  <c r="AX271" i="2"/>
  <c r="F271" i="5" s="1"/>
  <c r="AQ271" i="2"/>
  <c r="S271" i="2"/>
  <c r="G271" i="2"/>
  <c r="E271" i="2"/>
  <c r="BC270" i="2"/>
  <c r="K270" i="5" s="1"/>
  <c r="BB270" i="2"/>
  <c r="J270" i="5" s="1"/>
  <c r="BA270" i="2"/>
  <c r="I270" i="5" s="1"/>
  <c r="AZ270" i="2"/>
  <c r="H270" i="5" s="1"/>
  <c r="AY270" i="2"/>
  <c r="G270" i="5" s="1"/>
  <c r="AX270" i="2"/>
  <c r="F270" i="5" s="1"/>
  <c r="AQ270" i="2"/>
  <c r="S270" i="2"/>
  <c r="G270" i="2"/>
  <c r="E270" i="2"/>
  <c r="BC269" i="2"/>
  <c r="K269" i="5" s="1"/>
  <c r="BB269" i="2"/>
  <c r="J269" i="5" s="1"/>
  <c r="BA269" i="2"/>
  <c r="I269" i="5" s="1"/>
  <c r="AZ269" i="2"/>
  <c r="H269" i="5" s="1"/>
  <c r="AY269" i="2"/>
  <c r="G269" i="5" s="1"/>
  <c r="AX269" i="2"/>
  <c r="F269" i="5" s="1"/>
  <c r="AQ269" i="2"/>
  <c r="S269" i="2"/>
  <c r="G269" i="2"/>
  <c r="E269" i="2"/>
  <c r="BC268" i="2"/>
  <c r="K268" i="5" s="1"/>
  <c r="BB268" i="2"/>
  <c r="J268" i="5" s="1"/>
  <c r="BA268" i="2"/>
  <c r="I268" i="5" s="1"/>
  <c r="AZ268" i="2"/>
  <c r="H268" i="5" s="1"/>
  <c r="AY268" i="2"/>
  <c r="G268" i="5" s="1"/>
  <c r="AX268" i="2"/>
  <c r="F268" i="5" s="1"/>
  <c r="AQ268" i="2"/>
  <c r="S268" i="2"/>
  <c r="G268" i="2"/>
  <c r="E268" i="2"/>
  <c r="BC267" i="2"/>
  <c r="K267" i="5" s="1"/>
  <c r="BB267" i="2"/>
  <c r="J267" i="5" s="1"/>
  <c r="BA267" i="2"/>
  <c r="I267" i="5" s="1"/>
  <c r="AZ267" i="2"/>
  <c r="H267" i="5" s="1"/>
  <c r="AY267" i="2"/>
  <c r="G267" i="5" s="1"/>
  <c r="AX267" i="2"/>
  <c r="F267" i="5" s="1"/>
  <c r="AQ267" i="2"/>
  <c r="S267" i="2"/>
  <c r="G267" i="2"/>
  <c r="E267" i="2"/>
  <c r="BC266" i="2"/>
  <c r="K266" i="5" s="1"/>
  <c r="BB266" i="2"/>
  <c r="J266" i="5" s="1"/>
  <c r="BA266" i="2"/>
  <c r="I266" i="5" s="1"/>
  <c r="AZ266" i="2"/>
  <c r="H266" i="5" s="1"/>
  <c r="AY266" i="2"/>
  <c r="G266" i="5" s="1"/>
  <c r="AX266" i="2"/>
  <c r="F266" i="5" s="1"/>
  <c r="AQ266" i="2"/>
  <c r="S266" i="2"/>
  <c r="G266" i="2"/>
  <c r="E266" i="2"/>
  <c r="BC265" i="2"/>
  <c r="K265" i="5" s="1"/>
  <c r="BB265" i="2"/>
  <c r="J265" i="5" s="1"/>
  <c r="BA265" i="2"/>
  <c r="I265" i="5" s="1"/>
  <c r="AZ265" i="2"/>
  <c r="H265" i="5" s="1"/>
  <c r="AY265" i="2"/>
  <c r="G265" i="5" s="1"/>
  <c r="AX265" i="2"/>
  <c r="F265" i="5" s="1"/>
  <c r="AQ265" i="2"/>
  <c r="S265" i="2"/>
  <c r="G265" i="2"/>
  <c r="E265" i="2"/>
  <c r="BC264" i="2"/>
  <c r="K264" i="5" s="1"/>
  <c r="BB264" i="2"/>
  <c r="J264" i="5" s="1"/>
  <c r="BA264" i="2"/>
  <c r="I264" i="5" s="1"/>
  <c r="AZ264" i="2"/>
  <c r="H264" i="5" s="1"/>
  <c r="AY264" i="2"/>
  <c r="G264" i="5" s="1"/>
  <c r="AX264" i="2"/>
  <c r="F264" i="5" s="1"/>
  <c r="AQ264" i="2"/>
  <c r="S264" i="2"/>
  <c r="G264" i="2"/>
  <c r="E264" i="2"/>
  <c r="BC263" i="2"/>
  <c r="K263" i="5" s="1"/>
  <c r="BB263" i="2"/>
  <c r="J263" i="5" s="1"/>
  <c r="BA263" i="2"/>
  <c r="I263" i="5" s="1"/>
  <c r="AZ263" i="2"/>
  <c r="H263" i="5" s="1"/>
  <c r="AY263" i="2"/>
  <c r="G263" i="5" s="1"/>
  <c r="AX263" i="2"/>
  <c r="F263" i="5" s="1"/>
  <c r="AQ263" i="2"/>
  <c r="S263" i="2"/>
  <c r="G263" i="2"/>
  <c r="E263" i="2"/>
  <c r="BC262" i="2"/>
  <c r="K262" i="5" s="1"/>
  <c r="BB262" i="2"/>
  <c r="J262" i="5" s="1"/>
  <c r="BA262" i="2"/>
  <c r="I262" i="5" s="1"/>
  <c r="AZ262" i="2"/>
  <c r="H262" i="5" s="1"/>
  <c r="AY262" i="2"/>
  <c r="G262" i="5" s="1"/>
  <c r="AX262" i="2"/>
  <c r="F262" i="5" s="1"/>
  <c r="AQ262" i="2"/>
  <c r="S262" i="2"/>
  <c r="G262" i="2"/>
  <c r="E262" i="2"/>
  <c r="BC261" i="2"/>
  <c r="K261" i="5" s="1"/>
  <c r="BB261" i="2"/>
  <c r="J261" i="5" s="1"/>
  <c r="BA261" i="2"/>
  <c r="I261" i="5" s="1"/>
  <c r="AZ261" i="2"/>
  <c r="H261" i="5" s="1"/>
  <c r="AY261" i="2"/>
  <c r="G261" i="5" s="1"/>
  <c r="AX261" i="2"/>
  <c r="F261" i="5" s="1"/>
  <c r="AQ261" i="2"/>
  <c r="S261" i="2"/>
  <c r="G261" i="2"/>
  <c r="E261" i="2"/>
  <c r="BC260" i="2"/>
  <c r="K260" i="5" s="1"/>
  <c r="BB260" i="2"/>
  <c r="J260" i="5" s="1"/>
  <c r="BA260" i="2"/>
  <c r="I260" i="5" s="1"/>
  <c r="AZ260" i="2"/>
  <c r="H260" i="5" s="1"/>
  <c r="AY260" i="2"/>
  <c r="G260" i="5" s="1"/>
  <c r="AX260" i="2"/>
  <c r="F260" i="5" s="1"/>
  <c r="AQ260" i="2"/>
  <c r="S260" i="2"/>
  <c r="G260" i="2"/>
  <c r="E260" i="2"/>
  <c r="BC259" i="2"/>
  <c r="K259" i="5" s="1"/>
  <c r="BB259" i="2"/>
  <c r="J259" i="5" s="1"/>
  <c r="BA259" i="2"/>
  <c r="I259" i="5" s="1"/>
  <c r="AZ259" i="2"/>
  <c r="H259" i="5" s="1"/>
  <c r="AY259" i="2"/>
  <c r="G259" i="5" s="1"/>
  <c r="AX259" i="2"/>
  <c r="F259" i="5" s="1"/>
  <c r="AQ259" i="2"/>
  <c r="S259" i="2"/>
  <c r="G259" i="2"/>
  <c r="E259" i="2"/>
  <c r="BC258" i="2"/>
  <c r="K258" i="5" s="1"/>
  <c r="BB258" i="2"/>
  <c r="J258" i="5" s="1"/>
  <c r="BA258" i="2"/>
  <c r="I258" i="5" s="1"/>
  <c r="AZ258" i="2"/>
  <c r="H258" i="5" s="1"/>
  <c r="AY258" i="2"/>
  <c r="G258" i="5" s="1"/>
  <c r="AX258" i="2"/>
  <c r="F258" i="5" s="1"/>
  <c r="AQ258" i="2"/>
  <c r="S258" i="2"/>
  <c r="G258" i="2"/>
  <c r="E258" i="2"/>
  <c r="BC257" i="2"/>
  <c r="K257" i="5" s="1"/>
  <c r="BB257" i="2"/>
  <c r="J257" i="5" s="1"/>
  <c r="BA257" i="2"/>
  <c r="I257" i="5" s="1"/>
  <c r="AZ257" i="2"/>
  <c r="H257" i="5" s="1"/>
  <c r="AY257" i="2"/>
  <c r="G257" i="5" s="1"/>
  <c r="AX257" i="2"/>
  <c r="F257" i="5" s="1"/>
  <c r="AQ257" i="2"/>
  <c r="S257" i="2"/>
  <c r="G257" i="2"/>
  <c r="E257" i="2"/>
  <c r="BC256" i="2"/>
  <c r="K256" i="5" s="1"/>
  <c r="BB256" i="2"/>
  <c r="J256" i="5" s="1"/>
  <c r="BA256" i="2"/>
  <c r="I256" i="5" s="1"/>
  <c r="AZ256" i="2"/>
  <c r="H256" i="5" s="1"/>
  <c r="AY256" i="2"/>
  <c r="G256" i="5" s="1"/>
  <c r="AX256" i="2"/>
  <c r="F256" i="5" s="1"/>
  <c r="AQ256" i="2"/>
  <c r="S256" i="2"/>
  <c r="G256" i="2"/>
  <c r="E256" i="2"/>
  <c r="BC255" i="2"/>
  <c r="K255" i="5" s="1"/>
  <c r="BB255" i="2"/>
  <c r="J255" i="5" s="1"/>
  <c r="BA255" i="2"/>
  <c r="I255" i="5" s="1"/>
  <c r="AZ255" i="2"/>
  <c r="H255" i="5" s="1"/>
  <c r="AY255" i="2"/>
  <c r="G255" i="5" s="1"/>
  <c r="AX255" i="2"/>
  <c r="F255" i="5" s="1"/>
  <c r="AQ255" i="2"/>
  <c r="S255" i="2"/>
  <c r="G255" i="2"/>
  <c r="E255" i="2"/>
  <c r="BC254" i="2"/>
  <c r="K254" i="5" s="1"/>
  <c r="BB254" i="2"/>
  <c r="J254" i="5" s="1"/>
  <c r="BA254" i="2"/>
  <c r="I254" i="5" s="1"/>
  <c r="AZ254" i="2"/>
  <c r="H254" i="5" s="1"/>
  <c r="AY254" i="2"/>
  <c r="G254" i="5" s="1"/>
  <c r="AX254" i="2"/>
  <c r="F254" i="5" s="1"/>
  <c r="AQ254" i="2"/>
  <c r="S254" i="2"/>
  <c r="G254" i="2"/>
  <c r="E254" i="2"/>
  <c r="BC253" i="2"/>
  <c r="K253" i="5" s="1"/>
  <c r="BB253" i="2"/>
  <c r="J253" i="5" s="1"/>
  <c r="BA253" i="2"/>
  <c r="I253" i="5" s="1"/>
  <c r="AZ253" i="2"/>
  <c r="H253" i="5" s="1"/>
  <c r="AY253" i="2"/>
  <c r="G253" i="5" s="1"/>
  <c r="AX253" i="2"/>
  <c r="F253" i="5" s="1"/>
  <c r="AQ253" i="2"/>
  <c r="S253" i="2"/>
  <c r="G253" i="2"/>
  <c r="E253" i="2"/>
  <c r="BC252" i="2"/>
  <c r="K252" i="5" s="1"/>
  <c r="BB252" i="2"/>
  <c r="J252" i="5" s="1"/>
  <c r="BA252" i="2"/>
  <c r="I252" i="5" s="1"/>
  <c r="AZ252" i="2"/>
  <c r="H252" i="5" s="1"/>
  <c r="AY252" i="2"/>
  <c r="G252" i="5" s="1"/>
  <c r="AX252" i="2"/>
  <c r="F252" i="5" s="1"/>
  <c r="AQ252" i="2"/>
  <c r="S252" i="2"/>
  <c r="G252" i="2"/>
  <c r="E252" i="2"/>
  <c r="BC251" i="2"/>
  <c r="K251" i="5" s="1"/>
  <c r="BB251" i="2"/>
  <c r="J251" i="5" s="1"/>
  <c r="BA251" i="2"/>
  <c r="I251" i="5" s="1"/>
  <c r="AZ251" i="2"/>
  <c r="H251" i="5" s="1"/>
  <c r="AY251" i="2"/>
  <c r="G251" i="5" s="1"/>
  <c r="AX251" i="2"/>
  <c r="F251" i="5" s="1"/>
  <c r="AQ251" i="2"/>
  <c r="S251" i="2"/>
  <c r="G251" i="2"/>
  <c r="E251" i="2"/>
  <c r="BC250" i="2"/>
  <c r="K250" i="5" s="1"/>
  <c r="BB250" i="2"/>
  <c r="J250" i="5" s="1"/>
  <c r="BA250" i="2"/>
  <c r="I250" i="5" s="1"/>
  <c r="AZ250" i="2"/>
  <c r="H250" i="5" s="1"/>
  <c r="AY250" i="2"/>
  <c r="G250" i="5" s="1"/>
  <c r="AX250" i="2"/>
  <c r="F250" i="5" s="1"/>
  <c r="AQ250" i="2"/>
  <c r="S250" i="2"/>
  <c r="G250" i="2"/>
  <c r="E250" i="2"/>
  <c r="BC249" i="2"/>
  <c r="K249" i="5" s="1"/>
  <c r="BB249" i="2"/>
  <c r="J249" i="5" s="1"/>
  <c r="BA249" i="2"/>
  <c r="I249" i="5" s="1"/>
  <c r="AZ249" i="2"/>
  <c r="H249" i="5" s="1"/>
  <c r="AY249" i="2"/>
  <c r="G249" i="5" s="1"/>
  <c r="AX249" i="2"/>
  <c r="F249" i="5" s="1"/>
  <c r="AQ249" i="2"/>
  <c r="S249" i="2"/>
  <c r="G249" i="2"/>
  <c r="E249" i="2"/>
  <c r="BC248" i="2"/>
  <c r="K248" i="5" s="1"/>
  <c r="BB248" i="2"/>
  <c r="J248" i="5" s="1"/>
  <c r="BA248" i="2"/>
  <c r="I248" i="5" s="1"/>
  <c r="AZ248" i="2"/>
  <c r="H248" i="5" s="1"/>
  <c r="AY248" i="2"/>
  <c r="G248" i="5" s="1"/>
  <c r="AX248" i="2"/>
  <c r="F248" i="5" s="1"/>
  <c r="AQ248" i="2"/>
  <c r="S248" i="2"/>
  <c r="G248" i="2"/>
  <c r="E248" i="2"/>
  <c r="BC247" i="2"/>
  <c r="K247" i="5" s="1"/>
  <c r="BB247" i="2"/>
  <c r="J247" i="5" s="1"/>
  <c r="BA247" i="2"/>
  <c r="I247" i="5" s="1"/>
  <c r="AZ247" i="2"/>
  <c r="H247" i="5" s="1"/>
  <c r="AY247" i="2"/>
  <c r="G247" i="5" s="1"/>
  <c r="AX247" i="2"/>
  <c r="F247" i="5" s="1"/>
  <c r="AQ247" i="2"/>
  <c r="S247" i="2"/>
  <c r="G247" i="2"/>
  <c r="E247" i="2"/>
  <c r="BC246" i="2"/>
  <c r="K246" i="5" s="1"/>
  <c r="BB246" i="2"/>
  <c r="J246" i="5" s="1"/>
  <c r="BA246" i="2"/>
  <c r="I246" i="5" s="1"/>
  <c r="AZ246" i="2"/>
  <c r="H246" i="5" s="1"/>
  <c r="AY246" i="2"/>
  <c r="G246" i="5" s="1"/>
  <c r="AX246" i="2"/>
  <c r="F246" i="5" s="1"/>
  <c r="AQ246" i="2"/>
  <c r="S246" i="2"/>
  <c r="G246" i="2"/>
  <c r="E246" i="2"/>
  <c r="BC245" i="2"/>
  <c r="K245" i="5" s="1"/>
  <c r="BB245" i="2"/>
  <c r="J245" i="5" s="1"/>
  <c r="BA245" i="2"/>
  <c r="I245" i="5" s="1"/>
  <c r="AZ245" i="2"/>
  <c r="H245" i="5" s="1"/>
  <c r="AY245" i="2"/>
  <c r="G245" i="5" s="1"/>
  <c r="AX245" i="2"/>
  <c r="F245" i="5" s="1"/>
  <c r="AQ245" i="2"/>
  <c r="S245" i="2"/>
  <c r="G245" i="2"/>
  <c r="E245" i="2"/>
  <c r="BC244" i="2"/>
  <c r="K244" i="5" s="1"/>
  <c r="BB244" i="2"/>
  <c r="J244" i="5" s="1"/>
  <c r="BA244" i="2"/>
  <c r="I244" i="5" s="1"/>
  <c r="AZ244" i="2"/>
  <c r="H244" i="5" s="1"/>
  <c r="AY244" i="2"/>
  <c r="G244" i="5" s="1"/>
  <c r="AX244" i="2"/>
  <c r="F244" i="5" s="1"/>
  <c r="AQ244" i="2"/>
  <c r="S244" i="2"/>
  <c r="G244" i="2"/>
  <c r="E244" i="2"/>
  <c r="BC243" i="2"/>
  <c r="K243" i="5" s="1"/>
  <c r="BB243" i="2"/>
  <c r="J243" i="5" s="1"/>
  <c r="BA243" i="2"/>
  <c r="I243" i="5" s="1"/>
  <c r="AZ243" i="2"/>
  <c r="H243" i="5" s="1"/>
  <c r="AY243" i="2"/>
  <c r="G243" i="5" s="1"/>
  <c r="AX243" i="2"/>
  <c r="F243" i="5" s="1"/>
  <c r="AQ243" i="2"/>
  <c r="S243" i="2"/>
  <c r="G243" i="2"/>
  <c r="E243" i="2"/>
  <c r="BC242" i="2"/>
  <c r="K242" i="5" s="1"/>
  <c r="BB242" i="2"/>
  <c r="J242" i="5" s="1"/>
  <c r="BA242" i="2"/>
  <c r="I242" i="5" s="1"/>
  <c r="AZ242" i="2"/>
  <c r="H242" i="5" s="1"/>
  <c r="AY242" i="2"/>
  <c r="G242" i="5" s="1"/>
  <c r="AX242" i="2"/>
  <c r="F242" i="5" s="1"/>
  <c r="AQ242" i="2"/>
  <c r="S242" i="2"/>
  <c r="G242" i="2"/>
  <c r="E242" i="2"/>
  <c r="BC241" i="2"/>
  <c r="K241" i="5" s="1"/>
  <c r="BB241" i="2"/>
  <c r="J241" i="5" s="1"/>
  <c r="BA241" i="2"/>
  <c r="I241" i="5" s="1"/>
  <c r="AZ241" i="2"/>
  <c r="H241" i="5" s="1"/>
  <c r="AY241" i="2"/>
  <c r="G241" i="5" s="1"/>
  <c r="AX241" i="2"/>
  <c r="F241" i="5" s="1"/>
  <c r="AQ241" i="2"/>
  <c r="S241" i="2"/>
  <c r="G241" i="2"/>
  <c r="E241" i="2"/>
  <c r="BC240" i="2"/>
  <c r="K240" i="5" s="1"/>
  <c r="BB240" i="2"/>
  <c r="J240" i="5" s="1"/>
  <c r="BA240" i="2"/>
  <c r="I240" i="5" s="1"/>
  <c r="AZ240" i="2"/>
  <c r="H240" i="5" s="1"/>
  <c r="AY240" i="2"/>
  <c r="G240" i="5" s="1"/>
  <c r="AX240" i="2"/>
  <c r="F240" i="5" s="1"/>
  <c r="AQ240" i="2"/>
  <c r="S240" i="2"/>
  <c r="G240" i="2"/>
  <c r="E240" i="2"/>
  <c r="BC239" i="2"/>
  <c r="K239" i="5" s="1"/>
  <c r="BB239" i="2"/>
  <c r="J239" i="5" s="1"/>
  <c r="BA239" i="2"/>
  <c r="I239" i="5" s="1"/>
  <c r="AZ239" i="2"/>
  <c r="H239" i="5" s="1"/>
  <c r="AY239" i="2"/>
  <c r="G239" i="5" s="1"/>
  <c r="AX239" i="2"/>
  <c r="F239" i="5" s="1"/>
  <c r="AQ239" i="2"/>
  <c r="S239" i="2"/>
  <c r="G239" i="2"/>
  <c r="E239" i="2"/>
  <c r="BC238" i="2"/>
  <c r="K238" i="5" s="1"/>
  <c r="BB238" i="2"/>
  <c r="J238" i="5" s="1"/>
  <c r="BA238" i="2"/>
  <c r="I238" i="5" s="1"/>
  <c r="AZ238" i="2"/>
  <c r="H238" i="5" s="1"/>
  <c r="AY238" i="2"/>
  <c r="G238" i="5" s="1"/>
  <c r="AX238" i="2"/>
  <c r="F238" i="5" s="1"/>
  <c r="AQ238" i="2"/>
  <c r="S238" i="2"/>
  <c r="G238" i="2"/>
  <c r="E238" i="2"/>
  <c r="BC237" i="2"/>
  <c r="K237" i="5" s="1"/>
  <c r="BB237" i="2"/>
  <c r="J237" i="5" s="1"/>
  <c r="BA237" i="2"/>
  <c r="I237" i="5" s="1"/>
  <c r="AZ237" i="2"/>
  <c r="H237" i="5" s="1"/>
  <c r="AY237" i="2"/>
  <c r="G237" i="5" s="1"/>
  <c r="AX237" i="2"/>
  <c r="F237" i="5" s="1"/>
  <c r="AQ237" i="2"/>
  <c r="S237" i="2"/>
  <c r="G237" i="2"/>
  <c r="E237" i="2"/>
  <c r="BC236" i="2"/>
  <c r="K236" i="5" s="1"/>
  <c r="BB236" i="2"/>
  <c r="J236" i="5" s="1"/>
  <c r="BA236" i="2"/>
  <c r="I236" i="5" s="1"/>
  <c r="AZ236" i="2"/>
  <c r="H236" i="5" s="1"/>
  <c r="AY236" i="2"/>
  <c r="G236" i="5" s="1"/>
  <c r="AX236" i="2"/>
  <c r="F236" i="5" s="1"/>
  <c r="AQ236" i="2"/>
  <c r="S236" i="2"/>
  <c r="G236" i="2"/>
  <c r="E236" i="2"/>
  <c r="BC235" i="2"/>
  <c r="K235" i="5" s="1"/>
  <c r="BB235" i="2"/>
  <c r="J235" i="5" s="1"/>
  <c r="BA235" i="2"/>
  <c r="I235" i="5" s="1"/>
  <c r="AZ235" i="2"/>
  <c r="H235" i="5" s="1"/>
  <c r="AY235" i="2"/>
  <c r="G235" i="5" s="1"/>
  <c r="AX235" i="2"/>
  <c r="F235" i="5" s="1"/>
  <c r="AQ235" i="2"/>
  <c r="S235" i="2"/>
  <c r="G235" i="2"/>
  <c r="E235" i="2"/>
  <c r="BC234" i="2"/>
  <c r="K234" i="5" s="1"/>
  <c r="BB234" i="2"/>
  <c r="J234" i="5" s="1"/>
  <c r="BA234" i="2"/>
  <c r="I234" i="5" s="1"/>
  <c r="AZ234" i="2"/>
  <c r="H234" i="5" s="1"/>
  <c r="AY234" i="2"/>
  <c r="G234" i="5" s="1"/>
  <c r="AX234" i="2"/>
  <c r="F234" i="5" s="1"/>
  <c r="AQ234" i="2"/>
  <c r="S234" i="2"/>
  <c r="G234" i="2"/>
  <c r="E234" i="2"/>
  <c r="BC233" i="2"/>
  <c r="K233" i="5" s="1"/>
  <c r="BB233" i="2"/>
  <c r="J233" i="5" s="1"/>
  <c r="BA233" i="2"/>
  <c r="I233" i="5" s="1"/>
  <c r="AZ233" i="2"/>
  <c r="H233" i="5" s="1"/>
  <c r="AY233" i="2"/>
  <c r="G233" i="5" s="1"/>
  <c r="AX233" i="2"/>
  <c r="F233" i="5" s="1"/>
  <c r="AQ233" i="2"/>
  <c r="S233" i="2"/>
  <c r="G233" i="2"/>
  <c r="E233" i="2"/>
  <c r="BC232" i="2"/>
  <c r="K232" i="5" s="1"/>
  <c r="BB232" i="2"/>
  <c r="J232" i="5" s="1"/>
  <c r="BA232" i="2"/>
  <c r="I232" i="5" s="1"/>
  <c r="AZ232" i="2"/>
  <c r="H232" i="5" s="1"/>
  <c r="AY232" i="2"/>
  <c r="G232" i="5" s="1"/>
  <c r="AX232" i="2"/>
  <c r="F232" i="5" s="1"/>
  <c r="AQ232" i="2"/>
  <c r="S232" i="2"/>
  <c r="G232" i="2"/>
  <c r="E232" i="2"/>
  <c r="BC231" i="2"/>
  <c r="K231" i="5" s="1"/>
  <c r="BB231" i="2"/>
  <c r="J231" i="5" s="1"/>
  <c r="BA231" i="2"/>
  <c r="I231" i="5" s="1"/>
  <c r="AZ231" i="2"/>
  <c r="H231" i="5" s="1"/>
  <c r="AY231" i="2"/>
  <c r="G231" i="5" s="1"/>
  <c r="AX231" i="2"/>
  <c r="F231" i="5" s="1"/>
  <c r="AQ231" i="2"/>
  <c r="S231" i="2"/>
  <c r="G231" i="2"/>
  <c r="E231" i="2"/>
  <c r="BC230" i="2"/>
  <c r="K230" i="5" s="1"/>
  <c r="BB230" i="2"/>
  <c r="J230" i="5" s="1"/>
  <c r="BA230" i="2"/>
  <c r="I230" i="5" s="1"/>
  <c r="AZ230" i="2"/>
  <c r="H230" i="5" s="1"/>
  <c r="AY230" i="2"/>
  <c r="G230" i="5" s="1"/>
  <c r="AX230" i="2"/>
  <c r="F230" i="5" s="1"/>
  <c r="AQ230" i="2"/>
  <c r="S230" i="2"/>
  <c r="G230" i="2"/>
  <c r="E230" i="2"/>
  <c r="BC229" i="2"/>
  <c r="K229" i="5" s="1"/>
  <c r="BB229" i="2"/>
  <c r="J229" i="5" s="1"/>
  <c r="BA229" i="2"/>
  <c r="I229" i="5" s="1"/>
  <c r="AZ229" i="2"/>
  <c r="H229" i="5" s="1"/>
  <c r="AY229" i="2"/>
  <c r="G229" i="5" s="1"/>
  <c r="AX229" i="2"/>
  <c r="F229" i="5" s="1"/>
  <c r="AQ229" i="2"/>
  <c r="S229" i="2"/>
  <c r="G229" i="2"/>
  <c r="E229" i="2"/>
  <c r="BC228" i="2"/>
  <c r="K228" i="5" s="1"/>
  <c r="BB228" i="2"/>
  <c r="J228" i="5" s="1"/>
  <c r="BA228" i="2"/>
  <c r="I228" i="5" s="1"/>
  <c r="AZ228" i="2"/>
  <c r="H228" i="5" s="1"/>
  <c r="AY228" i="2"/>
  <c r="G228" i="5" s="1"/>
  <c r="AX228" i="2"/>
  <c r="F228" i="5" s="1"/>
  <c r="AQ228" i="2"/>
  <c r="S228" i="2"/>
  <c r="G228" i="2"/>
  <c r="E228" i="2"/>
  <c r="BC227" i="2"/>
  <c r="K227" i="5" s="1"/>
  <c r="BB227" i="2"/>
  <c r="J227" i="5" s="1"/>
  <c r="BA227" i="2"/>
  <c r="I227" i="5" s="1"/>
  <c r="AZ227" i="2"/>
  <c r="H227" i="5" s="1"/>
  <c r="AY227" i="2"/>
  <c r="G227" i="5" s="1"/>
  <c r="AX227" i="2"/>
  <c r="F227" i="5" s="1"/>
  <c r="AQ227" i="2"/>
  <c r="S227" i="2"/>
  <c r="G227" i="2"/>
  <c r="E227" i="2"/>
  <c r="BC226" i="2"/>
  <c r="K226" i="5" s="1"/>
  <c r="BB226" i="2"/>
  <c r="J226" i="5" s="1"/>
  <c r="BA226" i="2"/>
  <c r="I226" i="5" s="1"/>
  <c r="AZ226" i="2"/>
  <c r="H226" i="5" s="1"/>
  <c r="AY226" i="2"/>
  <c r="G226" i="5" s="1"/>
  <c r="AX226" i="2"/>
  <c r="F226" i="5" s="1"/>
  <c r="AQ226" i="2"/>
  <c r="S226" i="2"/>
  <c r="G226" i="2"/>
  <c r="E226" i="2"/>
  <c r="BC225" i="2"/>
  <c r="K225" i="5" s="1"/>
  <c r="BB225" i="2"/>
  <c r="J225" i="5" s="1"/>
  <c r="BA225" i="2"/>
  <c r="I225" i="5" s="1"/>
  <c r="AZ225" i="2"/>
  <c r="H225" i="5" s="1"/>
  <c r="AY225" i="2"/>
  <c r="G225" i="5" s="1"/>
  <c r="AX225" i="2"/>
  <c r="F225" i="5" s="1"/>
  <c r="AQ225" i="2"/>
  <c r="S225" i="2"/>
  <c r="G225" i="2"/>
  <c r="E225" i="2"/>
  <c r="BC224" i="2"/>
  <c r="K224" i="5" s="1"/>
  <c r="BB224" i="2"/>
  <c r="J224" i="5" s="1"/>
  <c r="BA224" i="2"/>
  <c r="I224" i="5" s="1"/>
  <c r="AZ224" i="2"/>
  <c r="H224" i="5" s="1"/>
  <c r="AY224" i="2"/>
  <c r="G224" i="5" s="1"/>
  <c r="AX224" i="2"/>
  <c r="F224" i="5" s="1"/>
  <c r="AQ224" i="2"/>
  <c r="S224" i="2"/>
  <c r="G224" i="2"/>
  <c r="E224" i="2"/>
  <c r="BC223" i="2"/>
  <c r="K223" i="5" s="1"/>
  <c r="BB223" i="2"/>
  <c r="J223" i="5" s="1"/>
  <c r="BA223" i="2"/>
  <c r="I223" i="5" s="1"/>
  <c r="AZ223" i="2"/>
  <c r="H223" i="5" s="1"/>
  <c r="AY223" i="2"/>
  <c r="G223" i="5" s="1"/>
  <c r="AX223" i="2"/>
  <c r="F223" i="5" s="1"/>
  <c r="AQ223" i="2"/>
  <c r="S223" i="2"/>
  <c r="G223" i="2"/>
  <c r="E223" i="2"/>
  <c r="BC222" i="2"/>
  <c r="K222" i="5" s="1"/>
  <c r="BB222" i="2"/>
  <c r="J222" i="5" s="1"/>
  <c r="BA222" i="2"/>
  <c r="I222" i="5" s="1"/>
  <c r="AZ222" i="2"/>
  <c r="H222" i="5" s="1"/>
  <c r="AY222" i="2"/>
  <c r="G222" i="5" s="1"/>
  <c r="AX222" i="2"/>
  <c r="F222" i="5" s="1"/>
  <c r="AQ222" i="2"/>
  <c r="S222" i="2"/>
  <c r="G222" i="2"/>
  <c r="E222" i="2"/>
  <c r="BC221" i="2"/>
  <c r="K221" i="5" s="1"/>
  <c r="BB221" i="2"/>
  <c r="J221" i="5" s="1"/>
  <c r="BA221" i="2"/>
  <c r="I221" i="5" s="1"/>
  <c r="AZ221" i="2"/>
  <c r="H221" i="5" s="1"/>
  <c r="AY221" i="2"/>
  <c r="G221" i="5" s="1"/>
  <c r="AX221" i="2"/>
  <c r="F221" i="5" s="1"/>
  <c r="AQ221" i="2"/>
  <c r="S221" i="2"/>
  <c r="G221" i="2"/>
  <c r="E221" i="2"/>
  <c r="BC220" i="2"/>
  <c r="K220" i="5" s="1"/>
  <c r="BB220" i="2"/>
  <c r="J220" i="5" s="1"/>
  <c r="BA220" i="2"/>
  <c r="I220" i="5" s="1"/>
  <c r="AZ220" i="2"/>
  <c r="H220" i="5" s="1"/>
  <c r="AY220" i="2"/>
  <c r="G220" i="5" s="1"/>
  <c r="AX220" i="2"/>
  <c r="F220" i="5" s="1"/>
  <c r="AQ220" i="2"/>
  <c r="S220" i="2"/>
  <c r="G220" i="2"/>
  <c r="E220" i="2"/>
  <c r="BC219" i="2"/>
  <c r="K219" i="5" s="1"/>
  <c r="BB219" i="2"/>
  <c r="J219" i="5" s="1"/>
  <c r="BA219" i="2"/>
  <c r="I219" i="5" s="1"/>
  <c r="AZ219" i="2"/>
  <c r="H219" i="5" s="1"/>
  <c r="AY219" i="2"/>
  <c r="G219" i="5" s="1"/>
  <c r="AX219" i="2"/>
  <c r="F219" i="5" s="1"/>
  <c r="AQ219" i="2"/>
  <c r="S219" i="2"/>
  <c r="G219" i="2"/>
  <c r="E219" i="2"/>
  <c r="BC218" i="2"/>
  <c r="K218" i="5" s="1"/>
  <c r="BB218" i="2"/>
  <c r="J218" i="5" s="1"/>
  <c r="BA218" i="2"/>
  <c r="I218" i="5" s="1"/>
  <c r="AZ218" i="2"/>
  <c r="H218" i="5" s="1"/>
  <c r="AY218" i="2"/>
  <c r="G218" i="5" s="1"/>
  <c r="AX218" i="2"/>
  <c r="F218" i="5" s="1"/>
  <c r="AQ218" i="2"/>
  <c r="S218" i="2"/>
  <c r="G218" i="2"/>
  <c r="E218" i="2"/>
  <c r="BC217" i="2"/>
  <c r="K217" i="5" s="1"/>
  <c r="BB217" i="2"/>
  <c r="J217" i="5" s="1"/>
  <c r="BA217" i="2"/>
  <c r="I217" i="5" s="1"/>
  <c r="AZ217" i="2"/>
  <c r="H217" i="5" s="1"/>
  <c r="AY217" i="2"/>
  <c r="G217" i="5" s="1"/>
  <c r="AX217" i="2"/>
  <c r="F217" i="5" s="1"/>
  <c r="AQ217" i="2"/>
  <c r="S217" i="2"/>
  <c r="G217" i="2"/>
  <c r="E217" i="2"/>
  <c r="BC216" i="2"/>
  <c r="K216" i="5" s="1"/>
  <c r="BB216" i="2"/>
  <c r="J216" i="5" s="1"/>
  <c r="BA216" i="2"/>
  <c r="I216" i="5" s="1"/>
  <c r="AZ216" i="2"/>
  <c r="H216" i="5" s="1"/>
  <c r="AY216" i="2"/>
  <c r="G216" i="5" s="1"/>
  <c r="AX216" i="2"/>
  <c r="F216" i="5" s="1"/>
  <c r="AQ216" i="2"/>
  <c r="S216" i="2"/>
  <c r="G216" i="2"/>
  <c r="E216" i="2"/>
  <c r="BC215" i="2"/>
  <c r="K215" i="5" s="1"/>
  <c r="BB215" i="2"/>
  <c r="J215" i="5" s="1"/>
  <c r="BA215" i="2"/>
  <c r="I215" i="5" s="1"/>
  <c r="AZ215" i="2"/>
  <c r="H215" i="5" s="1"/>
  <c r="AY215" i="2"/>
  <c r="G215" i="5" s="1"/>
  <c r="AX215" i="2"/>
  <c r="F215" i="5" s="1"/>
  <c r="AQ215" i="2"/>
  <c r="S215" i="2"/>
  <c r="G215" i="2"/>
  <c r="E215" i="2"/>
  <c r="BC214" i="2"/>
  <c r="K214" i="5" s="1"/>
  <c r="BB214" i="2"/>
  <c r="J214" i="5" s="1"/>
  <c r="BA214" i="2"/>
  <c r="I214" i="5" s="1"/>
  <c r="AZ214" i="2"/>
  <c r="H214" i="5" s="1"/>
  <c r="AY214" i="2"/>
  <c r="G214" i="5" s="1"/>
  <c r="AX214" i="2"/>
  <c r="F214" i="5" s="1"/>
  <c r="AQ214" i="2"/>
  <c r="S214" i="2"/>
  <c r="G214" i="2"/>
  <c r="E214" i="2"/>
  <c r="BC213" i="2"/>
  <c r="K213" i="5" s="1"/>
  <c r="BB213" i="2"/>
  <c r="J213" i="5" s="1"/>
  <c r="BA213" i="2"/>
  <c r="I213" i="5" s="1"/>
  <c r="AZ213" i="2"/>
  <c r="H213" i="5" s="1"/>
  <c r="AY213" i="2"/>
  <c r="G213" i="5" s="1"/>
  <c r="AX213" i="2"/>
  <c r="F213" i="5" s="1"/>
  <c r="AQ213" i="2"/>
  <c r="S213" i="2"/>
  <c r="G213" i="2"/>
  <c r="E213" i="2"/>
  <c r="BC212" i="2"/>
  <c r="K212" i="5" s="1"/>
  <c r="BB212" i="2"/>
  <c r="J212" i="5" s="1"/>
  <c r="BA212" i="2"/>
  <c r="I212" i="5" s="1"/>
  <c r="AZ212" i="2"/>
  <c r="H212" i="5" s="1"/>
  <c r="AY212" i="2"/>
  <c r="G212" i="5" s="1"/>
  <c r="AX212" i="2"/>
  <c r="F212" i="5" s="1"/>
  <c r="AQ212" i="2"/>
  <c r="S212" i="2"/>
  <c r="G212" i="2"/>
  <c r="E212" i="2"/>
  <c r="BC211" i="2"/>
  <c r="K211" i="5" s="1"/>
  <c r="BB211" i="2"/>
  <c r="J211" i="5" s="1"/>
  <c r="BA211" i="2"/>
  <c r="I211" i="5" s="1"/>
  <c r="AZ211" i="2"/>
  <c r="H211" i="5" s="1"/>
  <c r="AY211" i="2"/>
  <c r="G211" i="5" s="1"/>
  <c r="AX211" i="2"/>
  <c r="F211" i="5" s="1"/>
  <c r="AQ211" i="2"/>
  <c r="S211" i="2"/>
  <c r="G211" i="2"/>
  <c r="E211" i="2"/>
  <c r="BC210" i="2"/>
  <c r="K210" i="5" s="1"/>
  <c r="BB210" i="2"/>
  <c r="J210" i="5" s="1"/>
  <c r="BA210" i="2"/>
  <c r="I210" i="5" s="1"/>
  <c r="AZ210" i="2"/>
  <c r="H210" i="5" s="1"/>
  <c r="AY210" i="2"/>
  <c r="G210" i="5" s="1"/>
  <c r="AX210" i="2"/>
  <c r="F210" i="5" s="1"/>
  <c r="AQ210" i="2"/>
  <c r="S210" i="2"/>
  <c r="G210" i="2"/>
  <c r="E210" i="2"/>
  <c r="BC209" i="2"/>
  <c r="K209" i="5" s="1"/>
  <c r="BB209" i="2"/>
  <c r="J209" i="5" s="1"/>
  <c r="BA209" i="2"/>
  <c r="I209" i="5" s="1"/>
  <c r="AZ209" i="2"/>
  <c r="H209" i="5" s="1"/>
  <c r="AY209" i="2"/>
  <c r="G209" i="5" s="1"/>
  <c r="AX209" i="2"/>
  <c r="F209" i="5" s="1"/>
  <c r="AQ209" i="2"/>
  <c r="S209" i="2"/>
  <c r="G209" i="2"/>
  <c r="E209" i="2"/>
  <c r="BC208" i="2"/>
  <c r="K208" i="5" s="1"/>
  <c r="BB208" i="2"/>
  <c r="J208" i="5" s="1"/>
  <c r="BA208" i="2"/>
  <c r="I208" i="5" s="1"/>
  <c r="AZ208" i="2"/>
  <c r="H208" i="5" s="1"/>
  <c r="AY208" i="2"/>
  <c r="G208" i="5" s="1"/>
  <c r="AX208" i="2"/>
  <c r="F208" i="5" s="1"/>
  <c r="AQ208" i="2"/>
  <c r="S208" i="2"/>
  <c r="G208" i="2"/>
  <c r="E208" i="2"/>
  <c r="BC207" i="2"/>
  <c r="K207" i="5" s="1"/>
  <c r="BB207" i="2"/>
  <c r="J207" i="5" s="1"/>
  <c r="BA207" i="2"/>
  <c r="I207" i="5" s="1"/>
  <c r="AZ207" i="2"/>
  <c r="H207" i="5" s="1"/>
  <c r="AY207" i="2"/>
  <c r="G207" i="5" s="1"/>
  <c r="AX207" i="2"/>
  <c r="F207" i="5" s="1"/>
  <c r="AQ207" i="2"/>
  <c r="S207" i="2"/>
  <c r="G207" i="2"/>
  <c r="E207" i="2"/>
  <c r="BC206" i="2"/>
  <c r="K206" i="5" s="1"/>
  <c r="BB206" i="2"/>
  <c r="J206" i="5" s="1"/>
  <c r="BA206" i="2"/>
  <c r="I206" i="5" s="1"/>
  <c r="AZ206" i="2"/>
  <c r="H206" i="5" s="1"/>
  <c r="AY206" i="2"/>
  <c r="G206" i="5" s="1"/>
  <c r="AX206" i="2"/>
  <c r="F206" i="5" s="1"/>
  <c r="AQ206" i="2"/>
  <c r="S206" i="2"/>
  <c r="G206" i="2"/>
  <c r="E206" i="2"/>
  <c r="BC205" i="2"/>
  <c r="K205" i="5" s="1"/>
  <c r="BB205" i="2"/>
  <c r="J205" i="5" s="1"/>
  <c r="BA205" i="2"/>
  <c r="I205" i="5" s="1"/>
  <c r="AZ205" i="2"/>
  <c r="H205" i="5" s="1"/>
  <c r="AY205" i="2"/>
  <c r="G205" i="5" s="1"/>
  <c r="AX205" i="2"/>
  <c r="F205" i="5" s="1"/>
  <c r="AQ205" i="2"/>
  <c r="S205" i="2"/>
  <c r="G205" i="2"/>
  <c r="E205" i="2"/>
  <c r="BC204" i="2"/>
  <c r="K204" i="5" s="1"/>
  <c r="BB204" i="2"/>
  <c r="J204" i="5" s="1"/>
  <c r="BA204" i="2"/>
  <c r="I204" i="5" s="1"/>
  <c r="AZ204" i="2"/>
  <c r="H204" i="5" s="1"/>
  <c r="AY204" i="2"/>
  <c r="G204" i="5" s="1"/>
  <c r="AX204" i="2"/>
  <c r="F204" i="5" s="1"/>
  <c r="AQ204" i="2"/>
  <c r="S204" i="2"/>
  <c r="G204" i="2"/>
  <c r="E204" i="2"/>
  <c r="BC203" i="2"/>
  <c r="K203" i="5" s="1"/>
  <c r="BB203" i="2"/>
  <c r="J203" i="5" s="1"/>
  <c r="BA203" i="2"/>
  <c r="I203" i="5" s="1"/>
  <c r="AZ203" i="2"/>
  <c r="H203" i="5" s="1"/>
  <c r="AY203" i="2"/>
  <c r="G203" i="5" s="1"/>
  <c r="AX203" i="2"/>
  <c r="F203" i="5" s="1"/>
  <c r="AQ203" i="2"/>
  <c r="S203" i="2"/>
  <c r="G203" i="2"/>
  <c r="E203" i="2"/>
  <c r="BC202" i="2"/>
  <c r="K202" i="5" s="1"/>
  <c r="BB202" i="2"/>
  <c r="J202" i="5" s="1"/>
  <c r="BA202" i="2"/>
  <c r="I202" i="5" s="1"/>
  <c r="AZ202" i="2"/>
  <c r="H202" i="5" s="1"/>
  <c r="AY202" i="2"/>
  <c r="G202" i="5" s="1"/>
  <c r="AX202" i="2"/>
  <c r="F202" i="5" s="1"/>
  <c r="AQ202" i="2"/>
  <c r="S202" i="2"/>
  <c r="G202" i="2"/>
  <c r="E202" i="2"/>
  <c r="BC201" i="2"/>
  <c r="K201" i="5" s="1"/>
  <c r="BB201" i="2"/>
  <c r="J201" i="5" s="1"/>
  <c r="BA201" i="2"/>
  <c r="I201" i="5" s="1"/>
  <c r="AZ201" i="2"/>
  <c r="H201" i="5" s="1"/>
  <c r="AY201" i="2"/>
  <c r="G201" i="5" s="1"/>
  <c r="AX201" i="2"/>
  <c r="F201" i="5" s="1"/>
  <c r="AQ201" i="2"/>
  <c r="S201" i="2"/>
  <c r="G201" i="2"/>
  <c r="E201" i="2"/>
  <c r="BC200" i="2"/>
  <c r="K200" i="5" s="1"/>
  <c r="BB200" i="2"/>
  <c r="J200" i="5" s="1"/>
  <c r="BA200" i="2"/>
  <c r="I200" i="5" s="1"/>
  <c r="AZ200" i="2"/>
  <c r="H200" i="5" s="1"/>
  <c r="AY200" i="2"/>
  <c r="G200" i="5" s="1"/>
  <c r="AX200" i="2"/>
  <c r="F200" i="5" s="1"/>
  <c r="AQ200" i="2"/>
  <c r="S200" i="2"/>
  <c r="G200" i="2"/>
  <c r="E200" i="2"/>
  <c r="BC199" i="2"/>
  <c r="K199" i="5" s="1"/>
  <c r="BB199" i="2"/>
  <c r="J199" i="5" s="1"/>
  <c r="BA199" i="2"/>
  <c r="I199" i="5" s="1"/>
  <c r="AZ199" i="2"/>
  <c r="H199" i="5" s="1"/>
  <c r="AY199" i="2"/>
  <c r="G199" i="5" s="1"/>
  <c r="AX199" i="2"/>
  <c r="F199" i="5" s="1"/>
  <c r="AQ199" i="2"/>
  <c r="S199" i="2"/>
  <c r="G199" i="2"/>
  <c r="E199" i="2"/>
  <c r="BC198" i="2"/>
  <c r="K198" i="5" s="1"/>
  <c r="BB198" i="2"/>
  <c r="J198" i="5" s="1"/>
  <c r="BA198" i="2"/>
  <c r="I198" i="5" s="1"/>
  <c r="AZ198" i="2"/>
  <c r="H198" i="5" s="1"/>
  <c r="AY198" i="2"/>
  <c r="G198" i="5" s="1"/>
  <c r="AX198" i="2"/>
  <c r="F198" i="5" s="1"/>
  <c r="AQ198" i="2"/>
  <c r="S198" i="2"/>
  <c r="G198" i="2"/>
  <c r="E198" i="2"/>
  <c r="BC197" i="2"/>
  <c r="K197" i="5" s="1"/>
  <c r="BB197" i="2"/>
  <c r="J197" i="5" s="1"/>
  <c r="BA197" i="2"/>
  <c r="I197" i="5" s="1"/>
  <c r="AZ197" i="2"/>
  <c r="H197" i="5" s="1"/>
  <c r="AY197" i="2"/>
  <c r="G197" i="5" s="1"/>
  <c r="AX197" i="2"/>
  <c r="F197" i="5" s="1"/>
  <c r="AQ197" i="2"/>
  <c r="S197" i="2"/>
  <c r="G197" i="2"/>
  <c r="E197" i="2"/>
  <c r="BC196" i="2"/>
  <c r="K196" i="5" s="1"/>
  <c r="BB196" i="2"/>
  <c r="J196" i="5" s="1"/>
  <c r="BA196" i="2"/>
  <c r="I196" i="5" s="1"/>
  <c r="AZ196" i="2"/>
  <c r="H196" i="5" s="1"/>
  <c r="AY196" i="2"/>
  <c r="G196" i="5" s="1"/>
  <c r="AX196" i="2"/>
  <c r="F196" i="5" s="1"/>
  <c r="AQ196" i="2"/>
  <c r="S196" i="2"/>
  <c r="G196" i="2"/>
  <c r="E196" i="2"/>
  <c r="BC195" i="2"/>
  <c r="K195" i="5" s="1"/>
  <c r="BB195" i="2"/>
  <c r="J195" i="5" s="1"/>
  <c r="BA195" i="2"/>
  <c r="I195" i="5" s="1"/>
  <c r="AZ195" i="2"/>
  <c r="H195" i="5" s="1"/>
  <c r="AY195" i="2"/>
  <c r="G195" i="5" s="1"/>
  <c r="AX195" i="2"/>
  <c r="F195" i="5" s="1"/>
  <c r="AQ195" i="2"/>
  <c r="S195" i="2"/>
  <c r="G195" i="2"/>
  <c r="E195" i="2"/>
  <c r="BC194" i="2"/>
  <c r="K194" i="5" s="1"/>
  <c r="BB194" i="2"/>
  <c r="J194" i="5" s="1"/>
  <c r="BA194" i="2"/>
  <c r="I194" i="5" s="1"/>
  <c r="AZ194" i="2"/>
  <c r="H194" i="5" s="1"/>
  <c r="AY194" i="2"/>
  <c r="G194" i="5" s="1"/>
  <c r="AX194" i="2"/>
  <c r="F194" i="5" s="1"/>
  <c r="AQ194" i="2"/>
  <c r="S194" i="2"/>
  <c r="G194" i="2"/>
  <c r="E194" i="2"/>
  <c r="BC193" i="2"/>
  <c r="K193" i="5" s="1"/>
  <c r="BB193" i="2"/>
  <c r="J193" i="5" s="1"/>
  <c r="BA193" i="2"/>
  <c r="I193" i="5" s="1"/>
  <c r="AZ193" i="2"/>
  <c r="H193" i="5" s="1"/>
  <c r="AY193" i="2"/>
  <c r="G193" i="5" s="1"/>
  <c r="AX193" i="2"/>
  <c r="F193" i="5" s="1"/>
  <c r="AQ193" i="2"/>
  <c r="S193" i="2"/>
  <c r="G193" i="2"/>
  <c r="E193" i="2"/>
  <c r="BC192" i="2"/>
  <c r="K192" i="5" s="1"/>
  <c r="BB192" i="2"/>
  <c r="J192" i="5" s="1"/>
  <c r="BA192" i="2"/>
  <c r="I192" i="5" s="1"/>
  <c r="AZ192" i="2"/>
  <c r="H192" i="5" s="1"/>
  <c r="AY192" i="2"/>
  <c r="G192" i="5" s="1"/>
  <c r="AX192" i="2"/>
  <c r="F192" i="5" s="1"/>
  <c r="AQ192" i="2"/>
  <c r="S192" i="2"/>
  <c r="G192" i="2"/>
  <c r="E192" i="2"/>
  <c r="BC191" i="2"/>
  <c r="K191" i="5" s="1"/>
  <c r="BB191" i="2"/>
  <c r="J191" i="5" s="1"/>
  <c r="BA191" i="2"/>
  <c r="I191" i="5" s="1"/>
  <c r="AZ191" i="2"/>
  <c r="H191" i="5" s="1"/>
  <c r="AY191" i="2"/>
  <c r="G191" i="5" s="1"/>
  <c r="AX191" i="2"/>
  <c r="F191" i="5" s="1"/>
  <c r="AQ191" i="2"/>
  <c r="S191" i="2"/>
  <c r="G191" i="2"/>
  <c r="E191" i="2"/>
  <c r="BC190" i="2"/>
  <c r="K190" i="5" s="1"/>
  <c r="BB190" i="2"/>
  <c r="J190" i="5" s="1"/>
  <c r="BA190" i="2"/>
  <c r="I190" i="5" s="1"/>
  <c r="AZ190" i="2"/>
  <c r="H190" i="5" s="1"/>
  <c r="AY190" i="2"/>
  <c r="G190" i="5" s="1"/>
  <c r="AX190" i="2"/>
  <c r="F190" i="5" s="1"/>
  <c r="AQ190" i="2"/>
  <c r="S190" i="2"/>
  <c r="G190" i="2"/>
  <c r="E190" i="2"/>
  <c r="BC189" i="2"/>
  <c r="K189" i="5" s="1"/>
  <c r="BB189" i="2"/>
  <c r="J189" i="5" s="1"/>
  <c r="BA189" i="2"/>
  <c r="I189" i="5" s="1"/>
  <c r="AZ189" i="2"/>
  <c r="H189" i="5" s="1"/>
  <c r="AY189" i="2"/>
  <c r="G189" i="5" s="1"/>
  <c r="AX189" i="2"/>
  <c r="F189" i="5" s="1"/>
  <c r="AQ189" i="2"/>
  <c r="S189" i="2"/>
  <c r="G189" i="2"/>
  <c r="E189" i="2"/>
  <c r="BC188" i="2"/>
  <c r="K188" i="5" s="1"/>
  <c r="BB188" i="2"/>
  <c r="J188" i="5" s="1"/>
  <c r="BA188" i="2"/>
  <c r="I188" i="5" s="1"/>
  <c r="AZ188" i="2"/>
  <c r="H188" i="5" s="1"/>
  <c r="AY188" i="2"/>
  <c r="G188" i="5" s="1"/>
  <c r="AX188" i="2"/>
  <c r="F188" i="5" s="1"/>
  <c r="AQ188" i="2"/>
  <c r="S188" i="2"/>
  <c r="G188" i="2"/>
  <c r="E188" i="2"/>
  <c r="BC187" i="2"/>
  <c r="K187" i="5" s="1"/>
  <c r="BB187" i="2"/>
  <c r="J187" i="5" s="1"/>
  <c r="BA187" i="2"/>
  <c r="I187" i="5" s="1"/>
  <c r="AZ187" i="2"/>
  <c r="H187" i="5" s="1"/>
  <c r="AY187" i="2"/>
  <c r="G187" i="5" s="1"/>
  <c r="AX187" i="2"/>
  <c r="F187" i="5" s="1"/>
  <c r="AQ187" i="2"/>
  <c r="S187" i="2"/>
  <c r="G187" i="2"/>
  <c r="E187" i="2"/>
  <c r="BC186" i="2"/>
  <c r="K186" i="5" s="1"/>
  <c r="BB186" i="2"/>
  <c r="J186" i="5" s="1"/>
  <c r="BA186" i="2"/>
  <c r="I186" i="5" s="1"/>
  <c r="AZ186" i="2"/>
  <c r="H186" i="5" s="1"/>
  <c r="AY186" i="2"/>
  <c r="G186" i="5" s="1"/>
  <c r="AX186" i="2"/>
  <c r="F186" i="5" s="1"/>
  <c r="AQ186" i="2"/>
  <c r="S186" i="2"/>
  <c r="G186" i="2"/>
  <c r="E186" i="2"/>
  <c r="BC185" i="2"/>
  <c r="K185" i="5" s="1"/>
  <c r="BB185" i="2"/>
  <c r="J185" i="5" s="1"/>
  <c r="BA185" i="2"/>
  <c r="I185" i="5" s="1"/>
  <c r="AZ185" i="2"/>
  <c r="H185" i="5" s="1"/>
  <c r="AY185" i="2"/>
  <c r="G185" i="5" s="1"/>
  <c r="AX185" i="2"/>
  <c r="F185" i="5" s="1"/>
  <c r="AQ185" i="2"/>
  <c r="S185" i="2"/>
  <c r="G185" i="2"/>
  <c r="E185" i="2"/>
  <c r="BC184" i="2"/>
  <c r="K184" i="5" s="1"/>
  <c r="BB184" i="2"/>
  <c r="J184" i="5" s="1"/>
  <c r="BA184" i="2"/>
  <c r="I184" i="5" s="1"/>
  <c r="AZ184" i="2"/>
  <c r="H184" i="5" s="1"/>
  <c r="AY184" i="2"/>
  <c r="G184" i="5" s="1"/>
  <c r="AX184" i="2"/>
  <c r="F184" i="5" s="1"/>
  <c r="AQ184" i="2"/>
  <c r="S184" i="2"/>
  <c r="G184" i="2"/>
  <c r="E184" i="2"/>
  <c r="BC183" i="2"/>
  <c r="K183" i="5" s="1"/>
  <c r="BB183" i="2"/>
  <c r="J183" i="5" s="1"/>
  <c r="BA183" i="2"/>
  <c r="I183" i="5" s="1"/>
  <c r="AZ183" i="2"/>
  <c r="H183" i="5" s="1"/>
  <c r="AY183" i="2"/>
  <c r="G183" i="5" s="1"/>
  <c r="AX183" i="2"/>
  <c r="F183" i="5" s="1"/>
  <c r="AQ183" i="2"/>
  <c r="S183" i="2"/>
  <c r="G183" i="2"/>
  <c r="E183" i="2"/>
  <c r="BC182" i="2"/>
  <c r="K182" i="5" s="1"/>
  <c r="BB182" i="2"/>
  <c r="J182" i="5" s="1"/>
  <c r="BA182" i="2"/>
  <c r="I182" i="5" s="1"/>
  <c r="AZ182" i="2"/>
  <c r="H182" i="5" s="1"/>
  <c r="AY182" i="2"/>
  <c r="G182" i="5" s="1"/>
  <c r="AX182" i="2"/>
  <c r="F182" i="5" s="1"/>
  <c r="AQ182" i="2"/>
  <c r="S182" i="2"/>
  <c r="G182" i="2"/>
  <c r="E182" i="2"/>
  <c r="BC181" i="2"/>
  <c r="K181" i="5" s="1"/>
  <c r="BB181" i="2"/>
  <c r="J181" i="5" s="1"/>
  <c r="BA181" i="2"/>
  <c r="I181" i="5" s="1"/>
  <c r="AZ181" i="2"/>
  <c r="H181" i="5" s="1"/>
  <c r="AY181" i="2"/>
  <c r="G181" i="5" s="1"/>
  <c r="AX181" i="2"/>
  <c r="F181" i="5" s="1"/>
  <c r="AQ181" i="2"/>
  <c r="S181" i="2"/>
  <c r="G181" i="2"/>
  <c r="E181" i="2"/>
  <c r="BC180" i="2"/>
  <c r="K180" i="5" s="1"/>
  <c r="BB180" i="2"/>
  <c r="J180" i="5" s="1"/>
  <c r="BA180" i="2"/>
  <c r="I180" i="5" s="1"/>
  <c r="AZ180" i="2"/>
  <c r="H180" i="5" s="1"/>
  <c r="AY180" i="2"/>
  <c r="G180" i="5" s="1"/>
  <c r="AX180" i="2"/>
  <c r="F180" i="5" s="1"/>
  <c r="AQ180" i="2"/>
  <c r="S180" i="2"/>
  <c r="G180" i="2"/>
  <c r="E180" i="2"/>
  <c r="BC179" i="2"/>
  <c r="K179" i="5" s="1"/>
  <c r="BB179" i="2"/>
  <c r="J179" i="5" s="1"/>
  <c r="BA179" i="2"/>
  <c r="I179" i="5" s="1"/>
  <c r="AZ179" i="2"/>
  <c r="H179" i="5" s="1"/>
  <c r="AY179" i="2"/>
  <c r="G179" i="5" s="1"/>
  <c r="AX179" i="2"/>
  <c r="F179" i="5" s="1"/>
  <c r="AQ179" i="2"/>
  <c r="S179" i="2"/>
  <c r="G179" i="2"/>
  <c r="E179" i="2"/>
  <c r="BC178" i="2"/>
  <c r="K178" i="5" s="1"/>
  <c r="BB178" i="2"/>
  <c r="J178" i="5" s="1"/>
  <c r="BA178" i="2"/>
  <c r="I178" i="5" s="1"/>
  <c r="AZ178" i="2"/>
  <c r="H178" i="5" s="1"/>
  <c r="AY178" i="2"/>
  <c r="G178" i="5" s="1"/>
  <c r="AX178" i="2"/>
  <c r="F178" i="5" s="1"/>
  <c r="AQ178" i="2"/>
  <c r="S178" i="2"/>
  <c r="G178" i="2"/>
  <c r="E178" i="2"/>
  <c r="BC177" i="2"/>
  <c r="K177" i="5" s="1"/>
  <c r="BB177" i="2"/>
  <c r="J177" i="5" s="1"/>
  <c r="BA177" i="2"/>
  <c r="I177" i="5" s="1"/>
  <c r="AZ177" i="2"/>
  <c r="H177" i="5" s="1"/>
  <c r="AY177" i="2"/>
  <c r="G177" i="5" s="1"/>
  <c r="AX177" i="2"/>
  <c r="F177" i="5" s="1"/>
  <c r="AQ177" i="2"/>
  <c r="S177" i="2"/>
  <c r="G177" i="2"/>
  <c r="E177" i="2"/>
  <c r="BC176" i="2"/>
  <c r="K176" i="5" s="1"/>
  <c r="BB176" i="2"/>
  <c r="J176" i="5" s="1"/>
  <c r="BA176" i="2"/>
  <c r="I176" i="5" s="1"/>
  <c r="AZ176" i="2"/>
  <c r="H176" i="5" s="1"/>
  <c r="AY176" i="2"/>
  <c r="G176" i="5" s="1"/>
  <c r="AX176" i="2"/>
  <c r="F176" i="5" s="1"/>
  <c r="AQ176" i="2"/>
  <c r="S176" i="2"/>
  <c r="G176" i="2"/>
  <c r="E176" i="2"/>
  <c r="BC175" i="2"/>
  <c r="K175" i="5" s="1"/>
  <c r="BB175" i="2"/>
  <c r="J175" i="5" s="1"/>
  <c r="BA175" i="2"/>
  <c r="I175" i="5" s="1"/>
  <c r="AZ175" i="2"/>
  <c r="H175" i="5" s="1"/>
  <c r="AY175" i="2"/>
  <c r="G175" i="5" s="1"/>
  <c r="AX175" i="2"/>
  <c r="F175" i="5" s="1"/>
  <c r="AQ175" i="2"/>
  <c r="S175" i="2"/>
  <c r="G175" i="2"/>
  <c r="E175" i="2"/>
  <c r="BC174" i="2"/>
  <c r="K174" i="5" s="1"/>
  <c r="BB174" i="2"/>
  <c r="J174" i="5" s="1"/>
  <c r="BA174" i="2"/>
  <c r="I174" i="5" s="1"/>
  <c r="AZ174" i="2"/>
  <c r="H174" i="5" s="1"/>
  <c r="AY174" i="2"/>
  <c r="G174" i="5" s="1"/>
  <c r="AX174" i="2"/>
  <c r="F174" i="5" s="1"/>
  <c r="AQ174" i="2"/>
  <c r="S174" i="2"/>
  <c r="G174" i="2"/>
  <c r="E174" i="2"/>
  <c r="BC173" i="2"/>
  <c r="K173" i="5" s="1"/>
  <c r="BB173" i="2"/>
  <c r="J173" i="5" s="1"/>
  <c r="BA173" i="2"/>
  <c r="I173" i="5" s="1"/>
  <c r="AZ173" i="2"/>
  <c r="H173" i="5" s="1"/>
  <c r="AY173" i="2"/>
  <c r="G173" i="5" s="1"/>
  <c r="AX173" i="2"/>
  <c r="F173" i="5" s="1"/>
  <c r="AQ173" i="2"/>
  <c r="S173" i="2"/>
  <c r="G173" i="2"/>
  <c r="E173" i="2"/>
  <c r="BC172" i="2"/>
  <c r="K172" i="5" s="1"/>
  <c r="BB172" i="2"/>
  <c r="J172" i="5" s="1"/>
  <c r="BA172" i="2"/>
  <c r="I172" i="5" s="1"/>
  <c r="AZ172" i="2"/>
  <c r="H172" i="5" s="1"/>
  <c r="AY172" i="2"/>
  <c r="G172" i="5" s="1"/>
  <c r="AX172" i="2"/>
  <c r="F172" i="5" s="1"/>
  <c r="AQ172" i="2"/>
  <c r="S172" i="2"/>
  <c r="G172" i="2"/>
  <c r="E172" i="2"/>
  <c r="BC171" i="2"/>
  <c r="K171" i="5" s="1"/>
  <c r="BB171" i="2"/>
  <c r="J171" i="5" s="1"/>
  <c r="BA171" i="2"/>
  <c r="I171" i="5" s="1"/>
  <c r="AZ171" i="2"/>
  <c r="H171" i="5" s="1"/>
  <c r="AY171" i="2"/>
  <c r="G171" i="5" s="1"/>
  <c r="AX171" i="2"/>
  <c r="F171" i="5" s="1"/>
  <c r="AQ171" i="2"/>
  <c r="S171" i="2"/>
  <c r="G171" i="2"/>
  <c r="E171" i="2"/>
  <c r="BC170" i="2"/>
  <c r="K170" i="5" s="1"/>
  <c r="BB170" i="2"/>
  <c r="J170" i="5" s="1"/>
  <c r="BA170" i="2"/>
  <c r="I170" i="5" s="1"/>
  <c r="AZ170" i="2"/>
  <c r="H170" i="5" s="1"/>
  <c r="AY170" i="2"/>
  <c r="G170" i="5" s="1"/>
  <c r="AX170" i="2"/>
  <c r="F170" i="5" s="1"/>
  <c r="AQ170" i="2"/>
  <c r="S170" i="2"/>
  <c r="G170" i="2"/>
  <c r="E170" i="2"/>
  <c r="BC169" i="2"/>
  <c r="K169" i="5" s="1"/>
  <c r="BB169" i="2"/>
  <c r="J169" i="5" s="1"/>
  <c r="BA169" i="2"/>
  <c r="I169" i="5" s="1"/>
  <c r="AZ169" i="2"/>
  <c r="H169" i="5" s="1"/>
  <c r="AY169" i="2"/>
  <c r="G169" i="5" s="1"/>
  <c r="AX169" i="2"/>
  <c r="F169" i="5" s="1"/>
  <c r="AQ169" i="2"/>
  <c r="S169" i="2"/>
  <c r="G169" i="2"/>
  <c r="E169" i="2"/>
  <c r="BC168" i="2"/>
  <c r="K168" i="5" s="1"/>
  <c r="BB168" i="2"/>
  <c r="J168" i="5" s="1"/>
  <c r="BA168" i="2"/>
  <c r="I168" i="5" s="1"/>
  <c r="AZ168" i="2"/>
  <c r="H168" i="5" s="1"/>
  <c r="AY168" i="2"/>
  <c r="G168" i="5" s="1"/>
  <c r="AX168" i="2"/>
  <c r="F168" i="5" s="1"/>
  <c r="AQ168" i="2"/>
  <c r="S168" i="2"/>
  <c r="G168" i="2"/>
  <c r="E168" i="2"/>
  <c r="BC167" i="2"/>
  <c r="K167" i="5" s="1"/>
  <c r="BB167" i="2"/>
  <c r="J167" i="5" s="1"/>
  <c r="BA167" i="2"/>
  <c r="I167" i="5" s="1"/>
  <c r="AZ167" i="2"/>
  <c r="H167" i="5" s="1"/>
  <c r="AY167" i="2"/>
  <c r="G167" i="5" s="1"/>
  <c r="AX167" i="2"/>
  <c r="F167" i="5" s="1"/>
  <c r="AQ167" i="2"/>
  <c r="S167" i="2"/>
  <c r="G167" i="2"/>
  <c r="E167" i="2"/>
  <c r="BC166" i="2"/>
  <c r="K166" i="5" s="1"/>
  <c r="BB166" i="2"/>
  <c r="J166" i="5" s="1"/>
  <c r="BA166" i="2"/>
  <c r="I166" i="5" s="1"/>
  <c r="AZ166" i="2"/>
  <c r="H166" i="5" s="1"/>
  <c r="AY166" i="2"/>
  <c r="G166" i="5" s="1"/>
  <c r="AX166" i="2"/>
  <c r="F166" i="5" s="1"/>
  <c r="AQ166" i="2"/>
  <c r="S166" i="2"/>
  <c r="G166" i="2"/>
  <c r="E166" i="2"/>
  <c r="BC165" i="2"/>
  <c r="K165" i="5" s="1"/>
  <c r="BB165" i="2"/>
  <c r="J165" i="5" s="1"/>
  <c r="BA165" i="2"/>
  <c r="I165" i="5" s="1"/>
  <c r="AZ165" i="2"/>
  <c r="H165" i="5" s="1"/>
  <c r="AY165" i="2"/>
  <c r="G165" i="5" s="1"/>
  <c r="AX165" i="2"/>
  <c r="F165" i="5" s="1"/>
  <c r="AQ165" i="2"/>
  <c r="S165" i="2"/>
  <c r="G165" i="2"/>
  <c r="E165" i="2"/>
  <c r="BC164" i="2"/>
  <c r="K164" i="5" s="1"/>
  <c r="BB164" i="2"/>
  <c r="J164" i="5" s="1"/>
  <c r="BA164" i="2"/>
  <c r="I164" i="5" s="1"/>
  <c r="AZ164" i="2"/>
  <c r="H164" i="5" s="1"/>
  <c r="AY164" i="2"/>
  <c r="G164" i="5" s="1"/>
  <c r="AX164" i="2"/>
  <c r="F164" i="5" s="1"/>
  <c r="AQ164" i="2"/>
  <c r="S164" i="2"/>
  <c r="G164" i="2"/>
  <c r="E164" i="2"/>
  <c r="BC163" i="2"/>
  <c r="K163" i="5" s="1"/>
  <c r="BB163" i="2"/>
  <c r="J163" i="5" s="1"/>
  <c r="BA163" i="2"/>
  <c r="I163" i="5" s="1"/>
  <c r="AZ163" i="2"/>
  <c r="H163" i="5" s="1"/>
  <c r="AY163" i="2"/>
  <c r="G163" i="5" s="1"/>
  <c r="AX163" i="2"/>
  <c r="F163" i="5" s="1"/>
  <c r="AQ163" i="2"/>
  <c r="S163" i="2"/>
  <c r="G163" i="2"/>
  <c r="E163" i="2"/>
  <c r="BC162" i="2"/>
  <c r="K162" i="5" s="1"/>
  <c r="BB162" i="2"/>
  <c r="J162" i="5" s="1"/>
  <c r="BA162" i="2"/>
  <c r="I162" i="5" s="1"/>
  <c r="AZ162" i="2"/>
  <c r="H162" i="5" s="1"/>
  <c r="AY162" i="2"/>
  <c r="G162" i="5" s="1"/>
  <c r="AX162" i="2"/>
  <c r="F162" i="5" s="1"/>
  <c r="AQ162" i="2"/>
  <c r="S162" i="2"/>
  <c r="G162" i="2"/>
  <c r="E162" i="2"/>
  <c r="BC161" i="2"/>
  <c r="K161" i="5" s="1"/>
  <c r="BB161" i="2"/>
  <c r="J161" i="5" s="1"/>
  <c r="BA161" i="2"/>
  <c r="I161" i="5" s="1"/>
  <c r="AZ161" i="2"/>
  <c r="H161" i="5" s="1"/>
  <c r="AY161" i="2"/>
  <c r="G161" i="5" s="1"/>
  <c r="AX161" i="2"/>
  <c r="F161" i="5" s="1"/>
  <c r="AQ161" i="2"/>
  <c r="S161" i="2"/>
  <c r="G161" i="2"/>
  <c r="E161" i="2"/>
  <c r="BC160" i="2"/>
  <c r="K160" i="5" s="1"/>
  <c r="BB160" i="2"/>
  <c r="J160" i="5" s="1"/>
  <c r="BA160" i="2"/>
  <c r="I160" i="5" s="1"/>
  <c r="AZ160" i="2"/>
  <c r="H160" i="5" s="1"/>
  <c r="AY160" i="2"/>
  <c r="G160" i="5" s="1"/>
  <c r="AX160" i="2"/>
  <c r="F160" i="5" s="1"/>
  <c r="AQ160" i="2"/>
  <c r="S160" i="2"/>
  <c r="G160" i="2"/>
  <c r="E160" i="2"/>
  <c r="BC159" i="2"/>
  <c r="K159" i="5" s="1"/>
  <c r="BB159" i="2"/>
  <c r="J159" i="5" s="1"/>
  <c r="BA159" i="2"/>
  <c r="I159" i="5" s="1"/>
  <c r="AZ159" i="2"/>
  <c r="H159" i="5" s="1"/>
  <c r="AY159" i="2"/>
  <c r="G159" i="5" s="1"/>
  <c r="AX159" i="2"/>
  <c r="F159" i="5" s="1"/>
  <c r="AQ159" i="2"/>
  <c r="S159" i="2"/>
  <c r="G159" i="2"/>
  <c r="E159" i="2"/>
  <c r="BC158" i="2"/>
  <c r="K158" i="5" s="1"/>
  <c r="BB158" i="2"/>
  <c r="J158" i="5" s="1"/>
  <c r="BA158" i="2"/>
  <c r="I158" i="5" s="1"/>
  <c r="AZ158" i="2"/>
  <c r="H158" i="5" s="1"/>
  <c r="AY158" i="2"/>
  <c r="G158" i="5" s="1"/>
  <c r="AX158" i="2"/>
  <c r="F158" i="5" s="1"/>
  <c r="AQ158" i="2"/>
  <c r="S158" i="2"/>
  <c r="G158" i="2"/>
  <c r="E158" i="2"/>
  <c r="BC157" i="2"/>
  <c r="K157" i="5" s="1"/>
  <c r="BB157" i="2"/>
  <c r="J157" i="5" s="1"/>
  <c r="BA157" i="2"/>
  <c r="I157" i="5" s="1"/>
  <c r="AZ157" i="2"/>
  <c r="H157" i="5" s="1"/>
  <c r="AY157" i="2"/>
  <c r="G157" i="5" s="1"/>
  <c r="AX157" i="2"/>
  <c r="F157" i="5" s="1"/>
  <c r="AQ157" i="2"/>
  <c r="S157" i="2"/>
  <c r="G157" i="2"/>
  <c r="E157" i="2"/>
  <c r="BC156" i="2"/>
  <c r="K156" i="5" s="1"/>
  <c r="BB156" i="2"/>
  <c r="J156" i="5" s="1"/>
  <c r="BA156" i="2"/>
  <c r="I156" i="5" s="1"/>
  <c r="AZ156" i="2"/>
  <c r="H156" i="5" s="1"/>
  <c r="AY156" i="2"/>
  <c r="G156" i="5" s="1"/>
  <c r="AX156" i="2"/>
  <c r="F156" i="5" s="1"/>
  <c r="AQ156" i="2"/>
  <c r="S156" i="2"/>
  <c r="G156" i="2"/>
  <c r="E156" i="2"/>
  <c r="BC155" i="2"/>
  <c r="K155" i="5" s="1"/>
  <c r="BB155" i="2"/>
  <c r="J155" i="5" s="1"/>
  <c r="BA155" i="2"/>
  <c r="I155" i="5" s="1"/>
  <c r="AZ155" i="2"/>
  <c r="H155" i="5" s="1"/>
  <c r="AY155" i="2"/>
  <c r="G155" i="5" s="1"/>
  <c r="AX155" i="2"/>
  <c r="F155" i="5" s="1"/>
  <c r="AQ155" i="2"/>
  <c r="S155" i="2"/>
  <c r="G155" i="2"/>
  <c r="E155" i="2"/>
  <c r="BC154" i="2"/>
  <c r="K154" i="5" s="1"/>
  <c r="BB154" i="2"/>
  <c r="J154" i="5" s="1"/>
  <c r="BA154" i="2"/>
  <c r="I154" i="5" s="1"/>
  <c r="AZ154" i="2"/>
  <c r="H154" i="5" s="1"/>
  <c r="AY154" i="2"/>
  <c r="G154" i="5" s="1"/>
  <c r="AX154" i="2"/>
  <c r="F154" i="5" s="1"/>
  <c r="AQ154" i="2"/>
  <c r="S154" i="2"/>
  <c r="G154" i="2"/>
  <c r="E154" i="2"/>
  <c r="BC153" i="2"/>
  <c r="K153" i="5" s="1"/>
  <c r="BB153" i="2"/>
  <c r="J153" i="5" s="1"/>
  <c r="BA153" i="2"/>
  <c r="I153" i="5" s="1"/>
  <c r="AZ153" i="2"/>
  <c r="H153" i="5" s="1"/>
  <c r="AY153" i="2"/>
  <c r="G153" i="5" s="1"/>
  <c r="AX153" i="2"/>
  <c r="F153" i="5" s="1"/>
  <c r="AQ153" i="2"/>
  <c r="S153" i="2"/>
  <c r="G153" i="2"/>
  <c r="E153" i="2"/>
  <c r="BC152" i="2"/>
  <c r="K152" i="5" s="1"/>
  <c r="BB152" i="2"/>
  <c r="J152" i="5" s="1"/>
  <c r="BA152" i="2"/>
  <c r="I152" i="5" s="1"/>
  <c r="AZ152" i="2"/>
  <c r="H152" i="5" s="1"/>
  <c r="AY152" i="2"/>
  <c r="G152" i="5" s="1"/>
  <c r="AX152" i="2"/>
  <c r="F152" i="5" s="1"/>
  <c r="AQ152" i="2"/>
  <c r="S152" i="2"/>
  <c r="G152" i="2"/>
  <c r="E152" i="2"/>
  <c r="BC151" i="2"/>
  <c r="K151" i="5" s="1"/>
  <c r="BB151" i="2"/>
  <c r="J151" i="5" s="1"/>
  <c r="BA151" i="2"/>
  <c r="I151" i="5" s="1"/>
  <c r="AZ151" i="2"/>
  <c r="H151" i="5" s="1"/>
  <c r="AY151" i="2"/>
  <c r="G151" i="5" s="1"/>
  <c r="AX151" i="2"/>
  <c r="F151" i="5" s="1"/>
  <c r="AQ151" i="2"/>
  <c r="S151" i="2"/>
  <c r="G151" i="2"/>
  <c r="E151" i="2"/>
  <c r="BC150" i="2"/>
  <c r="K150" i="5" s="1"/>
  <c r="BB150" i="2"/>
  <c r="J150" i="5" s="1"/>
  <c r="BA150" i="2"/>
  <c r="I150" i="5" s="1"/>
  <c r="AZ150" i="2"/>
  <c r="H150" i="5" s="1"/>
  <c r="AY150" i="2"/>
  <c r="G150" i="5" s="1"/>
  <c r="AX150" i="2"/>
  <c r="F150" i="5" s="1"/>
  <c r="AQ150" i="2"/>
  <c r="S150" i="2"/>
  <c r="G150" i="2"/>
  <c r="E150" i="2"/>
  <c r="BC149" i="2"/>
  <c r="K149" i="5" s="1"/>
  <c r="BB149" i="2"/>
  <c r="J149" i="5" s="1"/>
  <c r="BA149" i="2"/>
  <c r="I149" i="5" s="1"/>
  <c r="AZ149" i="2"/>
  <c r="H149" i="5" s="1"/>
  <c r="AY149" i="2"/>
  <c r="G149" i="5" s="1"/>
  <c r="AX149" i="2"/>
  <c r="F149" i="5" s="1"/>
  <c r="AQ149" i="2"/>
  <c r="S149" i="2"/>
  <c r="G149" i="2"/>
  <c r="E149" i="2"/>
  <c r="BC148" i="2"/>
  <c r="K148" i="5" s="1"/>
  <c r="BB148" i="2"/>
  <c r="J148" i="5" s="1"/>
  <c r="BA148" i="2"/>
  <c r="I148" i="5" s="1"/>
  <c r="AZ148" i="2"/>
  <c r="H148" i="5" s="1"/>
  <c r="AY148" i="2"/>
  <c r="G148" i="5" s="1"/>
  <c r="AX148" i="2"/>
  <c r="F148" i="5" s="1"/>
  <c r="AQ148" i="2"/>
  <c r="S148" i="2"/>
  <c r="G148" i="2"/>
  <c r="E148" i="2"/>
  <c r="BC147" i="2"/>
  <c r="K147" i="5" s="1"/>
  <c r="BB147" i="2"/>
  <c r="J147" i="5" s="1"/>
  <c r="BA147" i="2"/>
  <c r="I147" i="5" s="1"/>
  <c r="AZ147" i="2"/>
  <c r="H147" i="5" s="1"/>
  <c r="AY147" i="2"/>
  <c r="G147" i="5" s="1"/>
  <c r="AX147" i="2"/>
  <c r="F147" i="5" s="1"/>
  <c r="AQ147" i="2"/>
  <c r="S147" i="2"/>
  <c r="G147" i="2"/>
  <c r="E147" i="2"/>
  <c r="BC146" i="2"/>
  <c r="K146" i="5" s="1"/>
  <c r="BB146" i="2"/>
  <c r="J146" i="5" s="1"/>
  <c r="BA146" i="2"/>
  <c r="I146" i="5" s="1"/>
  <c r="AZ146" i="2"/>
  <c r="H146" i="5" s="1"/>
  <c r="AY146" i="2"/>
  <c r="G146" i="5" s="1"/>
  <c r="AX146" i="2"/>
  <c r="F146" i="5" s="1"/>
  <c r="AQ146" i="2"/>
  <c r="S146" i="2"/>
  <c r="G146" i="2"/>
  <c r="E146" i="2"/>
  <c r="BC145" i="2"/>
  <c r="K145" i="5" s="1"/>
  <c r="BB145" i="2"/>
  <c r="J145" i="5" s="1"/>
  <c r="BA145" i="2"/>
  <c r="I145" i="5" s="1"/>
  <c r="AZ145" i="2"/>
  <c r="H145" i="5" s="1"/>
  <c r="AY145" i="2"/>
  <c r="G145" i="5" s="1"/>
  <c r="AX145" i="2"/>
  <c r="F145" i="5" s="1"/>
  <c r="AQ145" i="2"/>
  <c r="S145" i="2"/>
  <c r="G145" i="2"/>
  <c r="E145" i="2"/>
  <c r="BC144" i="2"/>
  <c r="K144" i="5" s="1"/>
  <c r="BB144" i="2"/>
  <c r="J144" i="5" s="1"/>
  <c r="BA144" i="2"/>
  <c r="I144" i="5" s="1"/>
  <c r="AZ144" i="2"/>
  <c r="H144" i="5" s="1"/>
  <c r="AY144" i="2"/>
  <c r="G144" i="5" s="1"/>
  <c r="AX144" i="2"/>
  <c r="F144" i="5" s="1"/>
  <c r="AQ144" i="2"/>
  <c r="S144" i="2"/>
  <c r="G144" i="2"/>
  <c r="E144" i="2"/>
  <c r="BC143" i="2"/>
  <c r="K143" i="5" s="1"/>
  <c r="BB143" i="2"/>
  <c r="J143" i="5" s="1"/>
  <c r="BA143" i="2"/>
  <c r="I143" i="5" s="1"/>
  <c r="AZ143" i="2"/>
  <c r="H143" i="5" s="1"/>
  <c r="AY143" i="2"/>
  <c r="G143" i="5" s="1"/>
  <c r="AX143" i="2"/>
  <c r="F143" i="5" s="1"/>
  <c r="AQ143" i="2"/>
  <c r="S143" i="2"/>
  <c r="G143" i="2"/>
  <c r="E143" i="2"/>
  <c r="BC142" i="2"/>
  <c r="K142" i="5" s="1"/>
  <c r="BB142" i="2"/>
  <c r="J142" i="5" s="1"/>
  <c r="BA142" i="2"/>
  <c r="I142" i="5" s="1"/>
  <c r="AZ142" i="2"/>
  <c r="H142" i="5" s="1"/>
  <c r="AY142" i="2"/>
  <c r="G142" i="5" s="1"/>
  <c r="AX142" i="2"/>
  <c r="F142" i="5" s="1"/>
  <c r="AQ142" i="2"/>
  <c r="S142" i="2"/>
  <c r="G142" i="2"/>
  <c r="E142" i="2"/>
  <c r="BC141" i="2"/>
  <c r="K141" i="5" s="1"/>
  <c r="BB141" i="2"/>
  <c r="J141" i="5" s="1"/>
  <c r="BA141" i="2"/>
  <c r="I141" i="5" s="1"/>
  <c r="AZ141" i="2"/>
  <c r="H141" i="5" s="1"/>
  <c r="AY141" i="2"/>
  <c r="G141" i="5" s="1"/>
  <c r="AX141" i="2"/>
  <c r="F141" i="5" s="1"/>
  <c r="AQ141" i="2"/>
  <c r="S141" i="2"/>
  <c r="G141" i="2"/>
  <c r="E141" i="2"/>
  <c r="BC140" i="2"/>
  <c r="K140" i="5" s="1"/>
  <c r="BB140" i="2"/>
  <c r="J140" i="5" s="1"/>
  <c r="BA140" i="2"/>
  <c r="I140" i="5" s="1"/>
  <c r="AZ140" i="2"/>
  <c r="H140" i="5" s="1"/>
  <c r="AY140" i="2"/>
  <c r="G140" i="5" s="1"/>
  <c r="AX140" i="2"/>
  <c r="F140" i="5" s="1"/>
  <c r="AQ140" i="2"/>
  <c r="S140" i="2"/>
  <c r="G140" i="2"/>
  <c r="E140" i="2"/>
  <c r="BC139" i="2"/>
  <c r="K139" i="5" s="1"/>
  <c r="BB139" i="2"/>
  <c r="J139" i="5" s="1"/>
  <c r="BA139" i="2"/>
  <c r="I139" i="5" s="1"/>
  <c r="AZ139" i="2"/>
  <c r="H139" i="5" s="1"/>
  <c r="AY139" i="2"/>
  <c r="G139" i="5" s="1"/>
  <c r="AX139" i="2"/>
  <c r="F139" i="5" s="1"/>
  <c r="AQ139" i="2"/>
  <c r="S139" i="2"/>
  <c r="G139" i="2"/>
  <c r="E139" i="2"/>
  <c r="BC138" i="2"/>
  <c r="K138" i="5" s="1"/>
  <c r="BB138" i="2"/>
  <c r="J138" i="5" s="1"/>
  <c r="BA138" i="2"/>
  <c r="I138" i="5" s="1"/>
  <c r="AZ138" i="2"/>
  <c r="H138" i="5" s="1"/>
  <c r="AY138" i="2"/>
  <c r="G138" i="5" s="1"/>
  <c r="AX138" i="2"/>
  <c r="F138" i="5" s="1"/>
  <c r="AQ138" i="2"/>
  <c r="S138" i="2"/>
  <c r="G138" i="2"/>
  <c r="E138" i="2"/>
  <c r="BC137" i="2"/>
  <c r="K137" i="5" s="1"/>
  <c r="BB137" i="2"/>
  <c r="J137" i="5" s="1"/>
  <c r="BA137" i="2"/>
  <c r="I137" i="5" s="1"/>
  <c r="AZ137" i="2"/>
  <c r="H137" i="5" s="1"/>
  <c r="AY137" i="2"/>
  <c r="G137" i="5" s="1"/>
  <c r="AX137" i="2"/>
  <c r="F137" i="5" s="1"/>
  <c r="AQ137" i="2"/>
  <c r="S137" i="2"/>
  <c r="G137" i="2"/>
  <c r="E137" i="2"/>
  <c r="BC136" i="2"/>
  <c r="K136" i="5" s="1"/>
  <c r="BB136" i="2"/>
  <c r="J136" i="5" s="1"/>
  <c r="BA136" i="2"/>
  <c r="I136" i="5" s="1"/>
  <c r="AZ136" i="2"/>
  <c r="H136" i="5" s="1"/>
  <c r="AY136" i="2"/>
  <c r="G136" i="5" s="1"/>
  <c r="AX136" i="2"/>
  <c r="F136" i="5" s="1"/>
  <c r="AQ136" i="2"/>
  <c r="S136" i="2"/>
  <c r="G136" i="2"/>
  <c r="E136" i="2"/>
  <c r="BC135" i="2"/>
  <c r="K135" i="5" s="1"/>
  <c r="BB135" i="2"/>
  <c r="J135" i="5" s="1"/>
  <c r="BA135" i="2"/>
  <c r="I135" i="5" s="1"/>
  <c r="AZ135" i="2"/>
  <c r="H135" i="5" s="1"/>
  <c r="AY135" i="2"/>
  <c r="G135" i="5" s="1"/>
  <c r="AX135" i="2"/>
  <c r="F135" i="5" s="1"/>
  <c r="AQ135" i="2"/>
  <c r="S135" i="2"/>
  <c r="G135" i="2"/>
  <c r="E135" i="2"/>
  <c r="BC134" i="2"/>
  <c r="K134" i="5" s="1"/>
  <c r="BB134" i="2"/>
  <c r="J134" i="5" s="1"/>
  <c r="BA134" i="2"/>
  <c r="I134" i="5" s="1"/>
  <c r="AZ134" i="2"/>
  <c r="H134" i="5" s="1"/>
  <c r="AY134" i="2"/>
  <c r="G134" i="5" s="1"/>
  <c r="AX134" i="2"/>
  <c r="F134" i="5" s="1"/>
  <c r="AQ134" i="2"/>
  <c r="S134" i="2"/>
  <c r="G134" i="2"/>
  <c r="E134" i="2"/>
  <c r="BC133" i="2"/>
  <c r="K133" i="5" s="1"/>
  <c r="BB133" i="2"/>
  <c r="J133" i="5" s="1"/>
  <c r="BA133" i="2"/>
  <c r="I133" i="5" s="1"/>
  <c r="AZ133" i="2"/>
  <c r="H133" i="5" s="1"/>
  <c r="AY133" i="2"/>
  <c r="G133" i="5" s="1"/>
  <c r="AX133" i="2"/>
  <c r="F133" i="5" s="1"/>
  <c r="AQ133" i="2"/>
  <c r="S133" i="2"/>
  <c r="G133" i="2"/>
  <c r="E133" i="2"/>
  <c r="BC132" i="2"/>
  <c r="K132" i="5" s="1"/>
  <c r="BB132" i="2"/>
  <c r="J132" i="5" s="1"/>
  <c r="BA132" i="2"/>
  <c r="I132" i="5" s="1"/>
  <c r="AZ132" i="2"/>
  <c r="H132" i="5" s="1"/>
  <c r="AY132" i="2"/>
  <c r="G132" i="5" s="1"/>
  <c r="AX132" i="2"/>
  <c r="F132" i="5" s="1"/>
  <c r="AQ132" i="2"/>
  <c r="S132" i="2"/>
  <c r="G132" i="2"/>
  <c r="E132" i="2"/>
  <c r="BC131" i="2"/>
  <c r="K131" i="5" s="1"/>
  <c r="BB131" i="2"/>
  <c r="J131" i="5" s="1"/>
  <c r="BA131" i="2"/>
  <c r="I131" i="5" s="1"/>
  <c r="AZ131" i="2"/>
  <c r="H131" i="5" s="1"/>
  <c r="AY131" i="2"/>
  <c r="G131" i="5" s="1"/>
  <c r="AX131" i="2"/>
  <c r="F131" i="5" s="1"/>
  <c r="AQ131" i="2"/>
  <c r="S131" i="2"/>
  <c r="G131" i="2"/>
  <c r="E131" i="2"/>
  <c r="BC130" i="2"/>
  <c r="K130" i="5" s="1"/>
  <c r="BB130" i="2"/>
  <c r="J130" i="5" s="1"/>
  <c r="BA130" i="2"/>
  <c r="I130" i="5" s="1"/>
  <c r="AZ130" i="2"/>
  <c r="H130" i="5" s="1"/>
  <c r="AY130" i="2"/>
  <c r="G130" i="5" s="1"/>
  <c r="AX130" i="2"/>
  <c r="F130" i="5" s="1"/>
  <c r="AQ130" i="2"/>
  <c r="S130" i="2"/>
  <c r="G130" i="2"/>
  <c r="E130" i="2"/>
  <c r="BC129" i="2"/>
  <c r="K129" i="5" s="1"/>
  <c r="BB129" i="2"/>
  <c r="J129" i="5" s="1"/>
  <c r="BA129" i="2"/>
  <c r="I129" i="5" s="1"/>
  <c r="AZ129" i="2"/>
  <c r="H129" i="5" s="1"/>
  <c r="AY129" i="2"/>
  <c r="G129" i="5" s="1"/>
  <c r="AX129" i="2"/>
  <c r="F129" i="5" s="1"/>
  <c r="AQ129" i="2"/>
  <c r="S129" i="2"/>
  <c r="G129" i="2"/>
  <c r="E129" i="2"/>
  <c r="BC128" i="2"/>
  <c r="K128" i="5" s="1"/>
  <c r="BB128" i="2"/>
  <c r="J128" i="5" s="1"/>
  <c r="BA128" i="2"/>
  <c r="I128" i="5" s="1"/>
  <c r="AZ128" i="2"/>
  <c r="H128" i="5" s="1"/>
  <c r="AY128" i="2"/>
  <c r="G128" i="5" s="1"/>
  <c r="AX128" i="2"/>
  <c r="F128" i="5" s="1"/>
  <c r="AQ128" i="2"/>
  <c r="S128" i="2"/>
  <c r="G128" i="2"/>
  <c r="E128" i="2"/>
  <c r="BC127" i="2"/>
  <c r="K127" i="5" s="1"/>
  <c r="BB127" i="2"/>
  <c r="J127" i="5" s="1"/>
  <c r="BA127" i="2"/>
  <c r="I127" i="5" s="1"/>
  <c r="AZ127" i="2"/>
  <c r="H127" i="5" s="1"/>
  <c r="AY127" i="2"/>
  <c r="G127" i="5" s="1"/>
  <c r="AX127" i="2"/>
  <c r="F127" i="5" s="1"/>
  <c r="AQ127" i="2"/>
  <c r="S127" i="2"/>
  <c r="G127" i="2"/>
  <c r="E127" i="2"/>
  <c r="BC126" i="2"/>
  <c r="K126" i="5" s="1"/>
  <c r="BB126" i="2"/>
  <c r="J126" i="5" s="1"/>
  <c r="BA126" i="2"/>
  <c r="I126" i="5" s="1"/>
  <c r="AZ126" i="2"/>
  <c r="H126" i="5" s="1"/>
  <c r="AY126" i="2"/>
  <c r="G126" i="5" s="1"/>
  <c r="AX126" i="2"/>
  <c r="F126" i="5" s="1"/>
  <c r="AQ126" i="2"/>
  <c r="S126" i="2"/>
  <c r="G126" i="2"/>
  <c r="E126" i="2"/>
  <c r="BC125" i="2"/>
  <c r="K125" i="5" s="1"/>
  <c r="BB125" i="2"/>
  <c r="J125" i="5" s="1"/>
  <c r="BA125" i="2"/>
  <c r="I125" i="5" s="1"/>
  <c r="AZ125" i="2"/>
  <c r="H125" i="5" s="1"/>
  <c r="AY125" i="2"/>
  <c r="G125" i="5" s="1"/>
  <c r="AX125" i="2"/>
  <c r="F125" i="5" s="1"/>
  <c r="AQ125" i="2"/>
  <c r="S125" i="2"/>
  <c r="G125" i="2"/>
  <c r="E125" i="2"/>
  <c r="BC124" i="2"/>
  <c r="K124" i="5" s="1"/>
  <c r="BB124" i="2"/>
  <c r="J124" i="5" s="1"/>
  <c r="BA124" i="2"/>
  <c r="I124" i="5" s="1"/>
  <c r="AZ124" i="2"/>
  <c r="H124" i="5" s="1"/>
  <c r="AY124" i="2"/>
  <c r="G124" i="5" s="1"/>
  <c r="AX124" i="2"/>
  <c r="F124" i="5" s="1"/>
  <c r="AQ124" i="2"/>
  <c r="S124" i="2"/>
  <c r="G124" i="2"/>
  <c r="E124" i="2"/>
  <c r="BC123" i="2"/>
  <c r="K123" i="5" s="1"/>
  <c r="BB123" i="2"/>
  <c r="J123" i="5" s="1"/>
  <c r="BA123" i="2"/>
  <c r="I123" i="5" s="1"/>
  <c r="AZ123" i="2"/>
  <c r="H123" i="5" s="1"/>
  <c r="AY123" i="2"/>
  <c r="G123" i="5" s="1"/>
  <c r="AX123" i="2"/>
  <c r="F123" i="5" s="1"/>
  <c r="AQ123" i="2"/>
  <c r="S123" i="2"/>
  <c r="G123" i="2"/>
  <c r="E123" i="2"/>
  <c r="BC122" i="2"/>
  <c r="K122" i="5" s="1"/>
  <c r="BB122" i="2"/>
  <c r="J122" i="5" s="1"/>
  <c r="BA122" i="2"/>
  <c r="I122" i="5" s="1"/>
  <c r="AZ122" i="2"/>
  <c r="H122" i="5" s="1"/>
  <c r="AY122" i="2"/>
  <c r="G122" i="5" s="1"/>
  <c r="AX122" i="2"/>
  <c r="F122" i="5" s="1"/>
  <c r="AQ122" i="2"/>
  <c r="S122" i="2"/>
  <c r="G122" i="2"/>
  <c r="E122" i="2"/>
  <c r="BC121" i="2"/>
  <c r="K121" i="5" s="1"/>
  <c r="BB121" i="2"/>
  <c r="J121" i="5" s="1"/>
  <c r="BA121" i="2"/>
  <c r="I121" i="5" s="1"/>
  <c r="AZ121" i="2"/>
  <c r="H121" i="5" s="1"/>
  <c r="AY121" i="2"/>
  <c r="G121" i="5" s="1"/>
  <c r="AX121" i="2"/>
  <c r="F121" i="5" s="1"/>
  <c r="AQ121" i="2"/>
  <c r="S121" i="2"/>
  <c r="G121" i="2"/>
  <c r="E121" i="2"/>
  <c r="BC120" i="2"/>
  <c r="K120" i="5" s="1"/>
  <c r="BB120" i="2"/>
  <c r="J120" i="5" s="1"/>
  <c r="BA120" i="2"/>
  <c r="I120" i="5" s="1"/>
  <c r="AZ120" i="2"/>
  <c r="H120" i="5" s="1"/>
  <c r="AY120" i="2"/>
  <c r="G120" i="5" s="1"/>
  <c r="AX120" i="2"/>
  <c r="F120" i="5" s="1"/>
  <c r="AQ120" i="2"/>
  <c r="S120" i="2"/>
  <c r="G120" i="2"/>
  <c r="E120" i="2"/>
  <c r="BC119" i="2"/>
  <c r="K119" i="5" s="1"/>
  <c r="BB119" i="2"/>
  <c r="J119" i="5" s="1"/>
  <c r="BA119" i="2"/>
  <c r="I119" i="5" s="1"/>
  <c r="AZ119" i="2"/>
  <c r="H119" i="5" s="1"/>
  <c r="AY119" i="2"/>
  <c r="G119" i="5" s="1"/>
  <c r="AX119" i="2"/>
  <c r="F119" i="5" s="1"/>
  <c r="AQ119" i="2"/>
  <c r="S119" i="2"/>
  <c r="G119" i="2"/>
  <c r="E119" i="2"/>
  <c r="BC118" i="2"/>
  <c r="K118" i="5" s="1"/>
  <c r="BB118" i="2"/>
  <c r="J118" i="5" s="1"/>
  <c r="BA118" i="2"/>
  <c r="I118" i="5" s="1"/>
  <c r="AZ118" i="2"/>
  <c r="H118" i="5" s="1"/>
  <c r="AY118" i="2"/>
  <c r="G118" i="5" s="1"/>
  <c r="AX118" i="2"/>
  <c r="F118" i="5" s="1"/>
  <c r="AQ118" i="2"/>
  <c r="S118" i="2"/>
  <c r="G118" i="2"/>
  <c r="E118" i="2"/>
  <c r="BC117" i="2"/>
  <c r="K117" i="5" s="1"/>
  <c r="BB117" i="2"/>
  <c r="J117" i="5" s="1"/>
  <c r="BA117" i="2"/>
  <c r="I117" i="5" s="1"/>
  <c r="AZ117" i="2"/>
  <c r="H117" i="5" s="1"/>
  <c r="AY117" i="2"/>
  <c r="G117" i="5" s="1"/>
  <c r="AX117" i="2"/>
  <c r="F117" i="5" s="1"/>
  <c r="AQ117" i="2"/>
  <c r="S117" i="2"/>
  <c r="G117" i="2"/>
  <c r="E117" i="2"/>
  <c r="BC116" i="2"/>
  <c r="K116" i="5" s="1"/>
  <c r="BB116" i="2"/>
  <c r="J116" i="5" s="1"/>
  <c r="BA116" i="2"/>
  <c r="I116" i="5" s="1"/>
  <c r="AZ116" i="2"/>
  <c r="H116" i="5" s="1"/>
  <c r="AY116" i="2"/>
  <c r="G116" i="5" s="1"/>
  <c r="AX116" i="2"/>
  <c r="F116" i="5" s="1"/>
  <c r="AQ116" i="2"/>
  <c r="S116" i="2"/>
  <c r="G116" i="2"/>
  <c r="E116" i="2"/>
  <c r="BC115" i="2"/>
  <c r="K115" i="5" s="1"/>
  <c r="BB115" i="2"/>
  <c r="J115" i="5" s="1"/>
  <c r="BA115" i="2"/>
  <c r="I115" i="5" s="1"/>
  <c r="AZ115" i="2"/>
  <c r="H115" i="5" s="1"/>
  <c r="AY115" i="2"/>
  <c r="G115" i="5" s="1"/>
  <c r="AX115" i="2"/>
  <c r="F115" i="5" s="1"/>
  <c r="AQ115" i="2"/>
  <c r="S115" i="2"/>
  <c r="G115" i="2"/>
  <c r="E115" i="2"/>
  <c r="BC114" i="2"/>
  <c r="K114" i="5" s="1"/>
  <c r="BB114" i="2"/>
  <c r="J114" i="5" s="1"/>
  <c r="BA114" i="2"/>
  <c r="I114" i="5" s="1"/>
  <c r="AZ114" i="2"/>
  <c r="H114" i="5" s="1"/>
  <c r="AY114" i="2"/>
  <c r="G114" i="5" s="1"/>
  <c r="AX114" i="2"/>
  <c r="F114" i="5" s="1"/>
  <c r="AQ114" i="2"/>
  <c r="S114" i="2"/>
  <c r="G114" i="2"/>
  <c r="E114" i="2"/>
  <c r="BC113" i="2"/>
  <c r="K113" i="5" s="1"/>
  <c r="BB113" i="2"/>
  <c r="J113" i="5" s="1"/>
  <c r="BA113" i="2"/>
  <c r="I113" i="5" s="1"/>
  <c r="AZ113" i="2"/>
  <c r="H113" i="5" s="1"/>
  <c r="AY113" i="2"/>
  <c r="G113" i="5" s="1"/>
  <c r="AX113" i="2"/>
  <c r="F113" i="5" s="1"/>
  <c r="AQ113" i="2"/>
  <c r="S113" i="2"/>
  <c r="G113" i="2"/>
  <c r="E113" i="2"/>
  <c r="BC112" i="2"/>
  <c r="K112" i="5" s="1"/>
  <c r="BB112" i="2"/>
  <c r="J112" i="5" s="1"/>
  <c r="BA112" i="2"/>
  <c r="I112" i="5" s="1"/>
  <c r="AZ112" i="2"/>
  <c r="H112" i="5" s="1"/>
  <c r="AY112" i="2"/>
  <c r="G112" i="5" s="1"/>
  <c r="AX112" i="2"/>
  <c r="F112" i="5" s="1"/>
  <c r="AQ112" i="2"/>
  <c r="S112" i="2"/>
  <c r="G112" i="2"/>
  <c r="E112" i="2"/>
  <c r="BC111" i="2"/>
  <c r="K111" i="5" s="1"/>
  <c r="BB111" i="2"/>
  <c r="J111" i="5" s="1"/>
  <c r="BA111" i="2"/>
  <c r="I111" i="5" s="1"/>
  <c r="AZ111" i="2"/>
  <c r="H111" i="5" s="1"/>
  <c r="AY111" i="2"/>
  <c r="G111" i="5" s="1"/>
  <c r="AX111" i="2"/>
  <c r="F111" i="5" s="1"/>
  <c r="AQ111" i="2"/>
  <c r="S111" i="2"/>
  <c r="G111" i="2"/>
  <c r="E111" i="2"/>
  <c r="BC110" i="2"/>
  <c r="K110" i="5" s="1"/>
  <c r="BB110" i="2"/>
  <c r="J110" i="5" s="1"/>
  <c r="BA110" i="2"/>
  <c r="I110" i="5" s="1"/>
  <c r="AZ110" i="2"/>
  <c r="H110" i="5" s="1"/>
  <c r="AY110" i="2"/>
  <c r="G110" i="5" s="1"/>
  <c r="AX110" i="2"/>
  <c r="F110" i="5" s="1"/>
  <c r="AQ110" i="2"/>
  <c r="S110" i="2"/>
  <c r="G110" i="2"/>
  <c r="E110" i="2"/>
  <c r="BC109" i="2"/>
  <c r="K109" i="5" s="1"/>
  <c r="BB109" i="2"/>
  <c r="J109" i="5" s="1"/>
  <c r="BA109" i="2"/>
  <c r="I109" i="5" s="1"/>
  <c r="AZ109" i="2"/>
  <c r="H109" i="5" s="1"/>
  <c r="AY109" i="2"/>
  <c r="G109" i="5" s="1"/>
  <c r="AX109" i="2"/>
  <c r="F109" i="5" s="1"/>
  <c r="AQ109" i="2"/>
  <c r="S109" i="2"/>
  <c r="G109" i="2"/>
  <c r="E109" i="2"/>
  <c r="BC108" i="2"/>
  <c r="K108" i="5" s="1"/>
  <c r="BB108" i="2"/>
  <c r="J108" i="5" s="1"/>
  <c r="BA108" i="2"/>
  <c r="I108" i="5" s="1"/>
  <c r="AZ108" i="2"/>
  <c r="H108" i="5" s="1"/>
  <c r="AY108" i="2"/>
  <c r="G108" i="5" s="1"/>
  <c r="AX108" i="2"/>
  <c r="F108" i="5" s="1"/>
  <c r="AQ108" i="2"/>
  <c r="S108" i="2"/>
  <c r="G108" i="2"/>
  <c r="E108" i="2"/>
  <c r="BC107" i="2"/>
  <c r="K107" i="5" s="1"/>
  <c r="BB107" i="2"/>
  <c r="J107" i="5" s="1"/>
  <c r="BA107" i="2"/>
  <c r="I107" i="5" s="1"/>
  <c r="AZ107" i="2"/>
  <c r="H107" i="5" s="1"/>
  <c r="AY107" i="2"/>
  <c r="G107" i="5" s="1"/>
  <c r="AX107" i="2"/>
  <c r="F107" i="5" s="1"/>
  <c r="AQ107" i="2"/>
  <c r="S107" i="2"/>
  <c r="G107" i="2"/>
  <c r="E107" i="2"/>
  <c r="BC106" i="2"/>
  <c r="K106" i="5" s="1"/>
  <c r="BB106" i="2"/>
  <c r="J106" i="5" s="1"/>
  <c r="BA106" i="2"/>
  <c r="I106" i="5" s="1"/>
  <c r="AZ106" i="2"/>
  <c r="H106" i="5" s="1"/>
  <c r="AY106" i="2"/>
  <c r="G106" i="5" s="1"/>
  <c r="AX106" i="2"/>
  <c r="F106" i="5" s="1"/>
  <c r="AQ106" i="2"/>
  <c r="S106" i="2"/>
  <c r="G106" i="2"/>
  <c r="E106" i="2"/>
  <c r="BC105" i="2"/>
  <c r="K105" i="5" s="1"/>
  <c r="BB105" i="2"/>
  <c r="J105" i="5" s="1"/>
  <c r="BA105" i="2"/>
  <c r="I105" i="5" s="1"/>
  <c r="AZ105" i="2"/>
  <c r="H105" i="5" s="1"/>
  <c r="AY105" i="2"/>
  <c r="G105" i="5" s="1"/>
  <c r="AX105" i="2"/>
  <c r="F105" i="5" s="1"/>
  <c r="AQ105" i="2"/>
  <c r="S105" i="2"/>
  <c r="G105" i="2"/>
  <c r="E105" i="2"/>
  <c r="BC104" i="2"/>
  <c r="K104" i="5" s="1"/>
  <c r="BB104" i="2"/>
  <c r="J104" i="5" s="1"/>
  <c r="BA104" i="2"/>
  <c r="I104" i="5" s="1"/>
  <c r="AZ104" i="2"/>
  <c r="H104" i="5" s="1"/>
  <c r="AY104" i="2"/>
  <c r="G104" i="5" s="1"/>
  <c r="AX104" i="2"/>
  <c r="F104" i="5" s="1"/>
  <c r="AQ104" i="2"/>
  <c r="S104" i="2"/>
  <c r="G104" i="2"/>
  <c r="E104" i="2"/>
  <c r="BC103" i="2"/>
  <c r="K103" i="5" s="1"/>
  <c r="BB103" i="2"/>
  <c r="J103" i="5" s="1"/>
  <c r="BA103" i="2"/>
  <c r="I103" i="5" s="1"/>
  <c r="AZ103" i="2"/>
  <c r="H103" i="5" s="1"/>
  <c r="AY103" i="2"/>
  <c r="G103" i="5" s="1"/>
  <c r="AX103" i="2"/>
  <c r="F103" i="5" s="1"/>
  <c r="AQ103" i="2"/>
  <c r="S103" i="2"/>
  <c r="G103" i="2"/>
  <c r="E103" i="2"/>
  <c r="BC102" i="2"/>
  <c r="K102" i="5" s="1"/>
  <c r="BB102" i="2"/>
  <c r="J102" i="5" s="1"/>
  <c r="BA102" i="2"/>
  <c r="I102" i="5" s="1"/>
  <c r="AZ102" i="2"/>
  <c r="H102" i="5" s="1"/>
  <c r="AY102" i="2"/>
  <c r="G102" i="5" s="1"/>
  <c r="AX102" i="2"/>
  <c r="F102" i="5" s="1"/>
  <c r="AQ102" i="2"/>
  <c r="S102" i="2"/>
  <c r="G102" i="2"/>
  <c r="E102" i="2"/>
  <c r="BC101" i="2"/>
  <c r="K101" i="5" s="1"/>
  <c r="BB101" i="2"/>
  <c r="J101" i="5" s="1"/>
  <c r="BA101" i="2"/>
  <c r="I101" i="5" s="1"/>
  <c r="AZ101" i="2"/>
  <c r="H101" i="5" s="1"/>
  <c r="AY101" i="2"/>
  <c r="G101" i="5" s="1"/>
  <c r="AX101" i="2"/>
  <c r="F101" i="5" s="1"/>
  <c r="AQ101" i="2"/>
  <c r="S101" i="2"/>
  <c r="G101" i="2"/>
  <c r="E101" i="2"/>
  <c r="BC100" i="2"/>
  <c r="K100" i="5" s="1"/>
  <c r="BB100" i="2"/>
  <c r="J100" i="5" s="1"/>
  <c r="BA100" i="2"/>
  <c r="I100" i="5" s="1"/>
  <c r="AZ100" i="2"/>
  <c r="H100" i="5" s="1"/>
  <c r="AY100" i="2"/>
  <c r="G100" i="5" s="1"/>
  <c r="AX100" i="2"/>
  <c r="F100" i="5" s="1"/>
  <c r="AQ100" i="2"/>
  <c r="S100" i="2"/>
  <c r="G100" i="2"/>
  <c r="E100" i="2"/>
  <c r="BC99" i="2"/>
  <c r="K99" i="5" s="1"/>
  <c r="BB99" i="2"/>
  <c r="J99" i="5" s="1"/>
  <c r="BA99" i="2"/>
  <c r="I99" i="5" s="1"/>
  <c r="AZ99" i="2"/>
  <c r="H99" i="5" s="1"/>
  <c r="AY99" i="2"/>
  <c r="G99" i="5" s="1"/>
  <c r="AX99" i="2"/>
  <c r="F99" i="5" s="1"/>
  <c r="AQ99" i="2"/>
  <c r="S99" i="2"/>
  <c r="G99" i="2"/>
  <c r="E99" i="2"/>
  <c r="BC98" i="2"/>
  <c r="K98" i="5" s="1"/>
  <c r="BB98" i="2"/>
  <c r="J98" i="5" s="1"/>
  <c r="BA98" i="2"/>
  <c r="I98" i="5" s="1"/>
  <c r="AZ98" i="2"/>
  <c r="H98" i="5" s="1"/>
  <c r="AY98" i="2"/>
  <c r="G98" i="5" s="1"/>
  <c r="AX98" i="2"/>
  <c r="F98" i="5" s="1"/>
  <c r="AQ98" i="2"/>
  <c r="S98" i="2"/>
  <c r="G98" i="2"/>
  <c r="E98" i="2"/>
  <c r="BC97" i="2"/>
  <c r="K97" i="5" s="1"/>
  <c r="BB97" i="2"/>
  <c r="J97" i="5" s="1"/>
  <c r="BA97" i="2"/>
  <c r="I97" i="5" s="1"/>
  <c r="AZ97" i="2"/>
  <c r="H97" i="5" s="1"/>
  <c r="AY97" i="2"/>
  <c r="G97" i="5" s="1"/>
  <c r="AX97" i="2"/>
  <c r="F97" i="5" s="1"/>
  <c r="AQ97" i="2"/>
  <c r="S97" i="2"/>
  <c r="G97" i="2"/>
  <c r="E97" i="2"/>
  <c r="BC96" i="2"/>
  <c r="K96" i="5" s="1"/>
  <c r="BB96" i="2"/>
  <c r="J96" i="5" s="1"/>
  <c r="BA96" i="2"/>
  <c r="I96" i="5" s="1"/>
  <c r="AZ96" i="2"/>
  <c r="H96" i="5" s="1"/>
  <c r="AY96" i="2"/>
  <c r="G96" i="5" s="1"/>
  <c r="AX96" i="2"/>
  <c r="F96" i="5" s="1"/>
  <c r="AQ96" i="2"/>
  <c r="S96" i="2"/>
  <c r="G96" i="2"/>
  <c r="E96" i="2"/>
  <c r="BC95" i="2"/>
  <c r="K95" i="5" s="1"/>
  <c r="BB95" i="2"/>
  <c r="J95" i="5" s="1"/>
  <c r="BA95" i="2"/>
  <c r="I95" i="5" s="1"/>
  <c r="AZ95" i="2"/>
  <c r="H95" i="5" s="1"/>
  <c r="AY95" i="2"/>
  <c r="G95" i="5" s="1"/>
  <c r="AX95" i="2"/>
  <c r="F95" i="5" s="1"/>
  <c r="AQ95" i="2"/>
  <c r="S95" i="2"/>
  <c r="G95" i="2"/>
  <c r="E95" i="2"/>
  <c r="BC94" i="2"/>
  <c r="K94" i="5" s="1"/>
  <c r="BB94" i="2"/>
  <c r="J94" i="5" s="1"/>
  <c r="BA94" i="2"/>
  <c r="I94" i="5" s="1"/>
  <c r="AZ94" i="2"/>
  <c r="H94" i="5" s="1"/>
  <c r="AY94" i="2"/>
  <c r="G94" i="5" s="1"/>
  <c r="AX94" i="2"/>
  <c r="F94" i="5" s="1"/>
  <c r="AQ94" i="2"/>
  <c r="S94" i="2"/>
  <c r="G94" i="2"/>
  <c r="E94" i="2"/>
  <c r="BC93" i="2"/>
  <c r="K93" i="5" s="1"/>
  <c r="BB93" i="2"/>
  <c r="J93" i="5" s="1"/>
  <c r="BA93" i="2"/>
  <c r="I93" i="5" s="1"/>
  <c r="AZ93" i="2"/>
  <c r="H93" i="5" s="1"/>
  <c r="AY93" i="2"/>
  <c r="G93" i="5" s="1"/>
  <c r="AX93" i="2"/>
  <c r="F93" i="5" s="1"/>
  <c r="AQ93" i="2"/>
  <c r="S93" i="2"/>
  <c r="G93" i="2"/>
  <c r="E93" i="2"/>
  <c r="BC92" i="2"/>
  <c r="K92" i="5" s="1"/>
  <c r="BB92" i="2"/>
  <c r="J92" i="5" s="1"/>
  <c r="BA92" i="2"/>
  <c r="I92" i="5" s="1"/>
  <c r="AZ92" i="2"/>
  <c r="H92" i="5" s="1"/>
  <c r="AY92" i="2"/>
  <c r="G92" i="5" s="1"/>
  <c r="AX92" i="2"/>
  <c r="F92" i="5" s="1"/>
  <c r="AQ92" i="2"/>
  <c r="S92" i="2"/>
  <c r="G92" i="2"/>
  <c r="E92" i="2"/>
  <c r="BC91" i="2"/>
  <c r="K91" i="5" s="1"/>
  <c r="BB91" i="2"/>
  <c r="J91" i="5" s="1"/>
  <c r="BA91" i="2"/>
  <c r="I91" i="5" s="1"/>
  <c r="AZ91" i="2"/>
  <c r="H91" i="5" s="1"/>
  <c r="AY91" i="2"/>
  <c r="G91" i="5" s="1"/>
  <c r="AX91" i="2"/>
  <c r="F91" i="5" s="1"/>
  <c r="AQ91" i="2"/>
  <c r="S91" i="2"/>
  <c r="G91" i="2"/>
  <c r="E91" i="2"/>
  <c r="BC90" i="2"/>
  <c r="K90" i="5" s="1"/>
  <c r="BB90" i="2"/>
  <c r="J90" i="5" s="1"/>
  <c r="BA90" i="2"/>
  <c r="I90" i="5" s="1"/>
  <c r="AZ90" i="2"/>
  <c r="H90" i="5" s="1"/>
  <c r="AY90" i="2"/>
  <c r="G90" i="5" s="1"/>
  <c r="AX90" i="2"/>
  <c r="F90" i="5" s="1"/>
  <c r="AQ90" i="2"/>
  <c r="S90" i="2"/>
  <c r="G90" i="2"/>
  <c r="E90" i="2"/>
  <c r="BC89" i="2"/>
  <c r="K89" i="5" s="1"/>
  <c r="BB89" i="2"/>
  <c r="J89" i="5" s="1"/>
  <c r="BA89" i="2"/>
  <c r="I89" i="5" s="1"/>
  <c r="AZ89" i="2"/>
  <c r="H89" i="5" s="1"/>
  <c r="AY89" i="2"/>
  <c r="G89" i="5" s="1"/>
  <c r="AX89" i="2"/>
  <c r="F89" i="5" s="1"/>
  <c r="AQ89" i="2"/>
  <c r="S89" i="2"/>
  <c r="G89" i="2"/>
  <c r="E89" i="2"/>
  <c r="BC88" i="2"/>
  <c r="K88" i="5" s="1"/>
  <c r="BB88" i="2"/>
  <c r="J88" i="5" s="1"/>
  <c r="BA88" i="2"/>
  <c r="I88" i="5" s="1"/>
  <c r="AZ88" i="2"/>
  <c r="H88" i="5" s="1"/>
  <c r="AY88" i="2"/>
  <c r="G88" i="5" s="1"/>
  <c r="AX88" i="2"/>
  <c r="F88" i="5" s="1"/>
  <c r="AQ88" i="2"/>
  <c r="S88" i="2"/>
  <c r="G88" i="2"/>
  <c r="E88" i="2"/>
  <c r="BC87" i="2"/>
  <c r="K87" i="5" s="1"/>
  <c r="BB87" i="2"/>
  <c r="J87" i="5" s="1"/>
  <c r="BA87" i="2"/>
  <c r="I87" i="5" s="1"/>
  <c r="AZ87" i="2"/>
  <c r="H87" i="5" s="1"/>
  <c r="AY87" i="2"/>
  <c r="G87" i="5" s="1"/>
  <c r="AX87" i="2"/>
  <c r="F87" i="5" s="1"/>
  <c r="AQ87" i="2"/>
  <c r="S87" i="2"/>
  <c r="G87" i="2"/>
  <c r="E87" i="2"/>
  <c r="BC86" i="2"/>
  <c r="K86" i="5" s="1"/>
  <c r="BB86" i="2"/>
  <c r="J86" i="5" s="1"/>
  <c r="BA86" i="2"/>
  <c r="I86" i="5" s="1"/>
  <c r="AZ86" i="2"/>
  <c r="H86" i="5" s="1"/>
  <c r="AY86" i="2"/>
  <c r="G86" i="5" s="1"/>
  <c r="AX86" i="2"/>
  <c r="F86" i="5" s="1"/>
  <c r="AQ86" i="2"/>
  <c r="S86" i="2"/>
  <c r="G86" i="2"/>
  <c r="E86" i="2"/>
  <c r="BC85" i="2"/>
  <c r="K85" i="5" s="1"/>
  <c r="BB85" i="2"/>
  <c r="J85" i="5" s="1"/>
  <c r="BA85" i="2"/>
  <c r="I85" i="5" s="1"/>
  <c r="AZ85" i="2"/>
  <c r="H85" i="5" s="1"/>
  <c r="AY85" i="2"/>
  <c r="G85" i="5" s="1"/>
  <c r="AX85" i="2"/>
  <c r="F85" i="5" s="1"/>
  <c r="AQ85" i="2"/>
  <c r="S85" i="2"/>
  <c r="G85" i="2"/>
  <c r="E85" i="2"/>
  <c r="BC84" i="2"/>
  <c r="K84" i="5" s="1"/>
  <c r="BB84" i="2"/>
  <c r="J84" i="5" s="1"/>
  <c r="BA84" i="2"/>
  <c r="I84" i="5" s="1"/>
  <c r="AZ84" i="2"/>
  <c r="H84" i="5" s="1"/>
  <c r="AY84" i="2"/>
  <c r="G84" i="5" s="1"/>
  <c r="AX84" i="2"/>
  <c r="F84" i="5" s="1"/>
  <c r="AQ84" i="2"/>
  <c r="S84" i="2"/>
  <c r="G84" i="2"/>
  <c r="E84" i="2"/>
  <c r="BC83" i="2"/>
  <c r="K83" i="5" s="1"/>
  <c r="BB83" i="2"/>
  <c r="J83" i="5" s="1"/>
  <c r="BA83" i="2"/>
  <c r="I83" i="5" s="1"/>
  <c r="AZ83" i="2"/>
  <c r="H83" i="5" s="1"/>
  <c r="AY83" i="2"/>
  <c r="G83" i="5" s="1"/>
  <c r="AX83" i="2"/>
  <c r="F83" i="5" s="1"/>
  <c r="AQ83" i="2"/>
  <c r="S83" i="2"/>
  <c r="G83" i="2"/>
  <c r="E83" i="2"/>
  <c r="BC82" i="2"/>
  <c r="K82" i="5" s="1"/>
  <c r="BB82" i="2"/>
  <c r="J82" i="5" s="1"/>
  <c r="BA82" i="2"/>
  <c r="I82" i="5" s="1"/>
  <c r="AZ82" i="2"/>
  <c r="H82" i="5" s="1"/>
  <c r="AY82" i="2"/>
  <c r="G82" i="5" s="1"/>
  <c r="AX82" i="2"/>
  <c r="F82" i="5" s="1"/>
  <c r="AQ82" i="2"/>
  <c r="S82" i="2"/>
  <c r="G82" i="2"/>
  <c r="E82" i="2"/>
  <c r="BC81" i="2"/>
  <c r="K81" i="5" s="1"/>
  <c r="BB81" i="2"/>
  <c r="J81" i="5" s="1"/>
  <c r="BA81" i="2"/>
  <c r="I81" i="5" s="1"/>
  <c r="AZ81" i="2"/>
  <c r="H81" i="5" s="1"/>
  <c r="AY81" i="2"/>
  <c r="G81" i="5" s="1"/>
  <c r="AX81" i="2"/>
  <c r="F81" i="5" s="1"/>
  <c r="AQ81" i="2"/>
  <c r="S81" i="2"/>
  <c r="G81" i="2"/>
  <c r="E81" i="2"/>
  <c r="BC80" i="2"/>
  <c r="K80" i="5" s="1"/>
  <c r="BB80" i="2"/>
  <c r="J80" i="5" s="1"/>
  <c r="BA80" i="2"/>
  <c r="I80" i="5" s="1"/>
  <c r="AZ80" i="2"/>
  <c r="H80" i="5" s="1"/>
  <c r="AY80" i="2"/>
  <c r="G80" i="5" s="1"/>
  <c r="AX80" i="2"/>
  <c r="F80" i="5" s="1"/>
  <c r="AQ80" i="2"/>
  <c r="S80" i="2"/>
  <c r="G80" i="2"/>
  <c r="E80" i="2"/>
  <c r="BC79" i="2"/>
  <c r="K79" i="5" s="1"/>
  <c r="BB79" i="2"/>
  <c r="J79" i="5" s="1"/>
  <c r="BA79" i="2"/>
  <c r="I79" i="5" s="1"/>
  <c r="AZ79" i="2"/>
  <c r="H79" i="5" s="1"/>
  <c r="AY79" i="2"/>
  <c r="G79" i="5" s="1"/>
  <c r="AX79" i="2"/>
  <c r="F79" i="5" s="1"/>
  <c r="AQ79" i="2"/>
  <c r="S79" i="2"/>
  <c r="G79" i="2"/>
  <c r="E79" i="2"/>
  <c r="BC78" i="2"/>
  <c r="K78" i="5" s="1"/>
  <c r="BB78" i="2"/>
  <c r="J78" i="5" s="1"/>
  <c r="BA78" i="2"/>
  <c r="I78" i="5" s="1"/>
  <c r="AZ78" i="2"/>
  <c r="H78" i="5" s="1"/>
  <c r="AY78" i="2"/>
  <c r="G78" i="5" s="1"/>
  <c r="AX78" i="2"/>
  <c r="F78" i="5" s="1"/>
  <c r="AQ78" i="2"/>
  <c r="S78" i="2"/>
  <c r="G78" i="2"/>
  <c r="E78" i="2"/>
  <c r="BC77" i="2"/>
  <c r="K77" i="5" s="1"/>
  <c r="BB77" i="2"/>
  <c r="J77" i="5" s="1"/>
  <c r="BA77" i="2"/>
  <c r="I77" i="5" s="1"/>
  <c r="AZ77" i="2"/>
  <c r="H77" i="5" s="1"/>
  <c r="AY77" i="2"/>
  <c r="G77" i="5" s="1"/>
  <c r="AX77" i="2"/>
  <c r="F77" i="5" s="1"/>
  <c r="AQ77" i="2"/>
  <c r="S77" i="2"/>
  <c r="G77" i="2"/>
  <c r="E77" i="2"/>
  <c r="BC76" i="2"/>
  <c r="K76" i="5" s="1"/>
  <c r="BB76" i="2"/>
  <c r="J76" i="5" s="1"/>
  <c r="BA76" i="2"/>
  <c r="I76" i="5" s="1"/>
  <c r="AZ76" i="2"/>
  <c r="H76" i="5" s="1"/>
  <c r="AY76" i="2"/>
  <c r="G76" i="5" s="1"/>
  <c r="AX76" i="2"/>
  <c r="F76" i="5" s="1"/>
  <c r="AQ76" i="2"/>
  <c r="S76" i="2"/>
  <c r="G76" i="2"/>
  <c r="E76" i="2"/>
  <c r="BC75" i="2"/>
  <c r="K75" i="5" s="1"/>
  <c r="BB75" i="2"/>
  <c r="J75" i="5" s="1"/>
  <c r="BA75" i="2"/>
  <c r="I75" i="5" s="1"/>
  <c r="AZ75" i="2"/>
  <c r="H75" i="5" s="1"/>
  <c r="AY75" i="2"/>
  <c r="G75" i="5" s="1"/>
  <c r="AX75" i="2"/>
  <c r="F75" i="5" s="1"/>
  <c r="AQ75" i="2"/>
  <c r="S75" i="2"/>
  <c r="G75" i="2"/>
  <c r="E75" i="2"/>
  <c r="BC74" i="2"/>
  <c r="K74" i="5" s="1"/>
  <c r="BB74" i="2"/>
  <c r="J74" i="5" s="1"/>
  <c r="BA74" i="2"/>
  <c r="I74" i="5" s="1"/>
  <c r="AZ74" i="2"/>
  <c r="H74" i="5" s="1"/>
  <c r="AY74" i="2"/>
  <c r="G74" i="5" s="1"/>
  <c r="AX74" i="2"/>
  <c r="F74" i="5" s="1"/>
  <c r="AQ74" i="2"/>
  <c r="S74" i="2"/>
  <c r="G74" i="2"/>
  <c r="E74" i="2"/>
  <c r="BC73" i="2"/>
  <c r="K73" i="5" s="1"/>
  <c r="BB73" i="2"/>
  <c r="J73" i="5" s="1"/>
  <c r="BA73" i="2"/>
  <c r="I73" i="5" s="1"/>
  <c r="AZ73" i="2"/>
  <c r="H73" i="5" s="1"/>
  <c r="AY73" i="2"/>
  <c r="G73" i="5" s="1"/>
  <c r="AX73" i="2"/>
  <c r="F73" i="5" s="1"/>
  <c r="AQ73" i="2"/>
  <c r="S73" i="2"/>
  <c r="G73" i="2"/>
  <c r="E73" i="2"/>
  <c r="BC72" i="2"/>
  <c r="K72" i="5" s="1"/>
  <c r="BB72" i="2"/>
  <c r="J72" i="5" s="1"/>
  <c r="BA72" i="2"/>
  <c r="I72" i="5" s="1"/>
  <c r="AZ72" i="2"/>
  <c r="H72" i="5" s="1"/>
  <c r="AY72" i="2"/>
  <c r="G72" i="5" s="1"/>
  <c r="AX72" i="2"/>
  <c r="F72" i="5" s="1"/>
  <c r="AQ72" i="2"/>
  <c r="S72" i="2"/>
  <c r="G72" i="2"/>
  <c r="E72" i="2"/>
  <c r="BC71" i="2"/>
  <c r="K71" i="5" s="1"/>
  <c r="BB71" i="2"/>
  <c r="J71" i="5" s="1"/>
  <c r="BA71" i="2"/>
  <c r="I71" i="5" s="1"/>
  <c r="AZ71" i="2"/>
  <c r="H71" i="5" s="1"/>
  <c r="AY71" i="2"/>
  <c r="G71" i="5" s="1"/>
  <c r="AX71" i="2"/>
  <c r="F71" i="5" s="1"/>
  <c r="AQ71" i="2"/>
  <c r="S71" i="2"/>
  <c r="G71" i="2"/>
  <c r="E71" i="2"/>
  <c r="BC70" i="2"/>
  <c r="K70" i="5" s="1"/>
  <c r="BB70" i="2"/>
  <c r="J70" i="5" s="1"/>
  <c r="BA70" i="2"/>
  <c r="I70" i="5" s="1"/>
  <c r="AZ70" i="2"/>
  <c r="H70" i="5" s="1"/>
  <c r="AY70" i="2"/>
  <c r="G70" i="5" s="1"/>
  <c r="AX70" i="2"/>
  <c r="F70" i="5" s="1"/>
  <c r="AQ70" i="2"/>
  <c r="S70" i="2"/>
  <c r="G70" i="2"/>
  <c r="E70" i="2"/>
  <c r="BC69" i="2"/>
  <c r="K69" i="5" s="1"/>
  <c r="BB69" i="2"/>
  <c r="J69" i="5" s="1"/>
  <c r="BA69" i="2"/>
  <c r="I69" i="5" s="1"/>
  <c r="AZ69" i="2"/>
  <c r="H69" i="5" s="1"/>
  <c r="AY69" i="2"/>
  <c r="G69" i="5" s="1"/>
  <c r="AX69" i="2"/>
  <c r="F69" i="5" s="1"/>
  <c r="AQ69" i="2"/>
  <c r="S69" i="2"/>
  <c r="G69" i="2"/>
  <c r="E69" i="2"/>
  <c r="BC68" i="2"/>
  <c r="K68" i="5" s="1"/>
  <c r="BB68" i="2"/>
  <c r="J68" i="5" s="1"/>
  <c r="BA68" i="2"/>
  <c r="I68" i="5" s="1"/>
  <c r="AZ68" i="2"/>
  <c r="H68" i="5" s="1"/>
  <c r="AY68" i="2"/>
  <c r="G68" i="5" s="1"/>
  <c r="AX68" i="2"/>
  <c r="F68" i="5" s="1"/>
  <c r="AQ68" i="2"/>
  <c r="S68" i="2"/>
  <c r="G68" i="2"/>
  <c r="E68" i="2"/>
  <c r="BC67" i="2"/>
  <c r="K67" i="5" s="1"/>
  <c r="BB67" i="2"/>
  <c r="J67" i="5" s="1"/>
  <c r="BA67" i="2"/>
  <c r="I67" i="5" s="1"/>
  <c r="AZ67" i="2"/>
  <c r="H67" i="5" s="1"/>
  <c r="AY67" i="2"/>
  <c r="G67" i="5" s="1"/>
  <c r="AX67" i="2"/>
  <c r="F67" i="5" s="1"/>
  <c r="AQ67" i="2"/>
  <c r="S67" i="2"/>
  <c r="G67" i="2"/>
  <c r="E67" i="2"/>
  <c r="BC66" i="2"/>
  <c r="K66" i="5" s="1"/>
  <c r="BB66" i="2"/>
  <c r="J66" i="5" s="1"/>
  <c r="BA66" i="2"/>
  <c r="I66" i="5" s="1"/>
  <c r="AZ66" i="2"/>
  <c r="H66" i="5" s="1"/>
  <c r="AY66" i="2"/>
  <c r="G66" i="5" s="1"/>
  <c r="AX66" i="2"/>
  <c r="F66" i="5" s="1"/>
  <c r="AQ66" i="2"/>
  <c r="S66" i="2"/>
  <c r="G66" i="2"/>
  <c r="E66" i="2"/>
  <c r="BC65" i="2"/>
  <c r="K65" i="5" s="1"/>
  <c r="BB65" i="2"/>
  <c r="J65" i="5" s="1"/>
  <c r="BA65" i="2"/>
  <c r="I65" i="5" s="1"/>
  <c r="AZ65" i="2"/>
  <c r="H65" i="5" s="1"/>
  <c r="AY65" i="2"/>
  <c r="G65" i="5" s="1"/>
  <c r="AX65" i="2"/>
  <c r="F65" i="5" s="1"/>
  <c r="AQ65" i="2"/>
  <c r="S65" i="2"/>
  <c r="G65" i="2"/>
  <c r="E65" i="2"/>
  <c r="BC64" i="2"/>
  <c r="K64" i="5" s="1"/>
  <c r="BB64" i="2"/>
  <c r="J64" i="5" s="1"/>
  <c r="BA64" i="2"/>
  <c r="I64" i="5" s="1"/>
  <c r="AZ64" i="2"/>
  <c r="H64" i="5" s="1"/>
  <c r="AY64" i="2"/>
  <c r="G64" i="5" s="1"/>
  <c r="AX64" i="2"/>
  <c r="F64" i="5" s="1"/>
  <c r="AQ64" i="2"/>
  <c r="S64" i="2"/>
  <c r="G64" i="2"/>
  <c r="E64" i="2"/>
  <c r="BC63" i="2"/>
  <c r="K63" i="5" s="1"/>
  <c r="BB63" i="2"/>
  <c r="J63" i="5" s="1"/>
  <c r="BA63" i="2"/>
  <c r="I63" i="5" s="1"/>
  <c r="AZ63" i="2"/>
  <c r="H63" i="5" s="1"/>
  <c r="AY63" i="2"/>
  <c r="G63" i="5" s="1"/>
  <c r="AX63" i="2"/>
  <c r="F63" i="5" s="1"/>
  <c r="AQ63" i="2"/>
  <c r="S63" i="2"/>
  <c r="G63" i="2"/>
  <c r="E63" i="2"/>
  <c r="BC62" i="2"/>
  <c r="K62" i="5" s="1"/>
  <c r="BB62" i="2"/>
  <c r="J62" i="5" s="1"/>
  <c r="BA62" i="2"/>
  <c r="I62" i="5" s="1"/>
  <c r="AZ62" i="2"/>
  <c r="H62" i="5" s="1"/>
  <c r="AY62" i="2"/>
  <c r="G62" i="5" s="1"/>
  <c r="AX62" i="2"/>
  <c r="F62" i="5" s="1"/>
  <c r="AQ62" i="2"/>
  <c r="S62" i="2"/>
  <c r="G62" i="2"/>
  <c r="E62" i="2"/>
  <c r="BC61" i="2"/>
  <c r="K61" i="5" s="1"/>
  <c r="BB61" i="2"/>
  <c r="J61" i="5" s="1"/>
  <c r="BA61" i="2"/>
  <c r="I61" i="5" s="1"/>
  <c r="AZ61" i="2"/>
  <c r="H61" i="5" s="1"/>
  <c r="AY61" i="2"/>
  <c r="G61" i="5" s="1"/>
  <c r="AX61" i="2"/>
  <c r="F61" i="5" s="1"/>
  <c r="AQ61" i="2"/>
  <c r="S61" i="2"/>
  <c r="G61" i="2"/>
  <c r="E61" i="2"/>
  <c r="BC60" i="2"/>
  <c r="K60" i="5" s="1"/>
  <c r="BB60" i="2"/>
  <c r="J60" i="5" s="1"/>
  <c r="BA60" i="2"/>
  <c r="I60" i="5" s="1"/>
  <c r="AZ60" i="2"/>
  <c r="H60" i="5" s="1"/>
  <c r="AY60" i="2"/>
  <c r="G60" i="5" s="1"/>
  <c r="AX60" i="2"/>
  <c r="F60" i="5" s="1"/>
  <c r="AQ60" i="2"/>
  <c r="S60" i="2"/>
  <c r="G60" i="2"/>
  <c r="E60" i="2"/>
  <c r="BC59" i="2"/>
  <c r="K59" i="5" s="1"/>
  <c r="BB59" i="2"/>
  <c r="J59" i="5" s="1"/>
  <c r="BA59" i="2"/>
  <c r="I59" i="5" s="1"/>
  <c r="AZ59" i="2"/>
  <c r="H59" i="5" s="1"/>
  <c r="AY59" i="2"/>
  <c r="G59" i="5" s="1"/>
  <c r="AX59" i="2"/>
  <c r="F59" i="5" s="1"/>
  <c r="AQ59" i="2"/>
  <c r="S59" i="2"/>
  <c r="G59" i="2"/>
  <c r="E59" i="2"/>
  <c r="BC58" i="2"/>
  <c r="K58" i="5" s="1"/>
  <c r="BB58" i="2"/>
  <c r="J58" i="5" s="1"/>
  <c r="BA58" i="2"/>
  <c r="I58" i="5" s="1"/>
  <c r="AZ58" i="2"/>
  <c r="H58" i="5" s="1"/>
  <c r="AY58" i="2"/>
  <c r="G58" i="5" s="1"/>
  <c r="AX58" i="2"/>
  <c r="F58" i="5" s="1"/>
  <c r="AQ58" i="2"/>
  <c r="S58" i="2"/>
  <c r="G58" i="2"/>
  <c r="E58" i="2"/>
  <c r="BC57" i="2"/>
  <c r="K57" i="5" s="1"/>
  <c r="BB57" i="2"/>
  <c r="J57" i="5" s="1"/>
  <c r="BA57" i="2"/>
  <c r="I57" i="5" s="1"/>
  <c r="AZ57" i="2"/>
  <c r="H57" i="5" s="1"/>
  <c r="AY57" i="2"/>
  <c r="G57" i="5" s="1"/>
  <c r="AX57" i="2"/>
  <c r="F57" i="5" s="1"/>
  <c r="AQ57" i="2"/>
  <c r="S57" i="2"/>
  <c r="G57" i="2"/>
  <c r="E57" i="2"/>
  <c r="BC56" i="2"/>
  <c r="K56" i="5" s="1"/>
  <c r="BB56" i="2"/>
  <c r="J56" i="5" s="1"/>
  <c r="BA56" i="2"/>
  <c r="I56" i="5" s="1"/>
  <c r="AZ56" i="2"/>
  <c r="H56" i="5" s="1"/>
  <c r="AY56" i="2"/>
  <c r="G56" i="5" s="1"/>
  <c r="AX56" i="2"/>
  <c r="F56" i="5" s="1"/>
  <c r="AQ56" i="2"/>
  <c r="S56" i="2"/>
  <c r="G56" i="2"/>
  <c r="E56" i="2"/>
  <c r="BC55" i="2"/>
  <c r="K55" i="5" s="1"/>
  <c r="BB55" i="2"/>
  <c r="J55" i="5" s="1"/>
  <c r="BA55" i="2"/>
  <c r="I55" i="5" s="1"/>
  <c r="AZ55" i="2"/>
  <c r="H55" i="5" s="1"/>
  <c r="AY55" i="2"/>
  <c r="G55" i="5" s="1"/>
  <c r="AX55" i="2"/>
  <c r="F55" i="5" s="1"/>
  <c r="AQ55" i="2"/>
  <c r="S55" i="2"/>
  <c r="G55" i="2"/>
  <c r="E55" i="2"/>
  <c r="BC54" i="2"/>
  <c r="K54" i="5" s="1"/>
  <c r="BB54" i="2"/>
  <c r="J54" i="5" s="1"/>
  <c r="BA54" i="2"/>
  <c r="I54" i="5" s="1"/>
  <c r="AZ54" i="2"/>
  <c r="H54" i="5" s="1"/>
  <c r="AY54" i="2"/>
  <c r="G54" i="5" s="1"/>
  <c r="AX54" i="2"/>
  <c r="F54" i="5" s="1"/>
  <c r="AQ54" i="2"/>
  <c r="S54" i="2"/>
  <c r="G54" i="2"/>
  <c r="E54" i="2"/>
  <c r="BC53" i="2"/>
  <c r="K53" i="5" s="1"/>
  <c r="BB53" i="2"/>
  <c r="J53" i="5" s="1"/>
  <c r="BA53" i="2"/>
  <c r="I53" i="5" s="1"/>
  <c r="AZ53" i="2"/>
  <c r="H53" i="5" s="1"/>
  <c r="AY53" i="2"/>
  <c r="G53" i="5" s="1"/>
  <c r="AX53" i="2"/>
  <c r="F53" i="5" s="1"/>
  <c r="AQ53" i="2"/>
  <c r="S53" i="2"/>
  <c r="G53" i="2"/>
  <c r="E53" i="2"/>
  <c r="BC52" i="2"/>
  <c r="K52" i="5" s="1"/>
  <c r="BB52" i="2"/>
  <c r="J52" i="5" s="1"/>
  <c r="BA52" i="2"/>
  <c r="I52" i="5" s="1"/>
  <c r="AZ52" i="2"/>
  <c r="H52" i="5" s="1"/>
  <c r="AY52" i="2"/>
  <c r="G52" i="5" s="1"/>
  <c r="AX52" i="2"/>
  <c r="F52" i="5" s="1"/>
  <c r="AQ52" i="2"/>
  <c r="S52" i="2"/>
  <c r="G52" i="2"/>
  <c r="E52" i="2"/>
  <c r="BC51" i="2"/>
  <c r="K51" i="5" s="1"/>
  <c r="BB51" i="2"/>
  <c r="J51" i="5" s="1"/>
  <c r="BA51" i="2"/>
  <c r="I51" i="5" s="1"/>
  <c r="AZ51" i="2"/>
  <c r="H51" i="5" s="1"/>
  <c r="AY51" i="2"/>
  <c r="G51" i="5" s="1"/>
  <c r="AX51" i="2"/>
  <c r="F51" i="5" s="1"/>
  <c r="AQ51" i="2"/>
  <c r="S51" i="2"/>
  <c r="G51" i="2"/>
  <c r="E51" i="2"/>
  <c r="BC50" i="2"/>
  <c r="K50" i="5" s="1"/>
  <c r="BB50" i="2"/>
  <c r="J50" i="5" s="1"/>
  <c r="BA50" i="2"/>
  <c r="I50" i="5" s="1"/>
  <c r="AZ50" i="2"/>
  <c r="H50" i="5" s="1"/>
  <c r="AY50" i="2"/>
  <c r="G50" i="5" s="1"/>
  <c r="AX50" i="2"/>
  <c r="F50" i="5" s="1"/>
  <c r="AQ50" i="2"/>
  <c r="S50" i="2"/>
  <c r="G50" i="2"/>
  <c r="E50" i="2"/>
  <c r="BC49" i="2"/>
  <c r="K49" i="5" s="1"/>
  <c r="BB49" i="2"/>
  <c r="J49" i="5" s="1"/>
  <c r="BA49" i="2"/>
  <c r="I49" i="5" s="1"/>
  <c r="AZ49" i="2"/>
  <c r="H49" i="5" s="1"/>
  <c r="AY49" i="2"/>
  <c r="G49" i="5" s="1"/>
  <c r="AX49" i="2"/>
  <c r="F49" i="5" s="1"/>
  <c r="AQ49" i="2"/>
  <c r="S49" i="2"/>
  <c r="G49" i="2"/>
  <c r="E49" i="2"/>
  <c r="BC48" i="2"/>
  <c r="K48" i="5" s="1"/>
  <c r="BB48" i="2"/>
  <c r="J48" i="5" s="1"/>
  <c r="BA48" i="2"/>
  <c r="I48" i="5" s="1"/>
  <c r="AZ48" i="2"/>
  <c r="H48" i="5" s="1"/>
  <c r="AY48" i="2"/>
  <c r="G48" i="5" s="1"/>
  <c r="AX48" i="2"/>
  <c r="F48" i="5" s="1"/>
  <c r="AQ48" i="2"/>
  <c r="S48" i="2"/>
  <c r="G48" i="2"/>
  <c r="E48" i="2"/>
  <c r="BC47" i="2"/>
  <c r="K47" i="5" s="1"/>
  <c r="BB47" i="2"/>
  <c r="J47" i="5" s="1"/>
  <c r="BA47" i="2"/>
  <c r="I47" i="5" s="1"/>
  <c r="AZ47" i="2"/>
  <c r="H47" i="5" s="1"/>
  <c r="AY47" i="2"/>
  <c r="G47" i="5" s="1"/>
  <c r="AX47" i="2"/>
  <c r="F47" i="5" s="1"/>
  <c r="AQ47" i="2"/>
  <c r="S47" i="2"/>
  <c r="G47" i="2"/>
  <c r="E47" i="2"/>
  <c r="BC46" i="2"/>
  <c r="K46" i="5" s="1"/>
  <c r="BB46" i="2"/>
  <c r="J46" i="5" s="1"/>
  <c r="BA46" i="2"/>
  <c r="I46" i="5" s="1"/>
  <c r="AZ46" i="2"/>
  <c r="H46" i="5" s="1"/>
  <c r="AY46" i="2"/>
  <c r="G46" i="5" s="1"/>
  <c r="AX46" i="2"/>
  <c r="F46" i="5" s="1"/>
  <c r="AQ46" i="2"/>
  <c r="S46" i="2"/>
  <c r="G46" i="2"/>
  <c r="E46" i="2"/>
  <c r="BC45" i="2"/>
  <c r="K45" i="5" s="1"/>
  <c r="BB45" i="2"/>
  <c r="J45" i="5" s="1"/>
  <c r="BA45" i="2"/>
  <c r="I45" i="5" s="1"/>
  <c r="AZ45" i="2"/>
  <c r="H45" i="5" s="1"/>
  <c r="AY45" i="2"/>
  <c r="G45" i="5" s="1"/>
  <c r="AX45" i="2"/>
  <c r="F45" i="5" s="1"/>
  <c r="AQ45" i="2"/>
  <c r="S45" i="2"/>
  <c r="G45" i="2"/>
  <c r="E45" i="2"/>
  <c r="BC44" i="2"/>
  <c r="K44" i="5" s="1"/>
  <c r="BB44" i="2"/>
  <c r="J44" i="5" s="1"/>
  <c r="BA44" i="2"/>
  <c r="I44" i="5" s="1"/>
  <c r="AZ44" i="2"/>
  <c r="H44" i="5" s="1"/>
  <c r="AY44" i="2"/>
  <c r="G44" i="5" s="1"/>
  <c r="AX44" i="2"/>
  <c r="F44" i="5" s="1"/>
  <c r="AQ44" i="2"/>
  <c r="S44" i="2"/>
  <c r="G44" i="2"/>
  <c r="E44" i="2"/>
  <c r="BC43" i="2"/>
  <c r="K43" i="5" s="1"/>
  <c r="BB43" i="2"/>
  <c r="J43" i="5" s="1"/>
  <c r="BA43" i="2"/>
  <c r="I43" i="5" s="1"/>
  <c r="AZ43" i="2"/>
  <c r="H43" i="5" s="1"/>
  <c r="AY43" i="2"/>
  <c r="G43" i="5" s="1"/>
  <c r="AX43" i="2"/>
  <c r="F43" i="5" s="1"/>
  <c r="AQ43" i="2"/>
  <c r="S43" i="2"/>
  <c r="G43" i="2"/>
  <c r="E43" i="2"/>
  <c r="BC42" i="2"/>
  <c r="K42" i="5" s="1"/>
  <c r="BB42" i="2"/>
  <c r="J42" i="5" s="1"/>
  <c r="BA42" i="2"/>
  <c r="I42" i="5" s="1"/>
  <c r="AZ42" i="2"/>
  <c r="H42" i="5" s="1"/>
  <c r="AY42" i="2"/>
  <c r="G42" i="5" s="1"/>
  <c r="AX42" i="2"/>
  <c r="F42" i="5" s="1"/>
  <c r="AQ42" i="2"/>
  <c r="S42" i="2"/>
  <c r="G42" i="2"/>
  <c r="E42" i="2"/>
  <c r="BC41" i="2"/>
  <c r="K41" i="5" s="1"/>
  <c r="BB41" i="2"/>
  <c r="J41" i="5" s="1"/>
  <c r="BA41" i="2"/>
  <c r="I41" i="5" s="1"/>
  <c r="AZ41" i="2"/>
  <c r="H41" i="5" s="1"/>
  <c r="AY41" i="2"/>
  <c r="G41" i="5" s="1"/>
  <c r="AX41" i="2"/>
  <c r="F41" i="5" s="1"/>
  <c r="AQ41" i="2"/>
  <c r="S41" i="2"/>
  <c r="G41" i="2"/>
  <c r="E41" i="2"/>
  <c r="BC40" i="2"/>
  <c r="K40" i="5" s="1"/>
  <c r="BB40" i="2"/>
  <c r="J40" i="5" s="1"/>
  <c r="BA40" i="2"/>
  <c r="I40" i="5" s="1"/>
  <c r="AZ40" i="2"/>
  <c r="H40" i="5" s="1"/>
  <c r="AY40" i="2"/>
  <c r="G40" i="5" s="1"/>
  <c r="AX40" i="2"/>
  <c r="F40" i="5" s="1"/>
  <c r="AQ40" i="2"/>
  <c r="S40" i="2"/>
  <c r="G40" i="2"/>
  <c r="E40" i="2"/>
  <c r="BC39" i="2"/>
  <c r="K39" i="5" s="1"/>
  <c r="BB39" i="2"/>
  <c r="J39" i="5" s="1"/>
  <c r="BA39" i="2"/>
  <c r="I39" i="5" s="1"/>
  <c r="AZ39" i="2"/>
  <c r="H39" i="5" s="1"/>
  <c r="AY39" i="2"/>
  <c r="G39" i="5" s="1"/>
  <c r="AX39" i="2"/>
  <c r="F39" i="5" s="1"/>
  <c r="AQ39" i="2"/>
  <c r="S39" i="2"/>
  <c r="G39" i="2"/>
  <c r="E39" i="2"/>
  <c r="BC38" i="2"/>
  <c r="K38" i="5" s="1"/>
  <c r="BB38" i="2"/>
  <c r="J38" i="5" s="1"/>
  <c r="BA38" i="2"/>
  <c r="I38" i="5" s="1"/>
  <c r="AZ38" i="2"/>
  <c r="H38" i="5" s="1"/>
  <c r="AY38" i="2"/>
  <c r="G38" i="5" s="1"/>
  <c r="AX38" i="2"/>
  <c r="F38" i="5" s="1"/>
  <c r="AQ38" i="2"/>
  <c r="S38" i="2"/>
  <c r="G38" i="2"/>
  <c r="E38" i="2"/>
  <c r="BC37" i="2"/>
  <c r="K37" i="5" s="1"/>
  <c r="BB37" i="2"/>
  <c r="J37" i="5" s="1"/>
  <c r="BA37" i="2"/>
  <c r="I37" i="5" s="1"/>
  <c r="AZ37" i="2"/>
  <c r="H37" i="5" s="1"/>
  <c r="AY37" i="2"/>
  <c r="G37" i="5" s="1"/>
  <c r="AX37" i="2"/>
  <c r="F37" i="5" s="1"/>
  <c r="AQ37" i="2"/>
  <c r="S37" i="2"/>
  <c r="G37" i="2"/>
  <c r="E37" i="2"/>
  <c r="BC36" i="2"/>
  <c r="K36" i="5" s="1"/>
  <c r="BB36" i="2"/>
  <c r="J36" i="5" s="1"/>
  <c r="BA36" i="2"/>
  <c r="I36" i="5" s="1"/>
  <c r="AZ36" i="2"/>
  <c r="H36" i="5" s="1"/>
  <c r="AY36" i="2"/>
  <c r="G36" i="5" s="1"/>
  <c r="AX36" i="2"/>
  <c r="F36" i="5" s="1"/>
  <c r="AQ36" i="2"/>
  <c r="S36" i="2"/>
  <c r="G36" i="2"/>
  <c r="E36" i="2"/>
  <c r="BC35" i="2"/>
  <c r="K35" i="5" s="1"/>
  <c r="BB35" i="2"/>
  <c r="J35" i="5" s="1"/>
  <c r="BA35" i="2"/>
  <c r="I35" i="5" s="1"/>
  <c r="AZ35" i="2"/>
  <c r="H35" i="5" s="1"/>
  <c r="AY35" i="2"/>
  <c r="G35" i="5" s="1"/>
  <c r="AX35" i="2"/>
  <c r="F35" i="5" s="1"/>
  <c r="AQ35" i="2"/>
  <c r="S35" i="2"/>
  <c r="G35" i="2"/>
  <c r="E35" i="2"/>
  <c r="BC34" i="2"/>
  <c r="K34" i="5" s="1"/>
  <c r="BB34" i="2"/>
  <c r="J34" i="5" s="1"/>
  <c r="BA34" i="2"/>
  <c r="I34" i="5" s="1"/>
  <c r="AZ34" i="2"/>
  <c r="H34" i="5" s="1"/>
  <c r="AY34" i="2"/>
  <c r="G34" i="5" s="1"/>
  <c r="AX34" i="2"/>
  <c r="F34" i="5" s="1"/>
  <c r="AQ34" i="2"/>
  <c r="S34" i="2"/>
  <c r="G34" i="2"/>
  <c r="E34" i="2"/>
  <c r="BC33" i="2"/>
  <c r="K33" i="5" s="1"/>
  <c r="BB33" i="2"/>
  <c r="J33" i="5" s="1"/>
  <c r="BA33" i="2"/>
  <c r="I33" i="5" s="1"/>
  <c r="AZ33" i="2"/>
  <c r="H33" i="5" s="1"/>
  <c r="AY33" i="2"/>
  <c r="G33" i="5" s="1"/>
  <c r="AX33" i="2"/>
  <c r="F33" i="5" s="1"/>
  <c r="AQ33" i="2"/>
  <c r="S33" i="2"/>
  <c r="G33" i="2"/>
  <c r="E33" i="2"/>
  <c r="BC32" i="2"/>
  <c r="K32" i="5" s="1"/>
  <c r="BB32" i="2"/>
  <c r="J32" i="5" s="1"/>
  <c r="BA32" i="2"/>
  <c r="I32" i="5" s="1"/>
  <c r="AZ32" i="2"/>
  <c r="H32" i="5" s="1"/>
  <c r="AY32" i="2"/>
  <c r="G32" i="5" s="1"/>
  <c r="AX32" i="2"/>
  <c r="F32" i="5" s="1"/>
  <c r="AQ32" i="2"/>
  <c r="S32" i="2"/>
  <c r="G32" i="2"/>
  <c r="E32" i="2"/>
  <c r="BC31" i="2"/>
  <c r="K31" i="5" s="1"/>
  <c r="BB31" i="2"/>
  <c r="J31" i="5" s="1"/>
  <c r="BA31" i="2"/>
  <c r="I31" i="5" s="1"/>
  <c r="AZ31" i="2"/>
  <c r="H31" i="5" s="1"/>
  <c r="AY31" i="2"/>
  <c r="G31" i="5" s="1"/>
  <c r="AX31" i="2"/>
  <c r="F31" i="5" s="1"/>
  <c r="AQ31" i="2"/>
  <c r="S31" i="2"/>
  <c r="G31" i="2"/>
  <c r="E31" i="2"/>
  <c r="BC30" i="2"/>
  <c r="K30" i="5" s="1"/>
  <c r="BB30" i="2"/>
  <c r="J30" i="5" s="1"/>
  <c r="BA30" i="2"/>
  <c r="I30" i="5" s="1"/>
  <c r="AZ30" i="2"/>
  <c r="H30" i="5" s="1"/>
  <c r="AY30" i="2"/>
  <c r="G30" i="5" s="1"/>
  <c r="AX30" i="2"/>
  <c r="F30" i="5" s="1"/>
  <c r="AQ30" i="2"/>
  <c r="S30" i="2"/>
  <c r="G30" i="2"/>
  <c r="E30" i="2"/>
  <c r="BC29" i="2"/>
  <c r="K29" i="5" s="1"/>
  <c r="BB29" i="2"/>
  <c r="J29" i="5" s="1"/>
  <c r="BA29" i="2"/>
  <c r="I29" i="5" s="1"/>
  <c r="AZ29" i="2"/>
  <c r="H29" i="5" s="1"/>
  <c r="AY29" i="2"/>
  <c r="G29" i="5" s="1"/>
  <c r="AX29" i="2"/>
  <c r="F29" i="5" s="1"/>
  <c r="AQ29" i="2"/>
  <c r="S29" i="2"/>
  <c r="G29" i="2"/>
  <c r="E29" i="2"/>
  <c r="BC28" i="2"/>
  <c r="K28" i="5" s="1"/>
  <c r="BB28" i="2"/>
  <c r="J28" i="5" s="1"/>
  <c r="BA28" i="2"/>
  <c r="I28" i="5" s="1"/>
  <c r="AZ28" i="2"/>
  <c r="H28" i="5" s="1"/>
  <c r="AY28" i="2"/>
  <c r="G28" i="5" s="1"/>
  <c r="AX28" i="2"/>
  <c r="F28" i="5" s="1"/>
  <c r="AQ28" i="2"/>
  <c r="S28" i="2"/>
  <c r="G28" i="2"/>
  <c r="E28" i="2"/>
  <c r="BC27" i="2"/>
  <c r="K27" i="5" s="1"/>
  <c r="BB27" i="2"/>
  <c r="J27" i="5" s="1"/>
  <c r="BA27" i="2"/>
  <c r="I27" i="5" s="1"/>
  <c r="AZ27" i="2"/>
  <c r="H27" i="5" s="1"/>
  <c r="AY27" i="2"/>
  <c r="G27" i="5" s="1"/>
  <c r="AX27" i="2"/>
  <c r="F27" i="5" s="1"/>
  <c r="AQ27" i="2"/>
  <c r="S27" i="2"/>
  <c r="G27" i="2"/>
  <c r="E27" i="2"/>
  <c r="BC26" i="2"/>
  <c r="K26" i="5" s="1"/>
  <c r="BB26" i="2"/>
  <c r="J26" i="5" s="1"/>
  <c r="BA26" i="2"/>
  <c r="I26" i="5" s="1"/>
  <c r="AZ26" i="2"/>
  <c r="H26" i="5" s="1"/>
  <c r="AY26" i="2"/>
  <c r="G26" i="5" s="1"/>
  <c r="AX26" i="2"/>
  <c r="F26" i="5" s="1"/>
  <c r="AQ26" i="2"/>
  <c r="S26" i="2"/>
  <c r="G26" i="2"/>
  <c r="E26" i="2"/>
  <c r="BC25" i="2"/>
  <c r="K25" i="5" s="1"/>
  <c r="BB25" i="2"/>
  <c r="J25" i="5" s="1"/>
  <c r="BA25" i="2"/>
  <c r="I25" i="5" s="1"/>
  <c r="AZ25" i="2"/>
  <c r="H25" i="5" s="1"/>
  <c r="AY25" i="2"/>
  <c r="G25" i="5" s="1"/>
  <c r="AX25" i="2"/>
  <c r="F25" i="5" s="1"/>
  <c r="AQ25" i="2"/>
  <c r="S25" i="2"/>
  <c r="G25" i="2"/>
  <c r="E25" i="2"/>
  <c r="BC24" i="2"/>
  <c r="K24" i="5" s="1"/>
  <c r="BB24" i="2"/>
  <c r="J24" i="5" s="1"/>
  <c r="BA24" i="2"/>
  <c r="I24" i="5" s="1"/>
  <c r="AZ24" i="2"/>
  <c r="H24" i="5" s="1"/>
  <c r="AY24" i="2"/>
  <c r="G24" i="5" s="1"/>
  <c r="AX24" i="2"/>
  <c r="F24" i="5" s="1"/>
  <c r="AQ24" i="2"/>
  <c r="S24" i="2"/>
  <c r="G24" i="2"/>
  <c r="E24" i="2"/>
  <c r="BC23" i="2"/>
  <c r="K23" i="5" s="1"/>
  <c r="BB23" i="2"/>
  <c r="J23" i="5" s="1"/>
  <c r="BA23" i="2"/>
  <c r="I23" i="5" s="1"/>
  <c r="AZ23" i="2"/>
  <c r="H23" i="5" s="1"/>
  <c r="AY23" i="2"/>
  <c r="G23" i="5" s="1"/>
  <c r="AX23" i="2"/>
  <c r="F23" i="5" s="1"/>
  <c r="AQ23" i="2"/>
  <c r="S23" i="2"/>
  <c r="G23" i="2"/>
  <c r="E23" i="2"/>
  <c r="BC22" i="2"/>
  <c r="K22" i="5" s="1"/>
  <c r="BB22" i="2"/>
  <c r="J22" i="5" s="1"/>
  <c r="BA22" i="2"/>
  <c r="I22" i="5" s="1"/>
  <c r="AZ22" i="2"/>
  <c r="H22" i="5" s="1"/>
  <c r="AY22" i="2"/>
  <c r="G22" i="5" s="1"/>
  <c r="AX22" i="2"/>
  <c r="F22" i="5" s="1"/>
  <c r="AQ22" i="2"/>
  <c r="S22" i="2"/>
  <c r="G22" i="2"/>
  <c r="E22" i="2"/>
  <c r="BC21" i="2"/>
  <c r="K21" i="5" s="1"/>
  <c r="BB21" i="2"/>
  <c r="J21" i="5" s="1"/>
  <c r="BA21" i="2"/>
  <c r="I21" i="5" s="1"/>
  <c r="AZ21" i="2"/>
  <c r="H21" i="5" s="1"/>
  <c r="AY21" i="2"/>
  <c r="G21" i="5" s="1"/>
  <c r="AX21" i="2"/>
  <c r="F21" i="5" s="1"/>
  <c r="AQ21" i="2"/>
  <c r="S21" i="2"/>
  <c r="G21" i="2"/>
  <c r="E21" i="2"/>
  <c r="BC20" i="2"/>
  <c r="K20" i="5" s="1"/>
  <c r="BB20" i="2"/>
  <c r="J20" i="5" s="1"/>
  <c r="BA20" i="2"/>
  <c r="I20" i="5" s="1"/>
  <c r="AZ20" i="2"/>
  <c r="H20" i="5" s="1"/>
  <c r="AY20" i="2"/>
  <c r="G20" i="5" s="1"/>
  <c r="AX20" i="2"/>
  <c r="F20" i="5" s="1"/>
  <c r="AQ20" i="2"/>
  <c r="S20" i="2"/>
  <c r="G20" i="2"/>
  <c r="E20" i="2"/>
  <c r="BC19" i="2"/>
  <c r="K19" i="5" s="1"/>
  <c r="BB19" i="2"/>
  <c r="J19" i="5" s="1"/>
  <c r="BA19" i="2"/>
  <c r="I19" i="5" s="1"/>
  <c r="AZ19" i="2"/>
  <c r="H19" i="5" s="1"/>
  <c r="AY19" i="2"/>
  <c r="G19" i="5" s="1"/>
  <c r="AX19" i="2"/>
  <c r="F19" i="5" s="1"/>
  <c r="AQ19" i="2"/>
  <c r="S19" i="2"/>
  <c r="G19" i="2"/>
  <c r="E19" i="2"/>
  <c r="BC18" i="2"/>
  <c r="K18" i="5" s="1"/>
  <c r="BB18" i="2"/>
  <c r="J18" i="5" s="1"/>
  <c r="BA18" i="2"/>
  <c r="I18" i="5" s="1"/>
  <c r="AZ18" i="2"/>
  <c r="H18" i="5" s="1"/>
  <c r="AY18" i="2"/>
  <c r="G18" i="5" s="1"/>
  <c r="AX18" i="2"/>
  <c r="F18" i="5" s="1"/>
  <c r="AQ18" i="2"/>
  <c r="S18" i="2"/>
  <c r="G18" i="2"/>
  <c r="E18" i="2"/>
  <c r="BC17" i="2"/>
  <c r="K17" i="5" s="1"/>
  <c r="BB17" i="2"/>
  <c r="J17" i="5" s="1"/>
  <c r="BA17" i="2"/>
  <c r="I17" i="5" s="1"/>
  <c r="AZ17" i="2"/>
  <c r="H17" i="5" s="1"/>
  <c r="AY17" i="2"/>
  <c r="G17" i="5" s="1"/>
  <c r="AX17" i="2"/>
  <c r="F17" i="5" s="1"/>
  <c r="AQ17" i="2"/>
  <c r="S17" i="2"/>
  <c r="G17" i="2"/>
  <c r="E17" i="2"/>
  <c r="BC16" i="2"/>
  <c r="K16" i="5" s="1"/>
  <c r="BB16" i="2"/>
  <c r="J16" i="5" s="1"/>
  <c r="BA16" i="2"/>
  <c r="I16" i="5" s="1"/>
  <c r="AZ16" i="2"/>
  <c r="H16" i="5" s="1"/>
  <c r="AY16" i="2"/>
  <c r="G16" i="5" s="1"/>
  <c r="AX16" i="2"/>
  <c r="F16" i="5" s="1"/>
  <c r="AQ16" i="2"/>
  <c r="S16" i="2"/>
  <c r="G16" i="2"/>
  <c r="E16" i="2"/>
  <c r="BC15" i="2"/>
  <c r="K15" i="5" s="1"/>
  <c r="BB15" i="2"/>
  <c r="J15" i="5" s="1"/>
  <c r="BA15" i="2"/>
  <c r="I15" i="5" s="1"/>
  <c r="AZ15" i="2"/>
  <c r="H15" i="5" s="1"/>
  <c r="AY15" i="2"/>
  <c r="G15" i="5" s="1"/>
  <c r="AX15" i="2"/>
  <c r="F15" i="5" s="1"/>
  <c r="AQ15" i="2"/>
  <c r="S15" i="2"/>
  <c r="G15" i="2"/>
  <c r="E15" i="2"/>
  <c r="BC14" i="2"/>
  <c r="K14" i="5" s="1"/>
  <c r="BB14" i="2"/>
  <c r="J14" i="5" s="1"/>
  <c r="BA14" i="2"/>
  <c r="I14" i="5" s="1"/>
  <c r="AZ14" i="2"/>
  <c r="H14" i="5" s="1"/>
  <c r="AY14" i="2"/>
  <c r="G14" i="5" s="1"/>
  <c r="AX14" i="2"/>
  <c r="F14" i="5" s="1"/>
  <c r="AQ14" i="2"/>
  <c r="S14" i="2"/>
  <c r="G14" i="2"/>
  <c r="E14" i="2"/>
  <c r="BC13" i="2"/>
  <c r="K13" i="5" s="1"/>
  <c r="BB13" i="2"/>
  <c r="J13" i="5" s="1"/>
  <c r="BA13" i="2"/>
  <c r="I13" i="5" s="1"/>
  <c r="AZ13" i="2"/>
  <c r="H13" i="5" s="1"/>
  <c r="AY13" i="2"/>
  <c r="G13" i="5" s="1"/>
  <c r="AX13" i="2"/>
  <c r="F13" i="5" s="1"/>
  <c r="AQ13" i="2"/>
  <c r="S13" i="2"/>
  <c r="G13" i="2"/>
  <c r="E13" i="2"/>
  <c r="BC12" i="2"/>
  <c r="K12" i="5" s="1"/>
  <c r="BB12" i="2"/>
  <c r="J12" i="5" s="1"/>
  <c r="BA12" i="2"/>
  <c r="I12" i="5" s="1"/>
  <c r="AZ12" i="2"/>
  <c r="H12" i="5" s="1"/>
  <c r="AY12" i="2"/>
  <c r="G12" i="5" s="1"/>
  <c r="AX12" i="2"/>
  <c r="F12" i="5" s="1"/>
  <c r="AQ12" i="2"/>
  <c r="S12" i="2"/>
  <c r="G12" i="2"/>
  <c r="E12" i="2"/>
  <c r="BC11" i="2"/>
  <c r="K11" i="5" s="1"/>
  <c r="BB11" i="2"/>
  <c r="J11" i="5" s="1"/>
  <c r="BA11" i="2"/>
  <c r="I11" i="5" s="1"/>
  <c r="AZ11" i="2"/>
  <c r="H11" i="5" s="1"/>
  <c r="AY11" i="2"/>
  <c r="G11" i="5" s="1"/>
  <c r="AX11" i="2"/>
  <c r="F11" i="5" s="1"/>
  <c r="AQ11" i="2"/>
  <c r="S11" i="2"/>
  <c r="G11" i="2"/>
  <c r="E11" i="2"/>
  <c r="BC10" i="2"/>
  <c r="K10" i="5" s="1"/>
  <c r="BB10" i="2"/>
  <c r="J10" i="5" s="1"/>
  <c r="BA10" i="2"/>
  <c r="I10" i="5" s="1"/>
  <c r="AZ10" i="2"/>
  <c r="H10" i="5" s="1"/>
  <c r="AY10" i="2"/>
  <c r="G10" i="5" s="1"/>
  <c r="AX10" i="2"/>
  <c r="F10" i="5" s="1"/>
  <c r="AQ10" i="2"/>
  <c r="S10" i="2"/>
  <c r="G10" i="2"/>
  <c r="E10" i="2"/>
  <c r="BC9" i="2"/>
  <c r="K9" i="5" s="1"/>
  <c r="BB9" i="2"/>
  <c r="J9" i="5" s="1"/>
  <c r="BA9" i="2"/>
  <c r="I9" i="5" s="1"/>
  <c r="AZ9" i="2"/>
  <c r="H9" i="5" s="1"/>
  <c r="AY9" i="2"/>
  <c r="G9" i="5" s="1"/>
  <c r="AX9" i="2"/>
  <c r="F9" i="5" s="1"/>
  <c r="AQ9" i="2"/>
  <c r="S9" i="2"/>
  <c r="G9" i="2"/>
  <c r="E9" i="2"/>
  <c r="BC8" i="2"/>
  <c r="K8" i="5" s="1"/>
  <c r="BB8" i="2"/>
  <c r="J8" i="5" s="1"/>
  <c r="BA8" i="2"/>
  <c r="I8" i="5" s="1"/>
  <c r="AZ8" i="2"/>
  <c r="H8" i="5" s="1"/>
  <c r="AY8" i="2"/>
  <c r="G8" i="5" s="1"/>
  <c r="AX8" i="2"/>
  <c r="F8" i="5" s="1"/>
  <c r="AQ8" i="2"/>
  <c r="S8" i="2"/>
  <c r="G8" i="2"/>
  <c r="E8" i="2"/>
  <c r="BC7" i="2"/>
  <c r="K7" i="5" s="1"/>
  <c r="BB7" i="2"/>
  <c r="J7" i="5" s="1"/>
  <c r="BA7" i="2"/>
  <c r="I7" i="5" s="1"/>
  <c r="AZ7" i="2"/>
  <c r="H7" i="5" s="1"/>
  <c r="AY7" i="2"/>
  <c r="G7" i="5" s="1"/>
  <c r="AX7" i="2"/>
  <c r="F7" i="5" s="1"/>
  <c r="AQ7" i="2"/>
  <c r="S7" i="2"/>
  <c r="G7" i="2"/>
  <c r="E7" i="2"/>
  <c r="BC6" i="2"/>
  <c r="K6" i="5" s="1"/>
  <c r="BB6" i="2"/>
  <c r="J6" i="5" s="1"/>
  <c r="BA6" i="2"/>
  <c r="I6" i="5" s="1"/>
  <c r="AZ6" i="2"/>
  <c r="H6" i="5" s="1"/>
  <c r="AY6" i="2"/>
  <c r="G6" i="5" s="1"/>
  <c r="AX6" i="2"/>
  <c r="F6" i="5" s="1"/>
  <c r="AQ6" i="2"/>
  <c r="S6" i="2"/>
  <c r="G6" i="2"/>
  <c r="E6" i="2"/>
  <c r="BC5" i="2"/>
  <c r="K5" i="5" s="1"/>
  <c r="BB5" i="2"/>
  <c r="J5" i="5" s="1"/>
  <c r="BA5" i="2"/>
  <c r="I5" i="5" s="1"/>
  <c r="AZ5" i="2"/>
  <c r="H5" i="5" s="1"/>
  <c r="AY5" i="2"/>
  <c r="G5" i="5" s="1"/>
  <c r="AX5" i="2"/>
  <c r="F5" i="5" s="1"/>
  <c r="AQ5" i="2"/>
  <c r="S5" i="2"/>
  <c r="G5" i="2"/>
  <c r="E5" i="2"/>
  <c r="BC4" i="2"/>
  <c r="K4" i="5" s="1"/>
  <c r="BB4" i="2"/>
  <c r="J4" i="5" s="1"/>
  <c r="BA4" i="2"/>
  <c r="I4" i="5" s="1"/>
  <c r="AZ4" i="2"/>
  <c r="H4" i="5" s="1"/>
  <c r="AY4" i="2"/>
  <c r="G4" i="5" s="1"/>
  <c r="AX4" i="2"/>
  <c r="F4" i="5" s="1"/>
  <c r="AQ4" i="2"/>
  <c r="S4" i="2"/>
  <c r="G4" i="2"/>
  <c r="E4" i="2"/>
  <c r="BC3" i="2"/>
  <c r="K3" i="5" s="1"/>
  <c r="BB3" i="2"/>
  <c r="J3" i="5" s="1"/>
  <c r="BA3" i="2"/>
  <c r="I3" i="5" s="1"/>
  <c r="AZ3" i="2"/>
  <c r="H3" i="5" s="1"/>
  <c r="AY3" i="2"/>
  <c r="G3" i="5" s="1"/>
  <c r="AX3" i="2"/>
  <c r="F3" i="5" s="1"/>
  <c r="AQ3" i="2"/>
  <c r="S3" i="2"/>
  <c r="G3" i="2"/>
  <c r="E3" i="2"/>
  <c r="BC2" i="2"/>
  <c r="K2" i="5" s="1"/>
  <c r="BB2" i="2"/>
  <c r="J2" i="5" s="1"/>
  <c r="BA2" i="2"/>
  <c r="I2" i="5" s="1"/>
  <c r="AZ2" i="2"/>
  <c r="H2" i="5" s="1"/>
  <c r="AY2" i="2"/>
  <c r="G2" i="5" s="1"/>
  <c r="AX2" i="2"/>
  <c r="F2" i="5" s="1"/>
  <c r="AQ2" i="2"/>
  <c r="S2" i="2"/>
  <c r="G2" i="2"/>
  <c r="E2" i="2"/>
  <c r="O1001" i="4" l="1"/>
  <c r="R1001" i="4"/>
  <c r="Q1001" i="4"/>
  <c r="P1001" i="4"/>
  <c r="N1001" i="4"/>
  <c r="N1000" i="4"/>
  <c r="O1000" i="4"/>
  <c r="P1000" i="4"/>
  <c r="Q1000" i="4"/>
  <c r="R1000" i="4"/>
  <c r="O999" i="4"/>
  <c r="R999" i="4"/>
  <c r="Q999" i="4"/>
  <c r="P999" i="4"/>
  <c r="N999" i="4"/>
  <c r="R998" i="4"/>
  <c r="P998" i="4"/>
  <c r="N998" i="4"/>
  <c r="O998" i="4"/>
  <c r="Q998" i="4"/>
  <c r="O997" i="4"/>
  <c r="N997" i="4"/>
  <c r="P997" i="4"/>
  <c r="Q997" i="4"/>
  <c r="R997" i="4"/>
  <c r="Q996" i="4"/>
  <c r="P996" i="4"/>
  <c r="R996" i="4"/>
  <c r="N996" i="4"/>
  <c r="O996" i="4"/>
  <c r="R995" i="4"/>
  <c r="Q995" i="4"/>
  <c r="P995" i="4"/>
  <c r="O995" i="4"/>
  <c r="N995" i="4"/>
  <c r="R994" i="4"/>
  <c r="Q994" i="4"/>
  <c r="P994" i="4"/>
  <c r="O994" i="4"/>
  <c r="N994" i="4"/>
  <c r="N993" i="4"/>
  <c r="O993" i="4"/>
  <c r="P993" i="4"/>
  <c r="R993" i="4"/>
  <c r="Q993" i="4"/>
  <c r="R992" i="4"/>
  <c r="Q992" i="4"/>
  <c r="O992" i="4"/>
  <c r="N992" i="4"/>
  <c r="P992" i="4"/>
  <c r="O991" i="4"/>
  <c r="P991" i="4"/>
  <c r="R991" i="4"/>
  <c r="Q991" i="4"/>
  <c r="N991" i="4"/>
  <c r="P990" i="4"/>
  <c r="N990" i="4"/>
  <c r="O990" i="4"/>
  <c r="Q990" i="4"/>
  <c r="R990" i="4"/>
  <c r="O989" i="4"/>
  <c r="Q989" i="4"/>
  <c r="R989" i="4"/>
  <c r="P989" i="4"/>
  <c r="N989" i="4"/>
  <c r="R988" i="4"/>
  <c r="N988" i="4"/>
  <c r="Q988" i="4"/>
  <c r="P988" i="4"/>
  <c r="O988" i="4"/>
  <c r="P987" i="4"/>
  <c r="N987" i="4"/>
  <c r="Q987" i="4"/>
  <c r="R987" i="4"/>
  <c r="O987" i="4"/>
  <c r="P986" i="4"/>
  <c r="N986" i="4"/>
  <c r="O986" i="4"/>
  <c r="Q986" i="4"/>
  <c r="R986" i="4"/>
  <c r="R985" i="4"/>
  <c r="O985" i="4"/>
  <c r="N985" i="4"/>
  <c r="P985" i="4"/>
  <c r="Q985" i="4"/>
  <c r="P984" i="4"/>
  <c r="O984" i="4"/>
  <c r="Q984" i="4"/>
  <c r="R984" i="4"/>
  <c r="N984" i="4"/>
  <c r="R983" i="4"/>
  <c r="P983" i="4"/>
  <c r="O983" i="4"/>
  <c r="Q983" i="4"/>
  <c r="N983" i="4"/>
  <c r="R982" i="4"/>
  <c r="P982" i="4"/>
  <c r="N982" i="4"/>
  <c r="O982" i="4"/>
  <c r="Q982" i="4"/>
  <c r="Q981" i="4"/>
  <c r="R981" i="4"/>
  <c r="P981" i="4"/>
  <c r="N981" i="4"/>
  <c r="O981" i="4"/>
  <c r="N980" i="4"/>
  <c r="Q980" i="4"/>
  <c r="R980" i="4"/>
  <c r="P980" i="4"/>
  <c r="O980" i="4"/>
  <c r="N979" i="4"/>
  <c r="P979" i="4"/>
  <c r="O979" i="4"/>
  <c r="Q979" i="4"/>
  <c r="R979" i="4"/>
  <c r="P978" i="4"/>
  <c r="R978" i="4"/>
  <c r="Q978" i="4"/>
  <c r="O978" i="4"/>
  <c r="N978" i="4"/>
  <c r="Q977" i="4"/>
  <c r="N977" i="4"/>
  <c r="R977" i="4"/>
  <c r="O977" i="4"/>
  <c r="P977" i="4"/>
  <c r="Q976" i="4"/>
  <c r="R976" i="4"/>
  <c r="P976" i="4"/>
  <c r="N976" i="4"/>
  <c r="O976" i="4"/>
  <c r="Q975" i="4"/>
  <c r="O975" i="4"/>
  <c r="R975" i="4"/>
  <c r="P975" i="4"/>
  <c r="N975" i="4"/>
  <c r="N974" i="4"/>
  <c r="R974" i="4"/>
  <c r="P974" i="4"/>
  <c r="Q974" i="4"/>
  <c r="O974" i="4"/>
  <c r="Q973" i="4"/>
  <c r="O973" i="4"/>
  <c r="R973" i="4"/>
  <c r="P973" i="4"/>
  <c r="N973" i="4"/>
  <c r="O972" i="4"/>
  <c r="P972" i="4"/>
  <c r="N972" i="4"/>
  <c r="R972" i="4"/>
  <c r="Q972" i="4"/>
  <c r="N971" i="4"/>
  <c r="O971" i="4"/>
  <c r="R971" i="4"/>
  <c r="Q971" i="4"/>
  <c r="P971" i="4"/>
  <c r="P970" i="4"/>
  <c r="R970" i="4"/>
  <c r="Q970" i="4"/>
  <c r="N970" i="4"/>
  <c r="O970" i="4"/>
  <c r="O969" i="4"/>
  <c r="R969" i="4"/>
  <c r="Q969" i="4"/>
  <c r="P969" i="4"/>
  <c r="N969" i="4"/>
  <c r="P968" i="4"/>
  <c r="N968" i="4"/>
  <c r="R968" i="4"/>
  <c r="Q968" i="4"/>
  <c r="O968" i="4"/>
  <c r="R967" i="4"/>
  <c r="P967" i="4"/>
  <c r="N967" i="4"/>
  <c r="Q967" i="4"/>
  <c r="O967" i="4"/>
  <c r="R966" i="4"/>
  <c r="N966" i="4"/>
  <c r="P966" i="4"/>
  <c r="Q966" i="4"/>
  <c r="O966" i="4"/>
  <c r="N965" i="4"/>
  <c r="O965" i="4"/>
  <c r="R965" i="4"/>
  <c r="Q965" i="4"/>
  <c r="P965" i="4"/>
  <c r="O964" i="4"/>
  <c r="P964" i="4"/>
  <c r="Q964" i="4"/>
  <c r="N964" i="4"/>
  <c r="R964" i="4"/>
  <c r="R963" i="4"/>
  <c r="N963" i="4"/>
  <c r="P963" i="4"/>
  <c r="O963" i="4"/>
  <c r="Q963" i="4"/>
  <c r="O962" i="4"/>
  <c r="N962" i="4"/>
  <c r="R962" i="4"/>
  <c r="Q962" i="4"/>
  <c r="P962" i="4"/>
  <c r="P961" i="4"/>
  <c r="O961" i="4"/>
  <c r="Q961" i="4"/>
  <c r="N961" i="4"/>
  <c r="R961" i="4"/>
  <c r="R960" i="4"/>
  <c r="Q960" i="4"/>
  <c r="P960" i="4"/>
  <c r="O960" i="4"/>
  <c r="N960" i="4"/>
  <c r="N959" i="4"/>
  <c r="Q959" i="4"/>
  <c r="R959" i="4"/>
  <c r="P959" i="4"/>
  <c r="O959" i="4"/>
  <c r="N958" i="4"/>
  <c r="P958" i="4"/>
  <c r="Q958" i="4"/>
  <c r="O958" i="4"/>
  <c r="R958" i="4"/>
  <c r="N957" i="4"/>
  <c r="O957" i="4"/>
  <c r="R957" i="4"/>
  <c r="P957" i="4"/>
  <c r="Q957" i="4"/>
  <c r="R956" i="4"/>
  <c r="P956" i="4"/>
  <c r="N956" i="4"/>
  <c r="O956" i="4"/>
  <c r="Q956" i="4"/>
  <c r="R955" i="4"/>
  <c r="O955" i="4"/>
  <c r="Q955" i="4"/>
  <c r="P955" i="4"/>
  <c r="N955" i="4"/>
  <c r="O954" i="4"/>
  <c r="Q954" i="4"/>
  <c r="N954" i="4"/>
  <c r="R954" i="4"/>
  <c r="P954" i="4"/>
  <c r="R953" i="4"/>
  <c r="N953" i="4"/>
  <c r="O953" i="4"/>
  <c r="Q953" i="4"/>
  <c r="P953" i="4"/>
  <c r="N952" i="4"/>
  <c r="Q952" i="4"/>
  <c r="O952" i="4"/>
  <c r="P952" i="4"/>
  <c r="R952" i="4"/>
  <c r="Q951" i="4"/>
  <c r="N951" i="4"/>
  <c r="O951" i="4"/>
  <c r="P951" i="4"/>
  <c r="R951" i="4"/>
  <c r="Q950" i="4"/>
  <c r="P950" i="4"/>
  <c r="R950" i="4"/>
  <c r="N950" i="4"/>
  <c r="O950" i="4"/>
  <c r="P949" i="4"/>
  <c r="N949" i="4"/>
  <c r="R949" i="4"/>
  <c r="O949" i="4"/>
  <c r="Q949" i="4"/>
  <c r="O948" i="4"/>
  <c r="N948" i="4"/>
  <c r="Q948" i="4"/>
  <c r="R948" i="4"/>
  <c r="P948" i="4"/>
  <c r="P947" i="4"/>
  <c r="N947" i="4"/>
  <c r="Q947" i="4"/>
  <c r="R947" i="4"/>
  <c r="O947" i="4"/>
  <c r="P946" i="4"/>
  <c r="Q946" i="4"/>
  <c r="O946" i="4"/>
  <c r="N946" i="4"/>
  <c r="R946" i="4"/>
  <c r="Q945" i="4"/>
  <c r="O945" i="4"/>
  <c r="R945" i="4"/>
  <c r="N945" i="4"/>
  <c r="P945" i="4"/>
  <c r="P944" i="4"/>
  <c r="N944" i="4"/>
  <c r="O944" i="4"/>
  <c r="R944" i="4"/>
  <c r="Q944" i="4"/>
  <c r="O943" i="4"/>
  <c r="P943" i="4"/>
  <c r="R943" i="4"/>
  <c r="Q943" i="4"/>
  <c r="N943" i="4"/>
  <c r="Q942" i="4"/>
  <c r="O942" i="4"/>
  <c r="R942" i="4"/>
  <c r="N942" i="4"/>
  <c r="P942" i="4"/>
  <c r="N941" i="4"/>
  <c r="O941" i="4"/>
  <c r="Q941" i="4"/>
  <c r="R941" i="4"/>
  <c r="P941" i="4"/>
  <c r="O940" i="4"/>
  <c r="Q940" i="4"/>
  <c r="R940" i="4"/>
  <c r="N940" i="4"/>
  <c r="P940" i="4"/>
  <c r="P939" i="4"/>
  <c r="N939" i="4"/>
  <c r="R939" i="4"/>
  <c r="Q939" i="4"/>
  <c r="O939" i="4"/>
  <c r="R938" i="4"/>
  <c r="P938" i="4"/>
  <c r="N938" i="4"/>
  <c r="O938" i="4"/>
  <c r="Q938" i="4"/>
  <c r="O937" i="4"/>
  <c r="R937" i="4"/>
  <c r="Q937" i="4"/>
  <c r="N937" i="4"/>
  <c r="P937" i="4"/>
  <c r="N936" i="4"/>
  <c r="O936" i="4"/>
  <c r="R936" i="4"/>
  <c r="P936" i="4"/>
  <c r="Q936" i="4"/>
  <c r="R935" i="4"/>
  <c r="O935" i="4"/>
  <c r="P935" i="4"/>
  <c r="Q935" i="4"/>
  <c r="N935" i="4"/>
  <c r="O934" i="4"/>
  <c r="Q934" i="4"/>
  <c r="R934" i="4"/>
  <c r="P934" i="4"/>
  <c r="N934" i="4"/>
  <c r="R933" i="4"/>
  <c r="Q933" i="4"/>
  <c r="O933" i="4"/>
  <c r="N933" i="4"/>
  <c r="P933" i="4"/>
  <c r="N932" i="4"/>
  <c r="P932" i="4"/>
  <c r="Q932" i="4"/>
  <c r="O932" i="4"/>
  <c r="R932" i="4"/>
  <c r="O931" i="4"/>
  <c r="N931" i="4"/>
  <c r="P931" i="4"/>
  <c r="R931" i="4"/>
  <c r="Q931" i="4"/>
  <c r="O930" i="4"/>
  <c r="R930" i="4"/>
  <c r="Q930" i="4"/>
  <c r="P930" i="4"/>
  <c r="N930" i="4"/>
  <c r="N929" i="4"/>
  <c r="P929" i="4"/>
  <c r="O929" i="4"/>
  <c r="Q929" i="4"/>
  <c r="R929" i="4"/>
  <c r="O928" i="4"/>
  <c r="Q928" i="4"/>
  <c r="R928" i="4"/>
  <c r="N928" i="4"/>
  <c r="P928" i="4"/>
  <c r="P927" i="4"/>
  <c r="N927" i="4"/>
  <c r="O927" i="4"/>
  <c r="Q927" i="4"/>
  <c r="R927" i="4"/>
  <c r="N926" i="4"/>
  <c r="O926" i="4"/>
  <c r="Q926" i="4"/>
  <c r="P926" i="4"/>
  <c r="R926" i="4"/>
  <c r="O925" i="4"/>
  <c r="R925" i="4"/>
  <c r="P925" i="4"/>
  <c r="N925" i="4"/>
  <c r="Q925" i="4"/>
  <c r="P924" i="4"/>
  <c r="N924" i="4"/>
  <c r="Q924" i="4"/>
  <c r="O924" i="4"/>
  <c r="R924" i="4"/>
  <c r="N923" i="4"/>
  <c r="P923" i="4"/>
  <c r="R923" i="4"/>
  <c r="O923" i="4"/>
  <c r="Q923" i="4"/>
  <c r="O922" i="4"/>
  <c r="P922" i="4"/>
  <c r="R922" i="4"/>
  <c r="Q922" i="4"/>
  <c r="N922" i="4"/>
  <c r="R921" i="4"/>
  <c r="P921" i="4"/>
  <c r="Q921" i="4"/>
  <c r="O921" i="4"/>
  <c r="N921" i="4"/>
  <c r="O920" i="4"/>
  <c r="P920" i="4"/>
  <c r="Q920" i="4"/>
  <c r="N920" i="4"/>
  <c r="R920" i="4"/>
  <c r="O919" i="4"/>
  <c r="Q919" i="4"/>
  <c r="R919" i="4"/>
  <c r="P919" i="4"/>
  <c r="N919" i="4"/>
  <c r="Q918" i="4"/>
  <c r="O918" i="4"/>
  <c r="N918" i="4"/>
  <c r="P918" i="4"/>
  <c r="R918" i="4"/>
  <c r="R917" i="4"/>
  <c r="P917" i="4"/>
  <c r="Q917" i="4"/>
  <c r="N917" i="4"/>
  <c r="O917" i="4"/>
  <c r="R916" i="4"/>
  <c r="N916" i="4"/>
  <c r="O916" i="4"/>
  <c r="P916" i="4"/>
  <c r="Q916" i="4"/>
  <c r="O915" i="4"/>
  <c r="P915" i="4"/>
  <c r="R915" i="4"/>
  <c r="N915" i="4"/>
  <c r="Q915" i="4"/>
  <c r="R914" i="4"/>
  <c r="O914" i="4"/>
  <c r="Q914" i="4"/>
  <c r="N914" i="4"/>
  <c r="P914" i="4"/>
  <c r="R913" i="4"/>
  <c r="Q913" i="4"/>
  <c r="O913" i="4"/>
  <c r="P913" i="4"/>
  <c r="N913" i="4"/>
  <c r="N912" i="4"/>
  <c r="R912" i="4"/>
  <c r="P912" i="4"/>
  <c r="Q912" i="4"/>
  <c r="O912" i="4"/>
  <c r="O911" i="4"/>
  <c r="Q911" i="4"/>
  <c r="R911" i="4"/>
  <c r="N911" i="4"/>
  <c r="P911" i="4"/>
  <c r="R910" i="4"/>
  <c r="P910" i="4"/>
  <c r="O910" i="4"/>
  <c r="Q910" i="4"/>
  <c r="N910" i="4"/>
  <c r="P909" i="4"/>
  <c r="N909" i="4"/>
  <c r="R909" i="4"/>
  <c r="Q909" i="4"/>
  <c r="O909" i="4"/>
  <c r="N908" i="4"/>
  <c r="O908" i="4"/>
  <c r="Q908" i="4"/>
  <c r="P908" i="4"/>
  <c r="R908" i="4"/>
  <c r="N907" i="4"/>
  <c r="P907" i="4"/>
  <c r="Q907" i="4"/>
  <c r="O907" i="4"/>
  <c r="R907" i="4"/>
  <c r="Q906" i="4"/>
  <c r="N906" i="4"/>
  <c r="R906" i="4"/>
  <c r="P906" i="4"/>
  <c r="O906" i="4"/>
  <c r="O905" i="4"/>
  <c r="Q905" i="4"/>
  <c r="R905" i="4"/>
  <c r="N905" i="4"/>
  <c r="P905" i="4"/>
  <c r="O904" i="4"/>
  <c r="R904" i="4"/>
  <c r="N904" i="4"/>
  <c r="P904" i="4"/>
  <c r="Q904" i="4"/>
  <c r="P903" i="4"/>
  <c r="N903" i="4"/>
  <c r="Q903" i="4"/>
  <c r="R903" i="4"/>
  <c r="O903" i="4"/>
  <c r="N902" i="4"/>
  <c r="P902" i="4"/>
  <c r="R902" i="4"/>
  <c r="Q902" i="4"/>
  <c r="O902" i="4"/>
  <c r="R901" i="4"/>
  <c r="Q901" i="4"/>
  <c r="P901" i="4"/>
  <c r="O901" i="4"/>
  <c r="N901" i="4"/>
  <c r="N900" i="4"/>
  <c r="O900" i="4"/>
  <c r="Q900" i="4"/>
  <c r="P900" i="4"/>
  <c r="R900" i="4"/>
  <c r="O899" i="4"/>
  <c r="Q899" i="4"/>
  <c r="R899" i="4"/>
  <c r="P899" i="4"/>
  <c r="N899" i="4"/>
  <c r="Q898" i="4"/>
  <c r="O898" i="4"/>
  <c r="N898" i="4"/>
  <c r="P898" i="4"/>
  <c r="R898" i="4"/>
  <c r="O897" i="4"/>
  <c r="P897" i="4"/>
  <c r="N897" i="4"/>
  <c r="R897" i="4"/>
  <c r="Q897" i="4"/>
  <c r="N896" i="4"/>
  <c r="Q896" i="4"/>
  <c r="P896" i="4"/>
  <c r="O896" i="4"/>
  <c r="R896" i="4"/>
  <c r="O895" i="4"/>
  <c r="N895" i="4"/>
  <c r="Q895" i="4"/>
  <c r="R895" i="4"/>
  <c r="P895" i="4"/>
  <c r="N894" i="4"/>
  <c r="P894" i="4"/>
  <c r="R894" i="4"/>
  <c r="Q894" i="4"/>
  <c r="O894" i="4"/>
  <c r="N893" i="4"/>
  <c r="R893" i="4"/>
  <c r="P893" i="4"/>
  <c r="O893" i="4"/>
  <c r="Q893" i="4"/>
  <c r="N892" i="4"/>
  <c r="P892" i="4"/>
  <c r="R892" i="4"/>
  <c r="Q892" i="4"/>
  <c r="O892" i="4"/>
  <c r="P891" i="4"/>
  <c r="O891" i="4"/>
  <c r="R891" i="4"/>
  <c r="Q891" i="4"/>
  <c r="N891" i="4"/>
  <c r="N890" i="4"/>
  <c r="P890" i="4"/>
  <c r="R890" i="4"/>
  <c r="Q890" i="4"/>
  <c r="O890" i="4"/>
  <c r="N889" i="4"/>
  <c r="Q889" i="4"/>
  <c r="O889" i="4"/>
  <c r="R889" i="4"/>
  <c r="P889" i="4"/>
  <c r="P888" i="4"/>
  <c r="O888" i="4"/>
  <c r="R888" i="4"/>
  <c r="Q888" i="4"/>
  <c r="N888" i="4"/>
  <c r="P887" i="4"/>
  <c r="Q887" i="4"/>
  <c r="O887" i="4"/>
  <c r="R887" i="4"/>
  <c r="N887" i="4"/>
  <c r="R886" i="4"/>
  <c r="P886" i="4"/>
  <c r="N886" i="4"/>
  <c r="O886" i="4"/>
  <c r="Q886" i="4"/>
  <c r="N885" i="4"/>
  <c r="P885" i="4"/>
  <c r="R885" i="4"/>
  <c r="Q885" i="4"/>
  <c r="O885" i="4"/>
  <c r="O884" i="4"/>
  <c r="Q884" i="4"/>
  <c r="R884" i="4"/>
  <c r="P884" i="4"/>
  <c r="N884" i="4"/>
  <c r="P883" i="4"/>
  <c r="N883" i="4"/>
  <c r="Q883" i="4"/>
  <c r="R883" i="4"/>
  <c r="O883" i="4"/>
  <c r="R882" i="4"/>
  <c r="Q882" i="4"/>
  <c r="O882" i="4"/>
  <c r="P882" i="4"/>
  <c r="N882" i="4"/>
  <c r="P881" i="4"/>
  <c r="Q881" i="4"/>
  <c r="R881" i="4"/>
  <c r="O881" i="4"/>
  <c r="N881" i="4"/>
  <c r="P880" i="4"/>
  <c r="R880" i="4"/>
  <c r="N880" i="4"/>
  <c r="Q880" i="4"/>
  <c r="O880" i="4"/>
  <c r="R879" i="4"/>
  <c r="Q879" i="4"/>
  <c r="O879" i="4"/>
  <c r="P879" i="4"/>
  <c r="N879" i="4"/>
  <c r="Q878" i="4"/>
  <c r="O878" i="4"/>
  <c r="R878" i="4"/>
  <c r="N878" i="4"/>
  <c r="P878" i="4"/>
  <c r="O877" i="4"/>
  <c r="R877" i="4"/>
  <c r="Q877" i="4"/>
  <c r="P877" i="4"/>
  <c r="N877" i="4"/>
  <c r="P876" i="4"/>
  <c r="R876" i="4"/>
  <c r="O876" i="4"/>
  <c r="N876" i="4"/>
  <c r="Q876" i="4"/>
  <c r="N875" i="4"/>
  <c r="Q875" i="4"/>
  <c r="P875" i="4"/>
  <c r="R875" i="4"/>
  <c r="O875" i="4"/>
  <c r="Q874" i="4"/>
  <c r="N874" i="4"/>
  <c r="R874" i="4"/>
  <c r="O874" i="4"/>
  <c r="P874" i="4"/>
  <c r="N873" i="4"/>
  <c r="P873" i="4"/>
  <c r="R873" i="4"/>
  <c r="O873" i="4"/>
  <c r="Q873" i="4"/>
  <c r="P872" i="4"/>
  <c r="R872" i="4"/>
  <c r="O872" i="4"/>
  <c r="N872" i="4"/>
  <c r="Q872" i="4"/>
  <c r="R871" i="4"/>
  <c r="P871" i="4"/>
  <c r="O871" i="4"/>
  <c r="Q871" i="4"/>
  <c r="N871" i="4"/>
  <c r="N870" i="4"/>
  <c r="P870" i="4"/>
  <c r="Q870" i="4"/>
  <c r="R870" i="4"/>
  <c r="O870" i="4"/>
  <c r="R869" i="4"/>
  <c r="N869" i="4"/>
  <c r="Q869" i="4"/>
  <c r="P869" i="4"/>
  <c r="O869" i="4"/>
  <c r="R868" i="4"/>
  <c r="Q868" i="4"/>
  <c r="N868" i="4"/>
  <c r="P868" i="4"/>
  <c r="O868" i="4"/>
  <c r="N867" i="4"/>
  <c r="R867" i="4"/>
  <c r="Q867" i="4"/>
  <c r="O867" i="4"/>
  <c r="P867" i="4"/>
  <c r="Q866" i="4"/>
  <c r="O866" i="4"/>
  <c r="N866" i="4"/>
  <c r="P866" i="4"/>
  <c r="R866" i="4"/>
  <c r="N865" i="4"/>
  <c r="O865" i="4"/>
  <c r="Q865" i="4"/>
  <c r="P865" i="4"/>
  <c r="R865" i="4"/>
  <c r="P864" i="4"/>
  <c r="N864" i="4"/>
  <c r="O864" i="4"/>
  <c r="Q864" i="4"/>
  <c r="R864" i="4"/>
  <c r="P863" i="4"/>
  <c r="Q863" i="4"/>
  <c r="O863" i="4"/>
  <c r="R863" i="4"/>
  <c r="N863" i="4"/>
  <c r="P862" i="4"/>
  <c r="N862" i="4"/>
  <c r="O862" i="4"/>
  <c r="Q862" i="4"/>
  <c r="R862" i="4"/>
  <c r="R861" i="4"/>
  <c r="P861" i="4"/>
  <c r="O861" i="4"/>
  <c r="N861" i="4"/>
  <c r="Q861" i="4"/>
  <c r="P860" i="4"/>
  <c r="N860" i="4"/>
  <c r="Q860" i="4"/>
  <c r="R860" i="4"/>
  <c r="O860" i="4"/>
  <c r="R859" i="4"/>
  <c r="P859" i="4"/>
  <c r="O859" i="4"/>
  <c r="N859" i="4"/>
  <c r="Q859" i="4"/>
  <c r="O858" i="4"/>
  <c r="Q858" i="4"/>
  <c r="N858" i="4"/>
  <c r="P858" i="4"/>
  <c r="R858" i="4"/>
  <c r="Q857" i="4"/>
  <c r="N857" i="4"/>
  <c r="O857" i="4"/>
  <c r="P857" i="4"/>
  <c r="R857" i="4"/>
  <c r="N856" i="4"/>
  <c r="Q856" i="4"/>
  <c r="O856" i="4"/>
  <c r="R856" i="4"/>
  <c r="P856" i="4"/>
  <c r="Q855" i="4"/>
  <c r="O855" i="4"/>
  <c r="R855" i="4"/>
  <c r="P855" i="4"/>
  <c r="N855" i="4"/>
  <c r="N854" i="4"/>
  <c r="Q854" i="4"/>
  <c r="P854" i="4"/>
  <c r="R854" i="4"/>
  <c r="O854" i="4"/>
  <c r="R853" i="4"/>
  <c r="N853" i="4"/>
  <c r="P853" i="4"/>
  <c r="Q853" i="4"/>
  <c r="O853" i="4"/>
  <c r="N852" i="4"/>
  <c r="R852" i="4"/>
  <c r="Q852" i="4"/>
  <c r="O852" i="4"/>
  <c r="P852" i="4"/>
  <c r="P851" i="4"/>
  <c r="N851" i="4"/>
  <c r="R851" i="4"/>
  <c r="Q851" i="4"/>
  <c r="O851" i="4"/>
  <c r="O850" i="4"/>
  <c r="N850" i="4"/>
  <c r="P850" i="4"/>
  <c r="R850" i="4"/>
  <c r="Q850" i="4"/>
  <c r="P849" i="4"/>
  <c r="R849" i="4"/>
  <c r="N849" i="4"/>
  <c r="Q849" i="4"/>
  <c r="O849" i="4"/>
  <c r="R848" i="4"/>
  <c r="P848" i="4"/>
  <c r="N848" i="4"/>
  <c r="O848" i="4"/>
  <c r="Q848" i="4"/>
  <c r="P847" i="4"/>
  <c r="N847" i="4"/>
  <c r="Q847" i="4"/>
  <c r="R847" i="4"/>
  <c r="O847" i="4"/>
  <c r="N846" i="4"/>
  <c r="P846" i="4"/>
  <c r="R846" i="4"/>
  <c r="Q846" i="4"/>
  <c r="O846" i="4"/>
  <c r="P845" i="4"/>
  <c r="N845" i="4"/>
  <c r="Q845" i="4"/>
  <c r="R845" i="4"/>
  <c r="O845" i="4"/>
  <c r="O844" i="4"/>
  <c r="P844" i="4"/>
  <c r="R844" i="4"/>
  <c r="N844" i="4"/>
  <c r="Q844" i="4"/>
  <c r="O843" i="4"/>
  <c r="N843" i="4"/>
  <c r="Q843" i="4"/>
  <c r="R843" i="4"/>
  <c r="P843" i="4"/>
  <c r="N842" i="4"/>
  <c r="P842" i="4"/>
  <c r="R842" i="4"/>
  <c r="Q842" i="4"/>
  <c r="O842" i="4"/>
  <c r="Q841" i="4"/>
  <c r="O841" i="4"/>
  <c r="P841" i="4"/>
  <c r="N841" i="4"/>
  <c r="R841" i="4"/>
  <c r="P840" i="4"/>
  <c r="Q840" i="4"/>
  <c r="N840" i="4"/>
  <c r="R840" i="4"/>
  <c r="O840" i="4"/>
  <c r="R839" i="4"/>
  <c r="O839" i="4"/>
  <c r="Q839" i="4"/>
  <c r="P839" i="4"/>
  <c r="N839" i="4"/>
  <c r="O838" i="4"/>
  <c r="Q838" i="4"/>
  <c r="N838" i="4"/>
  <c r="P838" i="4"/>
  <c r="R838" i="4"/>
  <c r="N837" i="4"/>
  <c r="O837" i="4"/>
  <c r="Q837" i="4"/>
  <c r="R837" i="4"/>
  <c r="P837" i="4"/>
  <c r="R836" i="4"/>
  <c r="Q836" i="4"/>
  <c r="O836" i="4"/>
  <c r="N836" i="4"/>
  <c r="P836" i="4"/>
  <c r="O835" i="4"/>
  <c r="N835" i="4"/>
  <c r="R835" i="4"/>
  <c r="P835" i="4"/>
  <c r="Q835" i="4"/>
  <c r="Q834" i="4"/>
  <c r="R834" i="4"/>
  <c r="P834" i="4"/>
  <c r="N834" i="4"/>
  <c r="O834" i="4"/>
  <c r="O833" i="4"/>
  <c r="R833" i="4"/>
  <c r="Q833" i="4"/>
  <c r="P833" i="4"/>
  <c r="N833" i="4"/>
  <c r="Q832" i="4"/>
  <c r="O832" i="4"/>
  <c r="R832" i="4"/>
  <c r="P832" i="4"/>
  <c r="N832" i="4"/>
  <c r="Q831" i="4"/>
  <c r="O831" i="4"/>
  <c r="N831" i="4"/>
  <c r="R831" i="4"/>
  <c r="P831" i="4"/>
  <c r="R830" i="4"/>
  <c r="O830" i="4"/>
  <c r="Q830" i="4"/>
  <c r="P830" i="4"/>
  <c r="N830" i="4"/>
  <c r="R829" i="4"/>
  <c r="P829" i="4"/>
  <c r="N829" i="4"/>
  <c r="Q829" i="4"/>
  <c r="O829" i="4"/>
  <c r="P828" i="4"/>
  <c r="N828" i="4"/>
  <c r="R828" i="4"/>
  <c r="Q828" i="4"/>
  <c r="O828" i="4"/>
  <c r="Q827" i="4"/>
  <c r="O827" i="4"/>
  <c r="R827" i="4"/>
  <c r="P827" i="4"/>
  <c r="N827" i="4"/>
  <c r="O826" i="4"/>
  <c r="N826" i="4"/>
  <c r="P826" i="4"/>
  <c r="R826" i="4"/>
  <c r="Q826" i="4"/>
  <c r="R825" i="4"/>
  <c r="Q825" i="4"/>
  <c r="N825" i="4"/>
  <c r="O825" i="4"/>
  <c r="P825" i="4"/>
  <c r="O824" i="4"/>
  <c r="P824" i="4"/>
  <c r="Q824" i="4"/>
  <c r="N824" i="4"/>
  <c r="R824" i="4"/>
  <c r="O823" i="4"/>
  <c r="Q823" i="4"/>
  <c r="N823" i="4"/>
  <c r="R823" i="4"/>
  <c r="P823" i="4"/>
  <c r="Q822" i="4"/>
  <c r="N822" i="4"/>
  <c r="R822" i="4"/>
  <c r="P822" i="4"/>
  <c r="O822" i="4"/>
  <c r="N821" i="4"/>
  <c r="P821" i="4"/>
  <c r="R821" i="4"/>
  <c r="O821" i="4"/>
  <c r="Q821" i="4"/>
  <c r="Q820" i="4"/>
  <c r="R820" i="4"/>
  <c r="O820" i="4"/>
  <c r="N820" i="4"/>
  <c r="P820" i="4"/>
  <c r="P819" i="4"/>
  <c r="N819" i="4"/>
  <c r="Q819" i="4"/>
  <c r="O819" i="4"/>
  <c r="R819" i="4"/>
  <c r="N818" i="4"/>
  <c r="Q818" i="4"/>
  <c r="O818" i="4"/>
  <c r="P818" i="4"/>
  <c r="R818" i="4"/>
  <c r="N817" i="4"/>
  <c r="P817" i="4"/>
  <c r="O817" i="4"/>
  <c r="Q817" i="4"/>
  <c r="R817" i="4"/>
  <c r="P816" i="4"/>
  <c r="R816" i="4"/>
  <c r="N816" i="4"/>
  <c r="Q816" i="4"/>
  <c r="O816" i="4"/>
  <c r="R815" i="4"/>
  <c r="Q815" i="4"/>
  <c r="P815" i="4"/>
  <c r="O815" i="4"/>
  <c r="N815" i="4"/>
  <c r="R814" i="4"/>
  <c r="Q814" i="4"/>
  <c r="P814" i="4"/>
  <c r="O814" i="4"/>
  <c r="N814" i="4"/>
  <c r="Q813" i="4"/>
  <c r="P813" i="4"/>
  <c r="O813" i="4"/>
  <c r="N813" i="4"/>
  <c r="R813" i="4"/>
  <c r="Q812" i="4"/>
  <c r="P812" i="4"/>
  <c r="O812" i="4"/>
  <c r="N812" i="4"/>
  <c r="R812" i="4"/>
  <c r="R811" i="4"/>
  <c r="Q811" i="4"/>
  <c r="O811" i="4"/>
  <c r="N811" i="4"/>
  <c r="P811" i="4"/>
  <c r="O810" i="4"/>
  <c r="R810" i="4"/>
  <c r="Q810" i="4"/>
  <c r="P810" i="4"/>
  <c r="N810" i="4"/>
  <c r="P809" i="4"/>
  <c r="O809" i="4"/>
  <c r="N809" i="4"/>
  <c r="R809" i="4"/>
  <c r="Q809" i="4"/>
  <c r="Q808" i="4"/>
  <c r="N808" i="4"/>
  <c r="O808" i="4"/>
  <c r="P808" i="4"/>
  <c r="R808" i="4"/>
  <c r="N807" i="4"/>
  <c r="P807" i="4"/>
  <c r="Q807" i="4"/>
  <c r="R807" i="4"/>
  <c r="O807" i="4"/>
  <c r="R806" i="4"/>
  <c r="N806" i="4"/>
  <c r="O806" i="4"/>
  <c r="P806" i="4"/>
  <c r="Q806" i="4"/>
  <c r="N805" i="4"/>
  <c r="O805" i="4"/>
  <c r="P805" i="4"/>
  <c r="Q805" i="4"/>
  <c r="R805" i="4"/>
  <c r="O804" i="4"/>
  <c r="R804" i="4"/>
  <c r="Q804" i="4"/>
  <c r="P804" i="4"/>
  <c r="N804" i="4"/>
  <c r="N803" i="4"/>
  <c r="P803" i="4"/>
  <c r="O803" i="4"/>
  <c r="R803" i="4"/>
  <c r="Q803" i="4"/>
  <c r="P802" i="4"/>
  <c r="Q802" i="4"/>
  <c r="R802" i="4"/>
  <c r="N802" i="4"/>
  <c r="O802" i="4"/>
  <c r="N801" i="4"/>
  <c r="O801" i="4"/>
  <c r="P801" i="4"/>
  <c r="R801" i="4"/>
  <c r="Q801" i="4"/>
  <c r="P800" i="4"/>
  <c r="Q800" i="4"/>
  <c r="R800" i="4"/>
  <c r="O800" i="4"/>
  <c r="N800" i="4"/>
  <c r="N799" i="4"/>
  <c r="O799" i="4"/>
  <c r="Q799" i="4"/>
  <c r="P799" i="4"/>
  <c r="R799" i="4"/>
  <c r="N798" i="4"/>
  <c r="R798" i="4"/>
  <c r="P798" i="4"/>
  <c r="Q798" i="4"/>
  <c r="O798" i="4"/>
  <c r="R797" i="4"/>
  <c r="N797" i="4"/>
  <c r="O797" i="4"/>
  <c r="P797" i="4"/>
  <c r="Q797" i="4"/>
  <c r="R796" i="4"/>
  <c r="O796" i="4"/>
  <c r="N796" i="4"/>
  <c r="P796" i="4"/>
  <c r="Q796" i="4"/>
  <c r="N795" i="4"/>
  <c r="O795" i="4"/>
  <c r="R795" i="4"/>
  <c r="Q795" i="4"/>
  <c r="P795" i="4"/>
  <c r="R794" i="4"/>
  <c r="Q794" i="4"/>
  <c r="P794" i="4"/>
  <c r="O794" i="4"/>
  <c r="N794" i="4"/>
  <c r="P793" i="4"/>
  <c r="R793" i="4"/>
  <c r="Q793" i="4"/>
  <c r="O793" i="4"/>
  <c r="N793" i="4"/>
  <c r="R792" i="4"/>
  <c r="Q792" i="4"/>
  <c r="P792" i="4"/>
  <c r="O792" i="4"/>
  <c r="N792" i="4"/>
  <c r="R791" i="4"/>
  <c r="N791" i="4"/>
  <c r="Q791" i="4"/>
  <c r="P791" i="4"/>
  <c r="O791" i="4"/>
  <c r="R790" i="4"/>
  <c r="P790" i="4"/>
  <c r="O790" i="4"/>
  <c r="Q790" i="4"/>
  <c r="N790" i="4"/>
  <c r="R789" i="4"/>
  <c r="Q789" i="4"/>
  <c r="P789" i="4"/>
  <c r="O789" i="4"/>
  <c r="N789" i="4"/>
  <c r="Q788" i="4"/>
  <c r="P788" i="4"/>
  <c r="O788" i="4"/>
  <c r="N788" i="4"/>
  <c r="R788" i="4"/>
  <c r="R787" i="4"/>
  <c r="Q787" i="4"/>
  <c r="P787" i="4"/>
  <c r="N787" i="4"/>
  <c r="O787" i="4"/>
  <c r="O786" i="4"/>
  <c r="N786" i="4"/>
  <c r="R786" i="4"/>
  <c r="Q786" i="4"/>
  <c r="P786" i="4"/>
  <c r="P785" i="4"/>
  <c r="O785" i="4"/>
  <c r="N785" i="4"/>
  <c r="R785" i="4"/>
  <c r="Q785" i="4"/>
  <c r="N784" i="4"/>
  <c r="R784" i="4"/>
  <c r="Q784" i="4"/>
  <c r="P784" i="4"/>
  <c r="O784" i="4"/>
  <c r="P783" i="4"/>
  <c r="Q783" i="4"/>
  <c r="R783" i="4"/>
  <c r="N783" i="4"/>
  <c r="O783" i="4"/>
  <c r="R782" i="4"/>
  <c r="Q782" i="4"/>
  <c r="P782" i="4"/>
  <c r="O782" i="4"/>
  <c r="N782" i="4"/>
  <c r="N781" i="4"/>
  <c r="O781" i="4"/>
  <c r="P781" i="4"/>
  <c r="Q781" i="4"/>
  <c r="R781" i="4"/>
  <c r="O780" i="4"/>
  <c r="Q780" i="4"/>
  <c r="R780" i="4"/>
  <c r="P780" i="4"/>
  <c r="N780" i="4"/>
  <c r="R779" i="4"/>
  <c r="N779" i="4"/>
  <c r="O779" i="4"/>
  <c r="P779" i="4"/>
  <c r="Q779" i="4"/>
  <c r="N778" i="4"/>
  <c r="O778" i="4"/>
  <c r="P778" i="4"/>
  <c r="Q778" i="4"/>
  <c r="R778" i="4"/>
  <c r="O777" i="4"/>
  <c r="N777" i="4"/>
  <c r="Q777" i="4"/>
  <c r="R777" i="4"/>
  <c r="P777" i="4"/>
  <c r="R776" i="4"/>
  <c r="N776" i="4"/>
  <c r="O776" i="4"/>
  <c r="P776" i="4"/>
  <c r="Q776" i="4"/>
  <c r="R775" i="4"/>
  <c r="O775" i="4"/>
  <c r="Q775" i="4"/>
  <c r="P775" i="4"/>
  <c r="N775" i="4"/>
  <c r="N774" i="4"/>
  <c r="O774" i="4"/>
  <c r="P774" i="4"/>
  <c r="Q774" i="4"/>
  <c r="R774" i="4"/>
  <c r="R773" i="4"/>
  <c r="Q773" i="4"/>
  <c r="O773" i="4"/>
  <c r="P773" i="4"/>
  <c r="N773" i="4"/>
  <c r="P772" i="4"/>
  <c r="O772" i="4"/>
  <c r="N772" i="4"/>
  <c r="R772" i="4"/>
  <c r="Q772" i="4"/>
  <c r="R771" i="4"/>
  <c r="N771" i="4"/>
  <c r="O771" i="4"/>
  <c r="P771" i="4"/>
  <c r="Q771" i="4"/>
  <c r="O770" i="4"/>
  <c r="Q770" i="4"/>
  <c r="N770" i="4"/>
  <c r="R770" i="4"/>
  <c r="P770" i="4"/>
  <c r="P769" i="4"/>
  <c r="Q769" i="4"/>
  <c r="R769" i="4"/>
  <c r="O769" i="4"/>
  <c r="N769" i="4"/>
  <c r="Q768" i="4"/>
  <c r="P768" i="4"/>
  <c r="O768" i="4"/>
  <c r="N768" i="4"/>
  <c r="R768" i="4"/>
  <c r="N767" i="4"/>
  <c r="R767" i="4"/>
  <c r="O767" i="4"/>
  <c r="P767" i="4"/>
  <c r="Q767" i="4"/>
  <c r="N766" i="4"/>
  <c r="O766" i="4"/>
  <c r="P766" i="4"/>
  <c r="Q766" i="4"/>
  <c r="R766" i="4"/>
  <c r="R765" i="4"/>
  <c r="Q765" i="4"/>
  <c r="P765" i="4"/>
  <c r="O765" i="4"/>
  <c r="N765" i="4"/>
  <c r="R764" i="4"/>
  <c r="Q764" i="4"/>
  <c r="O764" i="4"/>
  <c r="P764" i="4"/>
  <c r="N764" i="4"/>
  <c r="O763" i="4"/>
  <c r="R763" i="4"/>
  <c r="N763" i="4"/>
  <c r="Q763" i="4"/>
  <c r="P763" i="4"/>
  <c r="O762" i="4"/>
  <c r="Q762" i="4"/>
  <c r="P762" i="4"/>
  <c r="N762" i="4"/>
  <c r="R762" i="4"/>
  <c r="R761" i="4"/>
  <c r="Q761" i="4"/>
  <c r="P761" i="4"/>
  <c r="O761" i="4"/>
  <c r="N761" i="4"/>
  <c r="R760" i="4"/>
  <c r="Q760" i="4"/>
  <c r="P760" i="4"/>
  <c r="O760" i="4"/>
  <c r="N760" i="4"/>
  <c r="Q759" i="4"/>
  <c r="N759" i="4"/>
  <c r="O759" i="4"/>
  <c r="P759" i="4"/>
  <c r="R759" i="4"/>
  <c r="N758" i="4"/>
  <c r="O758" i="4"/>
  <c r="P758" i="4"/>
  <c r="Q758" i="4"/>
  <c r="R758" i="4"/>
  <c r="Q757" i="4"/>
  <c r="O757" i="4"/>
  <c r="N757" i="4"/>
  <c r="R757" i="4"/>
  <c r="P757" i="4"/>
  <c r="Q756" i="4"/>
  <c r="N756" i="4"/>
  <c r="O756" i="4"/>
  <c r="P756" i="4"/>
  <c r="R756" i="4"/>
  <c r="R755" i="4"/>
  <c r="Q755" i="4"/>
  <c r="P755" i="4"/>
  <c r="O755" i="4"/>
  <c r="N755" i="4"/>
  <c r="O754" i="4"/>
  <c r="R754" i="4"/>
  <c r="Q754" i="4"/>
  <c r="P754" i="4"/>
  <c r="N754" i="4"/>
  <c r="R753" i="4"/>
  <c r="Q753" i="4"/>
  <c r="P753" i="4"/>
  <c r="O753" i="4"/>
  <c r="N753" i="4"/>
  <c r="N752" i="4"/>
  <c r="R752" i="4"/>
  <c r="Q752" i="4"/>
  <c r="P752" i="4"/>
  <c r="O752" i="4"/>
  <c r="O751" i="4"/>
  <c r="P751" i="4"/>
  <c r="N751" i="4"/>
  <c r="R751" i="4"/>
  <c r="Q751" i="4"/>
  <c r="P750" i="4"/>
  <c r="R750" i="4"/>
  <c r="Q750" i="4"/>
  <c r="O750" i="4"/>
  <c r="N750" i="4"/>
  <c r="Q749" i="4"/>
  <c r="P749" i="4"/>
  <c r="O749" i="4"/>
  <c r="R749" i="4"/>
  <c r="N749" i="4"/>
  <c r="Q748" i="4"/>
  <c r="P748" i="4"/>
  <c r="O748" i="4"/>
  <c r="N748" i="4"/>
  <c r="R748" i="4"/>
  <c r="O747" i="4"/>
  <c r="Q747" i="4"/>
  <c r="R747" i="4"/>
  <c r="N747" i="4"/>
  <c r="P747" i="4"/>
  <c r="R746" i="4"/>
  <c r="O746" i="4"/>
  <c r="P746" i="4"/>
  <c r="N746" i="4"/>
  <c r="N745" i="4"/>
  <c r="O745" i="4"/>
  <c r="P745" i="4"/>
  <c r="Q745" i="4"/>
  <c r="R745" i="4"/>
  <c r="N744" i="4"/>
  <c r="Q744" i="4"/>
  <c r="O744" i="4"/>
  <c r="R744" i="4"/>
  <c r="P744" i="4"/>
  <c r="N743" i="4"/>
  <c r="P743" i="4"/>
  <c r="Q743" i="4"/>
  <c r="R743" i="4"/>
  <c r="O743" i="4"/>
  <c r="Q742" i="4"/>
  <c r="P742" i="4"/>
  <c r="R742" i="4"/>
  <c r="O742" i="4"/>
  <c r="N742" i="4"/>
  <c r="R741" i="4"/>
  <c r="P741" i="4"/>
  <c r="Q741" i="4"/>
  <c r="O741" i="4"/>
  <c r="N741" i="4"/>
  <c r="P740" i="4"/>
  <c r="R740" i="4"/>
  <c r="N740" i="4"/>
  <c r="Q740" i="4"/>
  <c r="O740" i="4"/>
  <c r="P739" i="4"/>
  <c r="Q739" i="4"/>
  <c r="R739" i="4"/>
  <c r="N739" i="4"/>
  <c r="O739" i="4"/>
  <c r="N738" i="4"/>
  <c r="O738" i="4"/>
  <c r="Q738" i="4"/>
  <c r="R738" i="4"/>
  <c r="P738" i="4"/>
  <c r="R737" i="4"/>
  <c r="Q737" i="4"/>
  <c r="O737" i="4"/>
  <c r="P737" i="4"/>
  <c r="N737" i="4"/>
  <c r="O736" i="4"/>
  <c r="R736" i="4"/>
  <c r="P736" i="4"/>
  <c r="N736" i="4"/>
  <c r="Q736" i="4"/>
  <c r="Q735" i="4"/>
  <c r="N735" i="4"/>
  <c r="O735" i="4"/>
  <c r="P735" i="4"/>
  <c r="R735" i="4"/>
  <c r="N734" i="4"/>
  <c r="R734" i="4"/>
  <c r="P734" i="4"/>
  <c r="O734" i="4"/>
  <c r="N733" i="4"/>
  <c r="O733" i="4"/>
  <c r="P733" i="4"/>
  <c r="Q733" i="4"/>
  <c r="R733" i="4"/>
  <c r="N732" i="4"/>
  <c r="O732" i="4"/>
  <c r="P732" i="4"/>
  <c r="Q732" i="4"/>
  <c r="R732" i="4"/>
  <c r="N731" i="4"/>
  <c r="O731" i="4"/>
  <c r="P731" i="4"/>
  <c r="Q731" i="4"/>
  <c r="R731" i="4"/>
  <c r="R730" i="4"/>
  <c r="P730" i="4"/>
  <c r="Q730" i="4"/>
  <c r="N730" i="4"/>
  <c r="O730" i="4"/>
  <c r="Q729" i="4"/>
  <c r="R729" i="4"/>
  <c r="P729" i="4"/>
  <c r="O729" i="4"/>
  <c r="N729" i="4"/>
  <c r="O728" i="4"/>
  <c r="P728" i="4"/>
  <c r="Q728" i="4"/>
  <c r="N728" i="4"/>
  <c r="R728" i="4"/>
  <c r="R727" i="4"/>
  <c r="O727" i="4"/>
  <c r="N727" i="4"/>
  <c r="P727" i="4"/>
  <c r="Q727" i="4"/>
  <c r="Q726" i="4"/>
  <c r="R726" i="4"/>
  <c r="O726" i="4"/>
  <c r="N726" i="4"/>
  <c r="P726" i="4"/>
  <c r="R725" i="4"/>
  <c r="P725" i="4"/>
  <c r="O725" i="4"/>
  <c r="N725" i="4"/>
  <c r="Q725" i="4"/>
  <c r="O724" i="4"/>
  <c r="N724" i="4"/>
  <c r="P724" i="4"/>
  <c r="R724" i="4"/>
  <c r="Q724" i="4"/>
  <c r="O723" i="4"/>
  <c r="R723" i="4"/>
  <c r="Q723" i="4"/>
  <c r="P723" i="4"/>
  <c r="N723" i="4"/>
  <c r="O722" i="4"/>
  <c r="N722" i="4"/>
  <c r="R722" i="4"/>
  <c r="Q722" i="4"/>
  <c r="P722" i="4"/>
  <c r="R721" i="4"/>
  <c r="P721" i="4"/>
  <c r="O721" i="4"/>
  <c r="N721" i="4"/>
  <c r="Q721" i="4"/>
  <c r="N720" i="4"/>
  <c r="O720" i="4"/>
  <c r="P720" i="4"/>
  <c r="R720" i="4"/>
  <c r="Q720" i="4"/>
  <c r="R719" i="4"/>
  <c r="Q719" i="4"/>
  <c r="P719" i="4"/>
  <c r="O719" i="4"/>
  <c r="N719" i="4"/>
  <c r="N718" i="4"/>
  <c r="O718" i="4"/>
  <c r="P718" i="4"/>
  <c r="Q718" i="4"/>
  <c r="R718" i="4"/>
  <c r="Q717" i="4"/>
  <c r="N717" i="4"/>
  <c r="R717" i="4"/>
  <c r="P717" i="4"/>
  <c r="O717" i="4"/>
  <c r="R716" i="4"/>
  <c r="Q716" i="4"/>
  <c r="O716" i="4"/>
  <c r="P716" i="4"/>
  <c r="N716" i="4"/>
  <c r="O715" i="4"/>
  <c r="P715" i="4"/>
  <c r="Q715" i="4"/>
  <c r="N715" i="4"/>
  <c r="R715" i="4"/>
  <c r="O714" i="4"/>
  <c r="P714" i="4"/>
  <c r="Q714" i="4"/>
  <c r="R714" i="4"/>
  <c r="N714" i="4"/>
  <c r="N713" i="4"/>
  <c r="R713" i="4"/>
  <c r="Q713" i="4"/>
  <c r="P713" i="4"/>
  <c r="O713" i="4"/>
  <c r="R712" i="4"/>
  <c r="Q712" i="4"/>
  <c r="P712" i="4"/>
  <c r="O712" i="4"/>
  <c r="N712" i="4"/>
  <c r="P711" i="4"/>
  <c r="R711" i="4"/>
  <c r="O711" i="4"/>
  <c r="Q711" i="4"/>
  <c r="N711" i="4"/>
  <c r="R710" i="4"/>
  <c r="Q710" i="4"/>
  <c r="P710" i="4"/>
  <c r="O710" i="4"/>
  <c r="N710" i="4"/>
  <c r="N709" i="4"/>
  <c r="O709" i="4"/>
  <c r="P709" i="4"/>
  <c r="Q709" i="4"/>
  <c r="R709" i="4"/>
  <c r="R708" i="4"/>
  <c r="P708" i="4"/>
  <c r="O708" i="4"/>
  <c r="N708" i="4"/>
  <c r="Q708" i="4"/>
  <c r="Q707" i="4"/>
  <c r="P707" i="4"/>
  <c r="N707" i="4"/>
  <c r="R707" i="4"/>
  <c r="O707" i="4"/>
  <c r="P706" i="4"/>
  <c r="N706" i="4"/>
  <c r="Q706" i="4"/>
  <c r="R706" i="4"/>
  <c r="O706" i="4"/>
  <c r="O705" i="4"/>
  <c r="R705" i="4"/>
  <c r="P705" i="4"/>
  <c r="N705" i="4"/>
  <c r="Q705" i="4"/>
  <c r="P704" i="4"/>
  <c r="R704" i="4"/>
  <c r="N704" i="4"/>
  <c r="O704" i="4"/>
  <c r="Q704" i="4"/>
  <c r="Q703" i="4"/>
  <c r="O703" i="4"/>
  <c r="R703" i="4"/>
  <c r="P703" i="4"/>
  <c r="N703" i="4"/>
  <c r="O702" i="4"/>
  <c r="Q702" i="4"/>
  <c r="R702" i="4"/>
  <c r="P702" i="4"/>
  <c r="N702" i="4"/>
  <c r="R701" i="4"/>
  <c r="P701" i="4"/>
  <c r="O701" i="4"/>
  <c r="Q701" i="4"/>
  <c r="N701" i="4"/>
  <c r="R700" i="4"/>
  <c r="N700" i="4"/>
  <c r="O700" i="4"/>
  <c r="Q700" i="4"/>
  <c r="P700" i="4"/>
  <c r="R699" i="4"/>
  <c r="N699" i="4"/>
  <c r="P699" i="4"/>
  <c r="O699" i="4"/>
  <c r="Q699" i="4"/>
  <c r="Q698" i="4"/>
  <c r="O698" i="4"/>
  <c r="N698" i="4"/>
  <c r="P698" i="4"/>
  <c r="R698" i="4"/>
  <c r="Q697" i="4"/>
  <c r="P697" i="4"/>
  <c r="N697" i="4"/>
  <c r="O697" i="4"/>
  <c r="R697" i="4"/>
  <c r="P696" i="4"/>
  <c r="O696" i="4"/>
  <c r="R696" i="4"/>
  <c r="Q696" i="4"/>
  <c r="N696" i="4"/>
  <c r="R695" i="4"/>
  <c r="N695" i="4"/>
  <c r="P695" i="4"/>
  <c r="Q695" i="4"/>
  <c r="O695" i="4"/>
  <c r="P694" i="4"/>
  <c r="N694" i="4"/>
  <c r="Q694" i="4"/>
  <c r="O694" i="4"/>
  <c r="R694" i="4"/>
  <c r="Q693" i="4"/>
  <c r="N693" i="4"/>
  <c r="P693" i="4"/>
  <c r="R693" i="4"/>
  <c r="O693" i="4"/>
  <c r="R692" i="4"/>
  <c r="O692" i="4"/>
  <c r="N692" i="4"/>
  <c r="Q692" i="4"/>
  <c r="P692" i="4"/>
  <c r="O691" i="4"/>
  <c r="Q691" i="4"/>
  <c r="R691" i="4"/>
  <c r="N691" i="4"/>
  <c r="P691" i="4"/>
  <c r="R690" i="4"/>
  <c r="P690" i="4"/>
  <c r="N690" i="4"/>
  <c r="O690" i="4"/>
  <c r="Q690" i="4"/>
  <c r="P689" i="4"/>
  <c r="R689" i="4"/>
  <c r="N689" i="4"/>
  <c r="Q689" i="4"/>
  <c r="O689" i="4"/>
  <c r="R688" i="4"/>
  <c r="O688" i="4"/>
  <c r="N688" i="4"/>
  <c r="P688" i="4"/>
  <c r="Q688" i="4"/>
  <c r="Q687" i="4"/>
  <c r="N687" i="4"/>
  <c r="R687" i="4"/>
  <c r="P687" i="4"/>
  <c r="O687" i="4"/>
  <c r="O686" i="4"/>
  <c r="Q686" i="4"/>
  <c r="R686" i="4"/>
  <c r="P686" i="4"/>
  <c r="N686" i="4"/>
  <c r="R685" i="4"/>
  <c r="P685" i="4"/>
  <c r="N685" i="4"/>
  <c r="Q685" i="4"/>
  <c r="O685" i="4"/>
  <c r="O684" i="4"/>
  <c r="R684" i="4"/>
  <c r="Q684" i="4"/>
  <c r="P684" i="4"/>
  <c r="N684" i="4"/>
  <c r="P683" i="4"/>
  <c r="Q683" i="4"/>
  <c r="O683" i="4"/>
  <c r="R683" i="4"/>
  <c r="N683" i="4"/>
  <c r="P682" i="4"/>
  <c r="N682" i="4"/>
  <c r="R682" i="4"/>
  <c r="O682" i="4"/>
  <c r="Q682" i="4"/>
  <c r="N681" i="4"/>
  <c r="P681" i="4"/>
  <c r="R681" i="4"/>
  <c r="Q681" i="4"/>
  <c r="O681" i="4"/>
  <c r="P680" i="4"/>
  <c r="O680" i="4"/>
  <c r="N680" i="4"/>
  <c r="R680" i="4"/>
  <c r="Q680" i="4"/>
  <c r="R679" i="4"/>
  <c r="O679" i="4"/>
  <c r="Q679" i="4"/>
  <c r="P679" i="4"/>
  <c r="N679" i="4"/>
  <c r="P678" i="4"/>
  <c r="N678" i="4"/>
  <c r="R678" i="4"/>
  <c r="Q678" i="4"/>
  <c r="O678" i="4"/>
  <c r="Q677" i="4"/>
  <c r="N677" i="4"/>
  <c r="O677" i="4"/>
  <c r="P677" i="4"/>
  <c r="R677" i="4"/>
  <c r="N676" i="4"/>
  <c r="P676" i="4"/>
  <c r="O676" i="4"/>
  <c r="Q676" i="4"/>
  <c r="R676" i="4"/>
  <c r="Q675" i="4"/>
  <c r="N675" i="4"/>
  <c r="R675" i="4"/>
  <c r="O675" i="4"/>
  <c r="P675" i="4"/>
  <c r="O674" i="4"/>
  <c r="N674" i="4"/>
  <c r="Q674" i="4"/>
  <c r="R674" i="4"/>
  <c r="P674" i="4"/>
  <c r="R673" i="4"/>
  <c r="Q673" i="4"/>
  <c r="O673" i="4"/>
  <c r="N673" i="4"/>
  <c r="P673" i="4"/>
  <c r="O672" i="4"/>
  <c r="P672" i="4"/>
  <c r="R672" i="4"/>
  <c r="N672" i="4"/>
  <c r="Q672" i="4"/>
  <c r="Q671" i="4"/>
  <c r="O671" i="4"/>
  <c r="N671" i="4"/>
  <c r="P671" i="4"/>
  <c r="R671" i="4"/>
  <c r="Q670" i="4"/>
  <c r="R670" i="4"/>
  <c r="O670" i="4"/>
  <c r="P670" i="4"/>
  <c r="R669" i="4"/>
  <c r="N669" i="4"/>
  <c r="O669" i="4"/>
  <c r="P669" i="4"/>
  <c r="Q669" i="4"/>
  <c r="N668" i="4"/>
  <c r="O668" i="4"/>
  <c r="P668" i="4"/>
  <c r="Q668" i="4"/>
  <c r="R668" i="4"/>
  <c r="Q667" i="4"/>
  <c r="O667" i="4"/>
  <c r="P667" i="4"/>
  <c r="R667" i="4"/>
  <c r="N667" i="4"/>
  <c r="R666" i="4"/>
  <c r="N666" i="4"/>
  <c r="Q666" i="4"/>
  <c r="P666" i="4"/>
  <c r="O666" i="4"/>
  <c r="N665" i="4"/>
  <c r="R665" i="4"/>
  <c r="Q665" i="4"/>
  <c r="P665" i="4"/>
  <c r="O665" i="4"/>
  <c r="R664" i="4"/>
  <c r="P664" i="4"/>
  <c r="Q664" i="4"/>
  <c r="N664" i="4"/>
  <c r="O664" i="4"/>
  <c r="N663" i="4"/>
  <c r="O663" i="4"/>
  <c r="P663" i="4"/>
  <c r="Q663" i="4"/>
  <c r="R663" i="4"/>
  <c r="R662" i="4"/>
  <c r="Q662" i="4"/>
  <c r="P662" i="4"/>
  <c r="O662" i="4"/>
  <c r="N662" i="4"/>
  <c r="N661" i="4"/>
  <c r="O661" i="4"/>
  <c r="P661" i="4"/>
  <c r="Q661" i="4"/>
  <c r="R661" i="4"/>
  <c r="O660" i="4"/>
  <c r="R660" i="4"/>
  <c r="Q660" i="4"/>
  <c r="P660" i="4"/>
  <c r="N660" i="4"/>
  <c r="R659" i="4"/>
  <c r="P659" i="4"/>
  <c r="Q659" i="4"/>
  <c r="N659" i="4"/>
  <c r="O659" i="4"/>
  <c r="O658" i="4"/>
  <c r="P658" i="4"/>
  <c r="R658" i="4"/>
  <c r="Q658" i="4"/>
  <c r="N658" i="4"/>
  <c r="N657" i="4"/>
  <c r="Q657" i="4"/>
  <c r="P657" i="4"/>
  <c r="O657" i="4"/>
  <c r="R657" i="4"/>
  <c r="O656" i="4"/>
  <c r="N656" i="4"/>
  <c r="Q656" i="4"/>
  <c r="R656" i="4"/>
  <c r="P656" i="4"/>
  <c r="P655" i="4"/>
  <c r="O655" i="4"/>
  <c r="N655" i="4"/>
  <c r="Q655" i="4"/>
  <c r="R655" i="4"/>
  <c r="P654" i="4"/>
  <c r="Q654" i="4"/>
  <c r="R654" i="4"/>
  <c r="O654" i="4"/>
  <c r="N654" i="4"/>
  <c r="R653" i="4"/>
  <c r="Q653" i="4"/>
  <c r="P653" i="4"/>
  <c r="O653" i="4"/>
  <c r="N653" i="4"/>
  <c r="R652" i="4"/>
  <c r="P652" i="4"/>
  <c r="N652" i="4"/>
  <c r="Q652" i="4"/>
  <c r="O652" i="4"/>
  <c r="O651" i="4"/>
  <c r="N651" i="4"/>
  <c r="Q651" i="4"/>
  <c r="R651" i="4"/>
  <c r="P651" i="4"/>
  <c r="O650" i="4"/>
  <c r="R650" i="4"/>
  <c r="Q650" i="4"/>
  <c r="P650" i="4"/>
  <c r="N650" i="4"/>
  <c r="R649" i="4"/>
  <c r="N649" i="4"/>
  <c r="O649" i="4"/>
  <c r="Q649" i="4"/>
  <c r="P649" i="4"/>
  <c r="R648" i="4"/>
  <c r="Q648" i="4"/>
  <c r="P648" i="4"/>
  <c r="O648" i="4"/>
  <c r="N648" i="4"/>
  <c r="N647" i="4"/>
  <c r="O647" i="4"/>
  <c r="P647" i="4"/>
  <c r="Q647" i="4"/>
  <c r="R647" i="4"/>
  <c r="R646" i="4"/>
  <c r="Q646" i="4"/>
  <c r="P646" i="4"/>
  <c r="O646" i="4"/>
  <c r="N646" i="4"/>
  <c r="N645" i="4"/>
  <c r="O645" i="4"/>
  <c r="P645" i="4"/>
  <c r="Q645" i="4"/>
  <c r="R645" i="4"/>
  <c r="P644" i="4"/>
  <c r="O644" i="4"/>
  <c r="R644" i="4"/>
  <c r="Q644" i="4"/>
  <c r="N644" i="4"/>
  <c r="N643" i="4"/>
  <c r="O643" i="4"/>
  <c r="P643" i="4"/>
  <c r="Q643" i="4"/>
  <c r="R643" i="4"/>
  <c r="R642" i="4"/>
  <c r="Q642" i="4"/>
  <c r="P642" i="4"/>
  <c r="O642" i="4"/>
  <c r="N642" i="4"/>
  <c r="R641" i="4"/>
  <c r="Q641" i="4"/>
  <c r="P641" i="4"/>
  <c r="O641" i="4"/>
  <c r="N641" i="4"/>
  <c r="P640" i="4"/>
  <c r="O640" i="4"/>
  <c r="N640" i="4"/>
  <c r="R640" i="4"/>
  <c r="Q640" i="4"/>
  <c r="R639" i="4"/>
  <c r="Q639" i="4"/>
  <c r="P639" i="4"/>
  <c r="O639" i="4"/>
  <c r="N639" i="4"/>
  <c r="P638" i="4"/>
  <c r="O638" i="4"/>
  <c r="N638" i="4"/>
  <c r="R638" i="4"/>
  <c r="Q638" i="4"/>
  <c r="R637" i="4"/>
  <c r="O637" i="4"/>
  <c r="P637" i="4"/>
  <c r="Q637" i="4"/>
  <c r="N637" i="4"/>
  <c r="N636" i="4"/>
  <c r="O636" i="4"/>
  <c r="P636" i="4"/>
  <c r="Q636" i="4"/>
  <c r="R636" i="4"/>
  <c r="N635" i="4"/>
  <c r="O635" i="4"/>
  <c r="P635" i="4"/>
  <c r="Q635" i="4"/>
  <c r="R635" i="4"/>
  <c r="Q634" i="4"/>
  <c r="P634" i="4"/>
  <c r="R634" i="4"/>
  <c r="N634" i="4"/>
  <c r="O634" i="4"/>
  <c r="P633" i="4"/>
  <c r="R633" i="4"/>
  <c r="O633" i="4"/>
  <c r="N633" i="4"/>
  <c r="Q633" i="4"/>
  <c r="N632" i="4"/>
  <c r="P632" i="4"/>
  <c r="O632" i="4"/>
  <c r="Q632" i="4"/>
  <c r="R632" i="4"/>
  <c r="N631" i="4"/>
  <c r="O631" i="4"/>
  <c r="P631" i="4"/>
  <c r="R631" i="4"/>
  <c r="Q631" i="4"/>
  <c r="N630" i="4"/>
  <c r="O630" i="4"/>
  <c r="P630" i="4"/>
  <c r="R630" i="4"/>
  <c r="Q630" i="4"/>
  <c r="R629" i="4"/>
  <c r="N629" i="4"/>
  <c r="O629" i="4"/>
  <c r="P629" i="4"/>
  <c r="Q629" i="4"/>
  <c r="N628" i="4"/>
  <c r="R628" i="4"/>
  <c r="Q628" i="4"/>
  <c r="P628" i="4"/>
  <c r="O628" i="4"/>
  <c r="R627" i="4"/>
  <c r="Q627" i="4"/>
  <c r="P627" i="4"/>
  <c r="O627" i="4"/>
  <c r="N627" i="4"/>
  <c r="N626" i="4"/>
  <c r="O626" i="4"/>
  <c r="P625" i="4"/>
  <c r="R625" i="4"/>
  <c r="Q625" i="4"/>
  <c r="O625" i="4"/>
  <c r="N625" i="4"/>
  <c r="Q624" i="4"/>
  <c r="P624" i="4"/>
  <c r="O624" i="4"/>
  <c r="N624" i="4"/>
  <c r="R624" i="4"/>
  <c r="P623" i="4"/>
  <c r="O623" i="4"/>
  <c r="N623" i="4"/>
  <c r="Q623" i="4"/>
  <c r="R623" i="4"/>
  <c r="R622" i="4"/>
  <c r="Q622" i="4"/>
  <c r="O622" i="4"/>
  <c r="N622" i="4"/>
  <c r="P622" i="4"/>
  <c r="Q621" i="4"/>
  <c r="R621" i="4"/>
  <c r="N621" i="4"/>
  <c r="O621" i="4"/>
  <c r="P621" i="4"/>
  <c r="N620" i="4"/>
  <c r="P620" i="4"/>
  <c r="Q620" i="4"/>
  <c r="R620" i="4"/>
  <c r="O620" i="4"/>
  <c r="N619" i="4"/>
  <c r="O619" i="4"/>
  <c r="P619" i="4"/>
  <c r="Q619" i="4"/>
  <c r="R619" i="4"/>
  <c r="Q618" i="4"/>
  <c r="R618" i="4"/>
  <c r="N618" i="4"/>
  <c r="O618" i="4"/>
  <c r="P618" i="4"/>
  <c r="O617" i="4"/>
  <c r="N617" i="4"/>
  <c r="P617" i="4"/>
  <c r="Q617" i="4"/>
  <c r="R617" i="4"/>
  <c r="N616" i="4"/>
  <c r="O616" i="4"/>
  <c r="P616" i="4"/>
  <c r="Q616" i="4"/>
  <c r="R616" i="4"/>
  <c r="Q615" i="4"/>
  <c r="R615" i="4"/>
  <c r="N615" i="4"/>
  <c r="O615" i="4"/>
  <c r="P615" i="4"/>
  <c r="R614" i="4"/>
  <c r="P614" i="4"/>
  <c r="Q614" i="4"/>
  <c r="N614" i="4"/>
  <c r="O614" i="4"/>
  <c r="N613" i="4"/>
  <c r="R613" i="4"/>
  <c r="Q613" i="4"/>
  <c r="P613" i="4"/>
  <c r="O613" i="4"/>
  <c r="P612" i="4"/>
  <c r="N612" i="4"/>
  <c r="O612" i="4"/>
  <c r="Q612" i="4"/>
  <c r="R612" i="4"/>
  <c r="O611" i="4"/>
  <c r="P611" i="4"/>
  <c r="Q611" i="4"/>
  <c r="R611" i="4"/>
  <c r="N611" i="4"/>
  <c r="R610" i="4"/>
  <c r="N610" i="4"/>
  <c r="O610" i="4"/>
  <c r="P610" i="4"/>
  <c r="Q610" i="4"/>
  <c r="N609" i="4"/>
  <c r="O609" i="4"/>
  <c r="P609" i="4"/>
  <c r="Q609" i="4"/>
  <c r="R609" i="4"/>
  <c r="N608" i="4"/>
  <c r="O608" i="4"/>
  <c r="P608" i="4"/>
  <c r="Q608" i="4"/>
  <c r="R608" i="4"/>
  <c r="Q607" i="4"/>
  <c r="R607" i="4"/>
  <c r="O607" i="4"/>
  <c r="N607" i="4"/>
  <c r="P607" i="4"/>
  <c r="P606" i="4"/>
  <c r="R606" i="4"/>
  <c r="Q606" i="4"/>
  <c r="O606" i="4"/>
  <c r="N606" i="4"/>
  <c r="P605" i="4"/>
  <c r="R605" i="4"/>
  <c r="Q605" i="4"/>
  <c r="O605" i="4"/>
  <c r="N605" i="4"/>
  <c r="R604" i="4"/>
  <c r="Q604" i="4"/>
  <c r="P604" i="4"/>
  <c r="O604" i="4"/>
  <c r="N604" i="4"/>
  <c r="Q603" i="4"/>
  <c r="N603" i="4"/>
  <c r="O603" i="4"/>
  <c r="P603" i="4"/>
  <c r="R603" i="4"/>
  <c r="P602" i="4"/>
  <c r="R602" i="4"/>
  <c r="Q602" i="4"/>
  <c r="O602" i="4"/>
  <c r="N602" i="4"/>
  <c r="R601" i="4"/>
  <c r="Q601" i="4"/>
  <c r="P601" i="4"/>
  <c r="O601" i="4"/>
  <c r="N601" i="4"/>
  <c r="P600" i="4"/>
  <c r="N600" i="4"/>
  <c r="R600" i="4"/>
  <c r="Q600" i="4"/>
  <c r="O600" i="4"/>
  <c r="N599" i="4"/>
  <c r="P599" i="4"/>
  <c r="R599" i="4"/>
  <c r="Q599" i="4"/>
  <c r="O599" i="4"/>
  <c r="O598" i="4"/>
  <c r="N598" i="4"/>
  <c r="R598" i="4"/>
  <c r="Q598" i="4"/>
  <c r="P598" i="4"/>
  <c r="N597" i="4"/>
  <c r="O597" i="4"/>
  <c r="P597" i="4"/>
  <c r="R597" i="4"/>
  <c r="Q597" i="4"/>
  <c r="R596" i="4"/>
  <c r="N596" i="4"/>
  <c r="O596" i="4"/>
  <c r="P596" i="4"/>
  <c r="Q596" i="4"/>
  <c r="N595" i="4"/>
  <c r="O595" i="4"/>
  <c r="P595" i="4"/>
  <c r="Q595" i="4"/>
  <c r="R595" i="4"/>
  <c r="O594" i="4"/>
  <c r="N594" i="4"/>
  <c r="P594" i="4"/>
  <c r="Q594" i="4"/>
  <c r="R594" i="4"/>
  <c r="N593" i="4"/>
  <c r="P593" i="4"/>
  <c r="R593" i="4"/>
  <c r="Q593" i="4"/>
  <c r="O593" i="4"/>
  <c r="P592" i="4"/>
  <c r="O592" i="4"/>
  <c r="R592" i="4"/>
  <c r="Q592" i="4"/>
  <c r="N592" i="4"/>
  <c r="O591" i="4"/>
  <c r="R591" i="4"/>
  <c r="N591" i="4"/>
  <c r="Q591" i="4"/>
  <c r="P591" i="4"/>
  <c r="O590" i="4"/>
  <c r="R590" i="4"/>
  <c r="Q590" i="4"/>
  <c r="P590" i="4"/>
  <c r="N590" i="4"/>
  <c r="P589" i="4"/>
  <c r="O589" i="4"/>
  <c r="N589" i="4"/>
  <c r="Q589" i="4"/>
  <c r="R589" i="4"/>
  <c r="P588" i="4"/>
  <c r="Q588" i="4"/>
  <c r="O588" i="4"/>
  <c r="N588" i="4"/>
  <c r="R588" i="4"/>
  <c r="Q587" i="4"/>
  <c r="R587" i="4"/>
  <c r="P587" i="4"/>
  <c r="O587" i="4"/>
  <c r="N587" i="4"/>
  <c r="R586" i="4"/>
  <c r="Q586" i="4"/>
  <c r="P586" i="4"/>
  <c r="N586" i="4"/>
  <c r="O586" i="4"/>
  <c r="P585" i="4"/>
  <c r="Q585" i="4"/>
  <c r="R585" i="4"/>
  <c r="N585" i="4"/>
  <c r="O585" i="4"/>
  <c r="P584" i="4"/>
  <c r="O584" i="4"/>
  <c r="N584" i="4"/>
  <c r="R584" i="4"/>
  <c r="Q584" i="4"/>
  <c r="Q583" i="4"/>
  <c r="P583" i="4"/>
  <c r="O583" i="4"/>
  <c r="R583" i="4"/>
  <c r="N583" i="4"/>
  <c r="R582" i="4"/>
  <c r="Q582" i="4"/>
  <c r="P582" i="4"/>
  <c r="O582" i="4"/>
  <c r="N582" i="4"/>
  <c r="R581" i="4"/>
  <c r="N581" i="4"/>
  <c r="Q581" i="4"/>
  <c r="P581" i="4"/>
  <c r="O581" i="4"/>
  <c r="Q580" i="4"/>
  <c r="N580" i="4"/>
  <c r="O580" i="4"/>
  <c r="P580" i="4"/>
  <c r="R580" i="4"/>
  <c r="N579" i="4"/>
  <c r="Q579" i="4"/>
  <c r="O579" i="4"/>
  <c r="P579" i="4"/>
  <c r="R579" i="4"/>
  <c r="R578" i="4"/>
  <c r="Q578" i="4"/>
  <c r="N578" i="4"/>
  <c r="O578" i="4"/>
  <c r="P578" i="4"/>
  <c r="P577" i="4"/>
  <c r="O577" i="4"/>
  <c r="N577" i="4"/>
  <c r="Q577" i="4"/>
  <c r="R577" i="4"/>
  <c r="R576" i="4"/>
  <c r="Q576" i="4"/>
  <c r="P576" i="4"/>
  <c r="N576" i="4"/>
  <c r="O576" i="4"/>
  <c r="R575" i="4"/>
  <c r="Q575" i="4"/>
  <c r="P575" i="4"/>
  <c r="N575" i="4"/>
  <c r="O575" i="4"/>
  <c r="N574" i="4"/>
  <c r="O574" i="4"/>
  <c r="P574" i="4"/>
  <c r="Q574" i="4"/>
  <c r="R574" i="4"/>
  <c r="P573" i="4"/>
  <c r="Q573" i="4"/>
  <c r="R573" i="4"/>
  <c r="O573" i="4"/>
  <c r="N573" i="4"/>
  <c r="N572" i="4"/>
  <c r="O572" i="4"/>
  <c r="P572" i="4"/>
  <c r="Q572" i="4"/>
  <c r="R572" i="4"/>
  <c r="N571" i="4"/>
  <c r="O571" i="4"/>
  <c r="P571" i="4"/>
  <c r="Q571" i="4"/>
  <c r="R571" i="4"/>
  <c r="N570" i="4"/>
  <c r="O570" i="4"/>
  <c r="P570" i="4"/>
  <c r="Q570" i="4"/>
  <c r="R570" i="4"/>
  <c r="R569" i="4"/>
  <c r="O569" i="4"/>
  <c r="P569" i="4"/>
  <c r="N569" i="4"/>
  <c r="Q569" i="4"/>
  <c r="P568" i="4"/>
  <c r="Q568" i="4"/>
  <c r="O568" i="4"/>
  <c r="R568" i="4"/>
  <c r="N568" i="4"/>
  <c r="Q567" i="4"/>
  <c r="R567" i="4"/>
  <c r="O567" i="4"/>
  <c r="N567" i="4"/>
  <c r="P567" i="4"/>
  <c r="Q566" i="4"/>
  <c r="N566" i="4"/>
  <c r="P566" i="4"/>
  <c r="O566" i="4"/>
  <c r="R566" i="4"/>
  <c r="O565" i="4"/>
  <c r="R565" i="4"/>
  <c r="Q565" i="4"/>
  <c r="P565" i="4"/>
  <c r="N565" i="4"/>
  <c r="R564" i="4"/>
  <c r="Q564" i="4"/>
  <c r="P564" i="4"/>
  <c r="N564" i="4"/>
  <c r="O564" i="4"/>
  <c r="R563" i="4"/>
  <c r="N563" i="4"/>
  <c r="O563" i="4"/>
  <c r="P563" i="4"/>
  <c r="Q563" i="4"/>
  <c r="P562" i="4"/>
  <c r="N562" i="4"/>
  <c r="O562" i="4"/>
  <c r="Q562" i="4"/>
  <c r="R562" i="4"/>
  <c r="P561" i="4"/>
  <c r="N561" i="4"/>
  <c r="Q561" i="4"/>
  <c r="R561" i="4"/>
  <c r="O561" i="4"/>
  <c r="O560" i="4"/>
  <c r="P560" i="4"/>
  <c r="Q560" i="4"/>
  <c r="R560" i="4"/>
  <c r="N560" i="4"/>
  <c r="R559" i="4"/>
  <c r="N559" i="4"/>
  <c r="O559" i="4"/>
  <c r="P559" i="4"/>
  <c r="Q559" i="4"/>
  <c r="Q558" i="4"/>
  <c r="P558" i="4"/>
  <c r="O558" i="4"/>
  <c r="R558" i="4"/>
  <c r="N558" i="4"/>
  <c r="N557" i="4"/>
  <c r="O557" i="4"/>
  <c r="P557" i="4"/>
  <c r="Q557" i="4"/>
  <c r="R557" i="4"/>
  <c r="O556" i="4"/>
  <c r="N556" i="4"/>
  <c r="P556" i="4"/>
  <c r="Q556" i="4"/>
  <c r="R556" i="4"/>
  <c r="P555" i="4"/>
  <c r="O555" i="4"/>
  <c r="N555" i="4"/>
  <c r="R555" i="4"/>
  <c r="Q555" i="4"/>
  <c r="R554" i="4"/>
  <c r="Q554" i="4"/>
  <c r="O554" i="4"/>
  <c r="N554" i="4"/>
  <c r="P554" i="4"/>
  <c r="P553" i="4"/>
  <c r="R553" i="4"/>
  <c r="O553" i="4"/>
  <c r="N553" i="4"/>
  <c r="Q553" i="4"/>
  <c r="Q552" i="4"/>
  <c r="R552" i="4"/>
  <c r="N552" i="4"/>
  <c r="O552" i="4"/>
  <c r="P552" i="4"/>
  <c r="N551" i="4"/>
  <c r="O551" i="4"/>
  <c r="P551" i="4"/>
  <c r="Q551" i="4"/>
  <c r="R551" i="4"/>
  <c r="Q550" i="4"/>
  <c r="R550" i="4"/>
  <c r="N550" i="4"/>
  <c r="O550" i="4"/>
  <c r="P550" i="4"/>
  <c r="N549" i="4"/>
  <c r="O549" i="4"/>
  <c r="P549" i="4"/>
  <c r="R549" i="4"/>
  <c r="Q549" i="4"/>
  <c r="P548" i="4"/>
  <c r="Q548" i="4"/>
  <c r="R548" i="4"/>
  <c r="O548" i="4"/>
  <c r="N548" i="4"/>
  <c r="R547" i="4"/>
  <c r="Q547" i="4"/>
  <c r="O547" i="4"/>
  <c r="P547" i="4"/>
  <c r="N547" i="4"/>
  <c r="N546" i="4"/>
  <c r="O546" i="4"/>
  <c r="P546" i="4"/>
  <c r="Q546" i="4"/>
  <c r="R546" i="4"/>
  <c r="O545" i="4"/>
  <c r="N545" i="4"/>
  <c r="P545" i="4"/>
  <c r="Q545" i="4"/>
  <c r="R545" i="4"/>
  <c r="N544" i="4"/>
  <c r="O544" i="4"/>
  <c r="P544" i="4"/>
  <c r="Q544" i="4"/>
  <c r="R544" i="4"/>
  <c r="O543" i="4"/>
  <c r="P543" i="4"/>
  <c r="N543" i="4"/>
  <c r="Q543" i="4"/>
  <c r="R543" i="4"/>
  <c r="Q542" i="4"/>
  <c r="R542" i="4"/>
  <c r="N542" i="4"/>
  <c r="O542" i="4"/>
  <c r="P542" i="4"/>
  <c r="R541" i="4"/>
  <c r="Q541" i="4"/>
  <c r="P541" i="4"/>
  <c r="O541" i="4"/>
  <c r="N541" i="4"/>
  <c r="N540" i="4"/>
  <c r="R540" i="4"/>
  <c r="Q540" i="4"/>
  <c r="P540" i="4"/>
  <c r="O540" i="4"/>
  <c r="R539" i="4"/>
  <c r="Q539" i="4"/>
  <c r="P539" i="4"/>
  <c r="O539" i="4"/>
  <c r="N539" i="4"/>
  <c r="N538" i="4"/>
  <c r="O538" i="4"/>
  <c r="P538" i="4"/>
  <c r="R538" i="4"/>
  <c r="Q538" i="4"/>
  <c r="P537" i="4"/>
  <c r="N537" i="4"/>
  <c r="O537" i="4"/>
  <c r="Q537" i="4"/>
  <c r="R537" i="4"/>
  <c r="Q536" i="4"/>
  <c r="P536" i="4"/>
  <c r="O536" i="4"/>
  <c r="N536" i="4"/>
  <c r="R536" i="4"/>
  <c r="R535" i="4"/>
  <c r="O535" i="4"/>
  <c r="N535" i="4"/>
  <c r="Q535" i="4"/>
  <c r="P535" i="4"/>
  <c r="R534" i="4"/>
  <c r="Q534" i="4"/>
  <c r="P534" i="4"/>
  <c r="O534" i="4"/>
  <c r="N534" i="4"/>
  <c r="R533" i="4"/>
  <c r="Q533" i="4"/>
  <c r="P533" i="4"/>
  <c r="O533" i="4"/>
  <c r="N533" i="4"/>
  <c r="R532" i="4"/>
  <c r="Q532" i="4"/>
  <c r="P532" i="4"/>
  <c r="O532" i="4"/>
  <c r="N532" i="4"/>
  <c r="R531" i="4"/>
  <c r="Q531" i="4"/>
  <c r="P531" i="4"/>
  <c r="O531" i="4"/>
  <c r="N531" i="4"/>
  <c r="R530" i="4"/>
  <c r="Q530" i="4"/>
  <c r="P530" i="4"/>
  <c r="O530" i="4"/>
  <c r="N530" i="4"/>
  <c r="O529" i="4"/>
  <c r="R529" i="4"/>
  <c r="Q529" i="4"/>
  <c r="P529" i="4"/>
  <c r="N529" i="4"/>
  <c r="P528" i="4"/>
  <c r="Q528" i="4"/>
  <c r="R528" i="4"/>
  <c r="N528" i="4"/>
  <c r="O528" i="4"/>
  <c r="R527" i="4"/>
  <c r="N527" i="4"/>
  <c r="O527" i="4"/>
  <c r="P527" i="4"/>
  <c r="Q527" i="4"/>
  <c r="O526" i="4"/>
  <c r="N526" i="4"/>
  <c r="P526" i="4"/>
  <c r="Q526" i="4"/>
  <c r="R526" i="4"/>
  <c r="Q525" i="4"/>
  <c r="R525" i="4"/>
  <c r="P525" i="4"/>
  <c r="N525" i="4"/>
  <c r="O525" i="4"/>
  <c r="Q524" i="4"/>
  <c r="O524" i="4"/>
  <c r="R524" i="4"/>
  <c r="N524" i="4"/>
  <c r="P524" i="4"/>
  <c r="N523" i="4"/>
  <c r="R523" i="4"/>
  <c r="Q523" i="4"/>
  <c r="P523" i="4"/>
  <c r="O523" i="4"/>
  <c r="R522" i="4"/>
  <c r="Q522" i="4"/>
  <c r="P522" i="4"/>
  <c r="O522" i="4"/>
  <c r="N522" i="4"/>
  <c r="N521" i="4"/>
  <c r="O521" i="4"/>
  <c r="R521" i="4"/>
  <c r="Q521" i="4"/>
  <c r="P521" i="4"/>
  <c r="R520" i="4"/>
  <c r="N520" i="4"/>
  <c r="O520" i="4"/>
  <c r="P520" i="4"/>
  <c r="Q520" i="4"/>
  <c r="Q519" i="4"/>
  <c r="N519" i="4"/>
  <c r="O519" i="4"/>
  <c r="P519" i="4"/>
  <c r="R519" i="4"/>
  <c r="R518" i="4"/>
  <c r="P518" i="4"/>
  <c r="N518" i="4"/>
  <c r="O518" i="4"/>
  <c r="Q518" i="4"/>
  <c r="N517" i="4"/>
  <c r="O517" i="4"/>
  <c r="P517" i="4"/>
  <c r="Q517" i="4"/>
  <c r="R517" i="4"/>
  <c r="Q516" i="4"/>
  <c r="R516" i="4"/>
  <c r="N516" i="4"/>
  <c r="P516" i="4"/>
  <c r="O516" i="4"/>
  <c r="N515" i="4"/>
  <c r="Q515" i="4"/>
  <c r="R515" i="4"/>
  <c r="O515" i="4"/>
  <c r="P515" i="4"/>
  <c r="N514" i="4"/>
  <c r="O514" i="4"/>
  <c r="R514" i="4"/>
  <c r="Q514" i="4"/>
  <c r="P514" i="4"/>
  <c r="R513" i="4"/>
  <c r="Q513" i="4"/>
  <c r="N513" i="4"/>
  <c r="O513" i="4"/>
  <c r="P513" i="4"/>
  <c r="N512" i="4"/>
  <c r="O512" i="4"/>
  <c r="P512" i="4"/>
  <c r="Q512" i="4"/>
  <c r="R512" i="4"/>
  <c r="P511" i="4"/>
  <c r="Q511" i="4"/>
  <c r="R511" i="4"/>
  <c r="N511" i="4"/>
  <c r="O511" i="4"/>
  <c r="N510" i="4"/>
  <c r="R510" i="4"/>
  <c r="P510" i="4"/>
  <c r="O510" i="4"/>
  <c r="Q510" i="4"/>
  <c r="R509" i="4"/>
  <c r="P509" i="4"/>
  <c r="Q509" i="4"/>
  <c r="N509" i="4"/>
  <c r="O509" i="4"/>
  <c r="Q508" i="4"/>
  <c r="R508" i="4"/>
  <c r="P508" i="4"/>
  <c r="O508" i="4"/>
  <c r="N508" i="4"/>
  <c r="N507" i="4"/>
  <c r="O507" i="4"/>
  <c r="P507" i="4"/>
  <c r="Q507" i="4"/>
  <c r="R507" i="4"/>
  <c r="O506" i="4"/>
  <c r="P506" i="4"/>
  <c r="R506" i="4"/>
  <c r="Q506" i="4"/>
  <c r="N506" i="4"/>
  <c r="P505" i="4"/>
  <c r="O505" i="4"/>
  <c r="N505" i="4"/>
  <c r="R505" i="4"/>
  <c r="Q505" i="4"/>
  <c r="R504" i="4"/>
  <c r="Q504" i="4"/>
  <c r="O504" i="4"/>
  <c r="N504" i="4"/>
  <c r="P504" i="4"/>
  <c r="R503" i="4"/>
  <c r="Q503" i="4"/>
  <c r="P503" i="4"/>
  <c r="N503" i="4"/>
  <c r="O503" i="4"/>
  <c r="R502" i="4"/>
  <c r="Q502" i="4"/>
  <c r="P502" i="4"/>
  <c r="N502" i="4"/>
  <c r="O502" i="4"/>
  <c r="P501" i="4"/>
  <c r="Q501" i="4"/>
  <c r="R501" i="4"/>
  <c r="N501" i="4"/>
  <c r="O501" i="4"/>
  <c r="P500" i="4"/>
  <c r="O500" i="4"/>
  <c r="N500" i="4"/>
  <c r="R500" i="4"/>
  <c r="Q500" i="4"/>
  <c r="Q499" i="4"/>
  <c r="R499" i="4"/>
  <c r="N499" i="4"/>
  <c r="O499" i="4"/>
  <c r="P499" i="4"/>
  <c r="O498" i="4"/>
  <c r="N498" i="4"/>
  <c r="R498" i="4"/>
  <c r="Q498" i="4"/>
  <c r="P498" i="4"/>
  <c r="Q497" i="4"/>
  <c r="R497" i="4"/>
  <c r="N497" i="4"/>
  <c r="O497" i="4"/>
  <c r="P497" i="4"/>
  <c r="N496" i="4"/>
  <c r="O496" i="4"/>
  <c r="P496" i="4"/>
  <c r="Q496" i="4"/>
  <c r="R496" i="4"/>
  <c r="N495" i="4"/>
  <c r="O495" i="4"/>
  <c r="P495" i="4"/>
  <c r="Q495" i="4"/>
  <c r="R495" i="4"/>
  <c r="R494" i="4"/>
  <c r="Q494" i="4"/>
  <c r="N494" i="4"/>
  <c r="P494" i="4"/>
  <c r="O494" i="4"/>
  <c r="O493" i="4"/>
  <c r="P493" i="4"/>
  <c r="Q493" i="4"/>
  <c r="R493" i="4"/>
  <c r="N493" i="4"/>
  <c r="R492" i="4"/>
  <c r="P492" i="4"/>
  <c r="N492" i="4"/>
  <c r="O492" i="4"/>
  <c r="Q492" i="4"/>
  <c r="P491" i="4"/>
  <c r="N491" i="4"/>
  <c r="O491" i="4"/>
  <c r="Q491" i="4"/>
  <c r="R491" i="4"/>
  <c r="Q490" i="4"/>
  <c r="R490" i="4"/>
  <c r="O490" i="4"/>
  <c r="P490" i="4"/>
  <c r="N490" i="4"/>
  <c r="N489" i="4"/>
  <c r="P489" i="4"/>
  <c r="R489" i="4"/>
  <c r="Q489" i="4"/>
  <c r="O489" i="4"/>
  <c r="Q488" i="4"/>
  <c r="N488" i="4"/>
  <c r="O488" i="4"/>
  <c r="P488" i="4"/>
  <c r="R488" i="4"/>
  <c r="R487" i="4"/>
  <c r="P487" i="4"/>
  <c r="Q487" i="4"/>
  <c r="N487" i="4"/>
  <c r="N486" i="4"/>
  <c r="O486" i="4"/>
  <c r="P486" i="4"/>
  <c r="Q486" i="4"/>
  <c r="R486" i="4"/>
  <c r="P485" i="4"/>
  <c r="R485" i="4"/>
  <c r="O485" i="4"/>
  <c r="Q485" i="4"/>
  <c r="N485" i="4"/>
  <c r="O484" i="4"/>
  <c r="P484" i="4"/>
  <c r="N484" i="4"/>
  <c r="Q484" i="4"/>
  <c r="R484" i="4"/>
  <c r="R483" i="4"/>
  <c r="P483" i="4"/>
  <c r="N483" i="4"/>
  <c r="Q483" i="4"/>
  <c r="O483" i="4"/>
  <c r="O482" i="4"/>
  <c r="N482" i="4"/>
  <c r="R482" i="4"/>
  <c r="Q482" i="4"/>
  <c r="P482" i="4"/>
  <c r="N481" i="4"/>
  <c r="O481" i="4"/>
  <c r="R481" i="4"/>
  <c r="Q481" i="4"/>
  <c r="P481" i="4"/>
  <c r="P480" i="4"/>
  <c r="N480" i="4"/>
  <c r="O480" i="4"/>
  <c r="Q480" i="4"/>
  <c r="R480" i="4"/>
  <c r="Q479" i="4"/>
  <c r="O479" i="4"/>
  <c r="R479" i="4"/>
  <c r="N479" i="4"/>
  <c r="P479" i="4"/>
  <c r="P478" i="4"/>
  <c r="R478" i="4"/>
  <c r="N478" i="4"/>
  <c r="O478" i="4"/>
  <c r="Q478" i="4"/>
  <c r="N477" i="4"/>
  <c r="O477" i="4"/>
  <c r="Q477" i="4"/>
  <c r="R477" i="4"/>
  <c r="P477" i="4"/>
  <c r="Q476" i="4"/>
  <c r="O476" i="4"/>
  <c r="P476" i="4"/>
  <c r="R476" i="4"/>
  <c r="N476" i="4"/>
  <c r="O475" i="4"/>
  <c r="N475" i="4"/>
  <c r="R475" i="4"/>
  <c r="P475" i="4"/>
  <c r="Q475" i="4"/>
  <c r="Q474" i="4"/>
  <c r="N474" i="4"/>
  <c r="P474" i="4"/>
  <c r="O474" i="4"/>
  <c r="R474" i="4"/>
  <c r="O473" i="4"/>
  <c r="N473" i="4"/>
  <c r="P473" i="4"/>
  <c r="Q473" i="4"/>
  <c r="R473" i="4"/>
  <c r="R472" i="4"/>
  <c r="P472" i="4"/>
  <c r="O472" i="4"/>
  <c r="Q472" i="4"/>
  <c r="N472" i="4"/>
  <c r="Q471" i="4"/>
  <c r="O471" i="4"/>
  <c r="P471" i="4"/>
  <c r="N471" i="4"/>
  <c r="R471" i="4"/>
  <c r="Q470" i="4"/>
  <c r="R470" i="4"/>
  <c r="N470" i="4"/>
  <c r="O470" i="4"/>
  <c r="P470" i="4"/>
  <c r="P469" i="4"/>
  <c r="R469" i="4"/>
  <c r="N469" i="4"/>
  <c r="O469" i="4"/>
  <c r="Q469" i="4"/>
  <c r="R468" i="4"/>
  <c r="P468" i="4"/>
  <c r="O468" i="4"/>
  <c r="N468" i="4"/>
  <c r="Q468" i="4"/>
  <c r="N467" i="4"/>
  <c r="O467" i="4"/>
  <c r="P467" i="4"/>
  <c r="Q467" i="4"/>
  <c r="R467" i="4"/>
  <c r="R466" i="4"/>
  <c r="P466" i="4"/>
  <c r="N466" i="4"/>
  <c r="Q466" i="4"/>
  <c r="O466" i="4"/>
  <c r="P465" i="4"/>
  <c r="R465" i="4"/>
  <c r="Q465" i="4"/>
  <c r="N465" i="4"/>
  <c r="O465" i="4"/>
  <c r="O464" i="4"/>
  <c r="N464" i="4"/>
  <c r="P464" i="4"/>
  <c r="Q464" i="4"/>
  <c r="R464" i="4"/>
  <c r="Q463" i="4"/>
  <c r="R463" i="4"/>
  <c r="O463" i="4"/>
  <c r="P463" i="4"/>
  <c r="N463" i="4"/>
  <c r="Q462" i="4"/>
  <c r="P462" i="4"/>
  <c r="O462" i="4"/>
  <c r="N462" i="4"/>
  <c r="R462" i="4"/>
  <c r="Q461" i="4"/>
  <c r="O461" i="4"/>
  <c r="R461" i="4"/>
  <c r="N461" i="4"/>
  <c r="P461" i="4"/>
  <c r="Q460" i="4"/>
  <c r="O460" i="4"/>
  <c r="N460" i="4"/>
  <c r="P460" i="4"/>
  <c r="R460" i="4"/>
  <c r="O459" i="4"/>
  <c r="Q459" i="4"/>
  <c r="P459" i="4"/>
  <c r="N459" i="4"/>
  <c r="R459" i="4"/>
  <c r="N458" i="4"/>
  <c r="Q458" i="4"/>
  <c r="P458" i="4"/>
  <c r="R458" i="4"/>
  <c r="O458" i="4"/>
  <c r="O457" i="4"/>
  <c r="Q457" i="4"/>
  <c r="R457" i="4"/>
  <c r="P457" i="4"/>
  <c r="N457" i="4"/>
  <c r="R456" i="4"/>
  <c r="O456" i="4"/>
  <c r="Q456" i="4"/>
  <c r="P456" i="4"/>
  <c r="N456" i="4"/>
  <c r="O455" i="4"/>
  <c r="R455" i="4"/>
  <c r="Q455" i="4"/>
  <c r="P455" i="4"/>
  <c r="N455" i="4"/>
  <c r="N454" i="4"/>
  <c r="P454" i="4"/>
  <c r="O454" i="4"/>
  <c r="R454" i="4"/>
  <c r="Q454" i="4"/>
  <c r="N453" i="4"/>
  <c r="P453" i="4"/>
  <c r="R453" i="4"/>
  <c r="Q453" i="4"/>
  <c r="O453" i="4"/>
  <c r="P452" i="4"/>
  <c r="R452" i="4"/>
  <c r="N452" i="4"/>
  <c r="O452" i="4"/>
  <c r="Q452" i="4"/>
  <c r="O451" i="4"/>
  <c r="R451" i="4"/>
  <c r="P451" i="4"/>
  <c r="Q451" i="4"/>
  <c r="N451" i="4"/>
  <c r="R450" i="4"/>
  <c r="O450" i="4"/>
  <c r="P450" i="4"/>
  <c r="N450" i="4"/>
  <c r="Q450" i="4"/>
  <c r="Q449" i="4"/>
  <c r="R449" i="4"/>
  <c r="P449" i="4"/>
  <c r="N449" i="4"/>
  <c r="O449" i="4"/>
  <c r="N448" i="4"/>
  <c r="Q448" i="4"/>
  <c r="P448" i="4"/>
  <c r="R448" i="4"/>
  <c r="O448" i="4"/>
  <c r="R447" i="4"/>
  <c r="Q447" i="4"/>
  <c r="O447" i="4"/>
  <c r="N447" i="4"/>
  <c r="P447" i="4"/>
  <c r="R446" i="4"/>
  <c r="Q446" i="4"/>
  <c r="O446" i="4"/>
  <c r="P446" i="4"/>
  <c r="N446" i="4"/>
  <c r="R445" i="4"/>
  <c r="Q445" i="4"/>
  <c r="O445" i="4"/>
  <c r="N445" i="4"/>
  <c r="P445" i="4"/>
  <c r="Q444" i="4"/>
  <c r="N444" i="4"/>
  <c r="R444" i="4"/>
  <c r="P444" i="4"/>
  <c r="O444" i="4"/>
  <c r="Q443" i="4"/>
  <c r="R443" i="4"/>
  <c r="P443" i="4"/>
  <c r="N443" i="4"/>
  <c r="O443" i="4"/>
  <c r="P442" i="4"/>
  <c r="R442" i="4"/>
  <c r="O442" i="4"/>
  <c r="N442" i="4"/>
  <c r="Q442" i="4"/>
  <c r="O441" i="4"/>
  <c r="Q441" i="4"/>
  <c r="R441" i="4"/>
  <c r="N441" i="4"/>
  <c r="P441" i="4"/>
  <c r="N440" i="4"/>
  <c r="P440" i="4"/>
  <c r="O440" i="4"/>
  <c r="Q440" i="4"/>
  <c r="R440" i="4"/>
  <c r="Q439" i="4"/>
  <c r="R439" i="4"/>
  <c r="P439" i="4"/>
  <c r="N439" i="4"/>
  <c r="O439" i="4"/>
  <c r="P438" i="4"/>
  <c r="R438" i="4"/>
  <c r="N438" i="4"/>
  <c r="O438" i="4"/>
  <c r="Q438" i="4"/>
  <c r="O437" i="4"/>
  <c r="Q437" i="4"/>
  <c r="R437" i="4"/>
  <c r="N437" i="4"/>
  <c r="P437" i="4"/>
  <c r="R436" i="4"/>
  <c r="Q436" i="4"/>
  <c r="N436" i="4"/>
  <c r="O436" i="4"/>
  <c r="P436" i="4"/>
  <c r="R435" i="4"/>
  <c r="N435" i="4"/>
  <c r="P435" i="4"/>
  <c r="Q435" i="4"/>
  <c r="O435" i="4"/>
  <c r="N434" i="4"/>
  <c r="O434" i="4"/>
  <c r="P434" i="4"/>
  <c r="Q434" i="4"/>
  <c r="R434" i="4"/>
  <c r="O433" i="4"/>
  <c r="P433" i="4"/>
  <c r="N433" i="4"/>
  <c r="R433" i="4"/>
  <c r="Q433" i="4"/>
  <c r="R432" i="4"/>
  <c r="N432" i="4"/>
  <c r="O432" i="4"/>
  <c r="P432" i="4"/>
  <c r="Q432" i="4"/>
  <c r="O431" i="4"/>
  <c r="P431" i="4"/>
  <c r="Q431" i="4"/>
  <c r="R431" i="4"/>
  <c r="N431" i="4"/>
  <c r="N430" i="4"/>
  <c r="O430" i="4"/>
  <c r="P430" i="4"/>
  <c r="Q430" i="4"/>
  <c r="R430" i="4"/>
  <c r="O429" i="4"/>
  <c r="P429" i="4"/>
  <c r="Q429" i="4"/>
  <c r="R429" i="4"/>
  <c r="N429" i="4"/>
  <c r="N428" i="4"/>
  <c r="O428" i="4"/>
  <c r="R428" i="4"/>
  <c r="Q428" i="4"/>
  <c r="P428" i="4"/>
  <c r="P427" i="4"/>
  <c r="Q427" i="4"/>
  <c r="R427" i="4"/>
  <c r="N427" i="4"/>
  <c r="O427" i="4"/>
  <c r="O426" i="4"/>
  <c r="N426" i="4"/>
  <c r="P426" i="4"/>
  <c r="Q426" i="4"/>
  <c r="R426" i="4"/>
  <c r="P425" i="4"/>
  <c r="O425" i="4"/>
  <c r="N425" i="4"/>
  <c r="R425" i="4"/>
  <c r="Q425" i="4"/>
  <c r="Q424" i="4"/>
  <c r="R424" i="4"/>
  <c r="P424" i="4"/>
  <c r="O424" i="4"/>
  <c r="N424" i="4"/>
  <c r="N423" i="4"/>
  <c r="R423" i="4"/>
  <c r="Q423" i="4"/>
  <c r="P423" i="4"/>
  <c r="O423" i="4"/>
  <c r="R422" i="4"/>
  <c r="Q422" i="4"/>
  <c r="P422" i="4"/>
  <c r="O422" i="4"/>
  <c r="N422" i="4"/>
  <c r="Q421" i="4"/>
  <c r="P421" i="4"/>
  <c r="O421" i="4"/>
  <c r="N421" i="4"/>
  <c r="R421" i="4"/>
  <c r="R420" i="4"/>
  <c r="N420" i="4"/>
  <c r="P420" i="4"/>
  <c r="O420" i="4"/>
  <c r="Q420" i="4"/>
  <c r="Q419" i="4"/>
  <c r="R419" i="4"/>
  <c r="P419" i="4"/>
  <c r="O419" i="4"/>
  <c r="N419" i="4"/>
  <c r="R418" i="4"/>
  <c r="Q418" i="4"/>
  <c r="P418" i="4"/>
  <c r="O418" i="4"/>
  <c r="N418" i="4"/>
  <c r="O417" i="4"/>
  <c r="N417" i="4"/>
  <c r="P417" i="4"/>
  <c r="R417" i="4"/>
  <c r="Q417" i="4"/>
  <c r="Q416" i="4"/>
  <c r="R416" i="4"/>
  <c r="O416" i="4"/>
  <c r="N416" i="4"/>
  <c r="P416" i="4"/>
  <c r="N415" i="4"/>
  <c r="O415" i="4"/>
  <c r="P415" i="4"/>
  <c r="Q415" i="4"/>
  <c r="R415" i="4"/>
  <c r="Q414" i="4"/>
  <c r="R414" i="4"/>
  <c r="N414" i="4"/>
  <c r="O414" i="4"/>
  <c r="P414" i="4"/>
  <c r="Q413" i="4"/>
  <c r="N413" i="4"/>
  <c r="O413" i="4"/>
  <c r="P413" i="4"/>
  <c r="R413" i="4"/>
  <c r="N412" i="4"/>
  <c r="O412" i="4"/>
  <c r="P412" i="4"/>
  <c r="Q412" i="4"/>
  <c r="R412" i="4"/>
  <c r="R411" i="4"/>
  <c r="N411" i="4"/>
  <c r="O411" i="4"/>
  <c r="P411" i="4"/>
  <c r="Q411" i="4"/>
  <c r="O410" i="4"/>
  <c r="N410" i="4"/>
  <c r="Q410" i="4"/>
  <c r="P410" i="4"/>
  <c r="R410" i="4"/>
  <c r="R409" i="4"/>
  <c r="Q409" i="4"/>
  <c r="P409" i="4"/>
  <c r="O409" i="4"/>
  <c r="N409" i="4"/>
  <c r="P408" i="4"/>
  <c r="R408" i="4"/>
  <c r="Q408" i="4"/>
  <c r="O408" i="4"/>
  <c r="N408" i="4"/>
  <c r="N407" i="4"/>
  <c r="O407" i="4"/>
  <c r="R407" i="4"/>
  <c r="Q407" i="4"/>
  <c r="P407" i="4"/>
  <c r="P406" i="4"/>
  <c r="Q406" i="4"/>
  <c r="R406" i="4"/>
  <c r="N406" i="4"/>
  <c r="O406" i="4"/>
  <c r="Q405" i="4"/>
  <c r="P405" i="4"/>
  <c r="O405" i="4"/>
  <c r="N405" i="4"/>
  <c r="R405" i="4"/>
  <c r="Q404" i="4"/>
  <c r="P404" i="4"/>
  <c r="O404" i="4"/>
  <c r="N404" i="4"/>
  <c r="R404" i="4"/>
  <c r="Q403" i="4"/>
  <c r="R403" i="4"/>
  <c r="N403" i="4"/>
  <c r="O403" i="4"/>
  <c r="P403" i="4"/>
  <c r="Q402" i="4"/>
  <c r="N402" i="4"/>
  <c r="P402" i="4"/>
  <c r="R402" i="4"/>
  <c r="O402" i="4"/>
  <c r="O401" i="4"/>
  <c r="Q401" i="4"/>
  <c r="R401" i="4"/>
  <c r="P401" i="4"/>
  <c r="N401" i="4"/>
  <c r="Q400" i="4"/>
  <c r="P400" i="4"/>
  <c r="O400" i="4"/>
  <c r="N400" i="4"/>
  <c r="R400" i="4"/>
  <c r="O399" i="4"/>
  <c r="N399" i="4"/>
  <c r="Q399" i="4"/>
  <c r="R399" i="4"/>
  <c r="P399" i="4"/>
  <c r="N398" i="4"/>
  <c r="O398" i="4"/>
  <c r="P398" i="4"/>
  <c r="Q398" i="4"/>
  <c r="R398" i="4"/>
  <c r="R397" i="4"/>
  <c r="Q397" i="4"/>
  <c r="N397" i="4"/>
  <c r="O397" i="4"/>
  <c r="P397" i="4"/>
  <c r="P396" i="4"/>
  <c r="Q396" i="4"/>
  <c r="O396" i="4"/>
  <c r="N396" i="4"/>
  <c r="R396" i="4"/>
  <c r="R395" i="4"/>
  <c r="P395" i="4"/>
  <c r="O395" i="4"/>
  <c r="N395" i="4"/>
  <c r="Q395" i="4"/>
  <c r="N394" i="4"/>
  <c r="O394" i="4"/>
  <c r="P394" i="4"/>
  <c r="Q394" i="4"/>
  <c r="R394" i="4"/>
  <c r="N393" i="4"/>
  <c r="O393" i="4"/>
  <c r="Q393" i="4"/>
  <c r="R393" i="4"/>
  <c r="P393" i="4"/>
  <c r="P392" i="4"/>
  <c r="Q392" i="4"/>
  <c r="R392" i="4"/>
  <c r="O392" i="4"/>
  <c r="N392" i="4"/>
  <c r="N391" i="4"/>
  <c r="Q391" i="4"/>
  <c r="O391" i="4"/>
  <c r="P391" i="4"/>
  <c r="R391" i="4"/>
  <c r="N390" i="4"/>
  <c r="O390" i="4"/>
  <c r="P390" i="4"/>
  <c r="Q390" i="4"/>
  <c r="R390" i="4"/>
  <c r="P389" i="4"/>
  <c r="Q389" i="4"/>
  <c r="R389" i="4"/>
  <c r="O389" i="4"/>
  <c r="N389" i="4"/>
  <c r="R388" i="4"/>
  <c r="Q388" i="4"/>
  <c r="P388" i="4"/>
  <c r="O388" i="4"/>
  <c r="N388" i="4"/>
  <c r="N387" i="4"/>
  <c r="O387" i="4"/>
  <c r="R387" i="4"/>
  <c r="Q387" i="4"/>
  <c r="P387" i="4"/>
  <c r="N386" i="4"/>
  <c r="R386" i="4"/>
  <c r="Q386" i="4"/>
  <c r="P386" i="4"/>
  <c r="O386" i="4"/>
  <c r="O385" i="4"/>
  <c r="P385" i="4"/>
  <c r="Q385" i="4"/>
  <c r="R385" i="4"/>
  <c r="N385" i="4"/>
  <c r="Q384" i="4"/>
  <c r="P384" i="4"/>
  <c r="N384" i="4"/>
  <c r="O384" i="4"/>
  <c r="R384" i="4"/>
  <c r="P383" i="4"/>
  <c r="N383" i="4"/>
  <c r="O383" i="4"/>
  <c r="Q383" i="4"/>
  <c r="R383" i="4"/>
  <c r="R382" i="4"/>
  <c r="Q382" i="4"/>
  <c r="P382" i="4"/>
  <c r="O382" i="4"/>
  <c r="N382" i="4"/>
  <c r="P381" i="4"/>
  <c r="R381" i="4"/>
  <c r="N381" i="4"/>
  <c r="O381" i="4"/>
  <c r="Q381" i="4"/>
  <c r="Q380" i="4"/>
  <c r="P380" i="4"/>
  <c r="O380" i="4"/>
  <c r="N380" i="4"/>
  <c r="R380" i="4"/>
  <c r="R379" i="4"/>
  <c r="N379" i="4"/>
  <c r="O379" i="4"/>
  <c r="Q379" i="4"/>
  <c r="P379" i="4"/>
  <c r="P378" i="4"/>
  <c r="R378" i="4"/>
  <c r="Q378" i="4"/>
  <c r="O378" i="4"/>
  <c r="N378" i="4"/>
  <c r="N377" i="4"/>
  <c r="O377" i="4"/>
  <c r="P377" i="4"/>
  <c r="Q377" i="4"/>
  <c r="R377" i="4"/>
  <c r="N376" i="4"/>
  <c r="O376" i="4"/>
  <c r="P376" i="4"/>
  <c r="Q376" i="4"/>
  <c r="R376" i="4"/>
  <c r="R375" i="4"/>
  <c r="O375" i="4"/>
  <c r="P375" i="4"/>
  <c r="Q375" i="4"/>
  <c r="N375" i="4"/>
  <c r="P374" i="4"/>
  <c r="N374" i="4"/>
  <c r="O374" i="4"/>
  <c r="Q374" i="4"/>
  <c r="R374" i="4"/>
  <c r="N373" i="4"/>
  <c r="O373" i="4"/>
  <c r="P373" i="4"/>
  <c r="Q373" i="4"/>
  <c r="R373" i="4"/>
  <c r="Q372" i="4"/>
  <c r="O372" i="4"/>
  <c r="N372" i="4"/>
  <c r="P372" i="4"/>
  <c r="R372" i="4"/>
  <c r="N371" i="4"/>
  <c r="P371" i="4"/>
  <c r="Q371" i="4"/>
  <c r="R371" i="4"/>
  <c r="O371" i="4"/>
  <c r="N370" i="4"/>
  <c r="O370" i="4"/>
  <c r="P370" i="4"/>
  <c r="Q370" i="4"/>
  <c r="R370" i="4"/>
  <c r="N369" i="4"/>
  <c r="O369" i="4"/>
  <c r="P369" i="4"/>
  <c r="Q369" i="4"/>
  <c r="R369" i="4"/>
  <c r="N368" i="4"/>
  <c r="Q368" i="4"/>
  <c r="R368" i="4"/>
  <c r="P368" i="4"/>
  <c r="O368" i="4"/>
  <c r="R367" i="4"/>
  <c r="Q367" i="4"/>
  <c r="P367" i="4"/>
  <c r="O367" i="4"/>
  <c r="N367" i="4"/>
  <c r="R366" i="4"/>
  <c r="Q366" i="4"/>
  <c r="P366" i="4"/>
  <c r="O366" i="4"/>
  <c r="N366" i="4"/>
  <c r="P365" i="4"/>
  <c r="Q365" i="4"/>
  <c r="R365" i="4"/>
  <c r="N365" i="4"/>
  <c r="O365" i="4"/>
  <c r="P364" i="4"/>
  <c r="O364" i="4"/>
  <c r="N364" i="4"/>
  <c r="R364" i="4"/>
  <c r="Q364" i="4"/>
  <c r="R363" i="4"/>
  <c r="Q363" i="4"/>
  <c r="P363" i="4"/>
  <c r="O363" i="4"/>
  <c r="N363" i="4"/>
  <c r="R362" i="4"/>
  <c r="Q362" i="4"/>
  <c r="O362" i="4"/>
  <c r="N362" i="4"/>
  <c r="P362" i="4"/>
  <c r="N361" i="4"/>
  <c r="R361" i="4"/>
  <c r="Q361" i="4"/>
  <c r="P361" i="4"/>
  <c r="O361" i="4"/>
  <c r="R360" i="4"/>
  <c r="Q360" i="4"/>
  <c r="P360" i="4"/>
  <c r="O360" i="4"/>
  <c r="N360" i="4"/>
  <c r="P359" i="4"/>
  <c r="N359" i="4"/>
  <c r="O359" i="4"/>
  <c r="R359" i="4"/>
  <c r="Q359" i="4"/>
  <c r="N358" i="4"/>
  <c r="O358" i="4"/>
  <c r="P358" i="4"/>
  <c r="Q358" i="4"/>
  <c r="R358" i="4"/>
  <c r="N357" i="4"/>
  <c r="O357" i="4"/>
  <c r="P357" i="4"/>
  <c r="Q357" i="4"/>
  <c r="R357" i="4"/>
  <c r="N356" i="4"/>
  <c r="O356" i="4"/>
  <c r="P356" i="4"/>
  <c r="Q356" i="4"/>
  <c r="R356" i="4"/>
  <c r="O355" i="4"/>
  <c r="N355" i="4"/>
  <c r="R355" i="4"/>
  <c r="Q355" i="4"/>
  <c r="P355" i="4"/>
  <c r="R354" i="4"/>
  <c r="Q354" i="4"/>
  <c r="P354" i="4"/>
  <c r="O354" i="4"/>
  <c r="N354" i="4"/>
  <c r="R353" i="4"/>
  <c r="Q353" i="4"/>
  <c r="N353" i="4"/>
  <c r="O353" i="4"/>
  <c r="P353" i="4"/>
  <c r="N352" i="4"/>
  <c r="O352" i="4"/>
  <c r="P352" i="4"/>
  <c r="Q352" i="4"/>
  <c r="R352" i="4"/>
  <c r="N351" i="4"/>
  <c r="R351" i="4"/>
  <c r="Q351" i="4"/>
  <c r="P351" i="4"/>
  <c r="O351" i="4"/>
  <c r="R350" i="4"/>
  <c r="P350" i="4"/>
  <c r="Q350" i="4"/>
  <c r="N350" i="4"/>
  <c r="O350" i="4"/>
  <c r="N349" i="4"/>
  <c r="Q349" i="4"/>
  <c r="P349" i="4"/>
  <c r="O349" i="4"/>
  <c r="R349" i="4"/>
  <c r="R348" i="4"/>
  <c r="Q348" i="4"/>
  <c r="N348" i="4"/>
  <c r="O348" i="4"/>
  <c r="P348" i="4"/>
  <c r="Q347" i="4"/>
  <c r="N347" i="4"/>
  <c r="O347" i="4"/>
  <c r="P347" i="4"/>
  <c r="R347" i="4"/>
  <c r="R346" i="4"/>
  <c r="N346" i="4"/>
  <c r="O346" i="4"/>
  <c r="P346" i="4"/>
  <c r="Q346" i="4"/>
  <c r="N345" i="4"/>
  <c r="O345" i="4"/>
  <c r="P345" i="4"/>
  <c r="Q345" i="4"/>
  <c r="R345" i="4"/>
  <c r="N344" i="4"/>
  <c r="O344" i="4"/>
  <c r="P344" i="4"/>
  <c r="Q344" i="4"/>
  <c r="R344" i="4"/>
  <c r="Q343" i="4"/>
  <c r="N343" i="4"/>
  <c r="O343" i="4"/>
  <c r="P343" i="4"/>
  <c r="R343" i="4"/>
  <c r="O342" i="4"/>
  <c r="P342" i="4"/>
  <c r="Q342" i="4"/>
  <c r="R342" i="4"/>
  <c r="N342" i="4"/>
  <c r="R341" i="4"/>
  <c r="Q341" i="4"/>
  <c r="P341" i="4"/>
  <c r="O341" i="4"/>
  <c r="N341" i="4"/>
  <c r="R340" i="4"/>
  <c r="P340" i="4"/>
  <c r="O340" i="4"/>
  <c r="N340" i="4"/>
  <c r="Q340" i="4"/>
  <c r="R339" i="4"/>
  <c r="N339" i="4"/>
  <c r="O339" i="4"/>
  <c r="P339" i="4"/>
  <c r="Q339" i="4"/>
  <c r="N338" i="4"/>
  <c r="O338" i="4"/>
  <c r="P338" i="4"/>
  <c r="Q338" i="4"/>
  <c r="R338" i="4"/>
  <c r="N337" i="4"/>
  <c r="O337" i="4"/>
  <c r="P337" i="4"/>
  <c r="Q337" i="4"/>
  <c r="R337" i="4"/>
  <c r="N336" i="4"/>
  <c r="P336" i="4"/>
  <c r="Q336" i="4"/>
  <c r="R336" i="4"/>
  <c r="O336" i="4"/>
  <c r="R335" i="4"/>
  <c r="Q335" i="4"/>
  <c r="P335" i="4"/>
  <c r="O335" i="4"/>
  <c r="N335" i="4"/>
  <c r="P334" i="4"/>
  <c r="R334" i="4"/>
  <c r="Q334" i="4"/>
  <c r="O334" i="4"/>
  <c r="N334" i="4"/>
  <c r="Q333" i="4"/>
  <c r="P333" i="4"/>
  <c r="O333" i="4"/>
  <c r="N333" i="4"/>
  <c r="R333" i="4"/>
  <c r="N332" i="4"/>
  <c r="O332" i="4"/>
  <c r="P332" i="4"/>
  <c r="Q332" i="4"/>
  <c r="R332" i="4"/>
  <c r="P331" i="4"/>
  <c r="Q331" i="4"/>
  <c r="R331" i="4"/>
  <c r="N331" i="4"/>
  <c r="O331" i="4"/>
  <c r="N330" i="4"/>
  <c r="O330" i="4"/>
  <c r="P330" i="4"/>
  <c r="Q330" i="4"/>
  <c r="R330" i="4"/>
  <c r="N329" i="4"/>
  <c r="R329" i="4"/>
  <c r="Q329" i="4"/>
  <c r="P329" i="4"/>
  <c r="O329" i="4"/>
  <c r="R328" i="4"/>
  <c r="Q328" i="4"/>
  <c r="O328" i="4"/>
  <c r="N328" i="4"/>
  <c r="P328" i="4"/>
  <c r="N327" i="4"/>
  <c r="O327" i="4"/>
  <c r="P327" i="4"/>
  <c r="Q327" i="4"/>
  <c r="R327" i="4"/>
  <c r="Q326" i="4"/>
  <c r="P326" i="4"/>
  <c r="O326" i="4"/>
  <c r="N326" i="4"/>
  <c r="R326" i="4"/>
  <c r="N325" i="4"/>
  <c r="R325" i="4"/>
  <c r="P325" i="4"/>
  <c r="Q325" i="4"/>
  <c r="O325" i="4"/>
  <c r="P324" i="4"/>
  <c r="Q324" i="4"/>
  <c r="R324" i="4"/>
  <c r="N324" i="4"/>
  <c r="O324" i="4"/>
  <c r="P323" i="4"/>
  <c r="R323" i="4"/>
  <c r="Q323" i="4"/>
  <c r="O323" i="4"/>
  <c r="N323" i="4"/>
  <c r="O322" i="4"/>
  <c r="R322" i="4"/>
  <c r="Q322" i="4"/>
  <c r="P322" i="4"/>
  <c r="N322" i="4"/>
  <c r="P321" i="4"/>
  <c r="Q321" i="4"/>
  <c r="R321" i="4"/>
  <c r="N321" i="4"/>
  <c r="O321" i="4"/>
  <c r="N320" i="4"/>
  <c r="O320" i="4"/>
  <c r="Q320" i="4"/>
  <c r="P320" i="4"/>
  <c r="R320" i="4"/>
  <c r="N319" i="4"/>
  <c r="O319" i="4"/>
  <c r="P319" i="4"/>
  <c r="Q319" i="4"/>
  <c r="R319" i="4"/>
  <c r="R318" i="4"/>
  <c r="N318" i="4"/>
  <c r="Q318" i="4"/>
  <c r="P318" i="4"/>
  <c r="O318" i="4"/>
  <c r="P317" i="4"/>
  <c r="R317" i="4"/>
  <c r="Q317" i="4"/>
  <c r="O317" i="4"/>
  <c r="N317" i="4"/>
  <c r="O316" i="4"/>
  <c r="R316" i="4"/>
  <c r="Q316" i="4"/>
  <c r="P316" i="4"/>
  <c r="N316" i="4"/>
  <c r="R315" i="4"/>
  <c r="Q315" i="4"/>
  <c r="P315" i="4"/>
  <c r="O315" i="4"/>
  <c r="N315" i="4"/>
  <c r="N314" i="4"/>
  <c r="R314" i="4"/>
  <c r="Q314" i="4"/>
  <c r="P314" i="4"/>
  <c r="O314" i="4"/>
  <c r="N313" i="4"/>
  <c r="R313" i="4"/>
  <c r="Q313" i="4"/>
  <c r="P313" i="4"/>
  <c r="O313" i="4"/>
  <c r="R312" i="4"/>
  <c r="Q312" i="4"/>
  <c r="P312" i="4"/>
  <c r="O312" i="4"/>
  <c r="N312" i="4"/>
  <c r="R311" i="4"/>
  <c r="Q311" i="4"/>
  <c r="P311" i="4"/>
  <c r="N311" i="4"/>
  <c r="O311" i="4"/>
  <c r="O310" i="4"/>
  <c r="N310" i="4"/>
  <c r="R310" i="4"/>
  <c r="Q310" i="4"/>
  <c r="P310" i="4"/>
  <c r="R309" i="4"/>
  <c r="Q309" i="4"/>
  <c r="O309" i="4"/>
  <c r="N309" i="4"/>
  <c r="P309" i="4"/>
  <c r="R308" i="4"/>
  <c r="Q308" i="4"/>
  <c r="P308" i="4"/>
  <c r="O308" i="4"/>
  <c r="N308" i="4"/>
  <c r="Q307" i="4"/>
  <c r="P307" i="4"/>
  <c r="O307" i="4"/>
  <c r="N307" i="4"/>
  <c r="R307" i="4"/>
  <c r="N306" i="4"/>
  <c r="R306" i="4"/>
  <c r="Q306" i="4"/>
  <c r="P306" i="4"/>
  <c r="O306" i="4"/>
  <c r="Q305" i="4"/>
  <c r="R305" i="4"/>
  <c r="N305" i="4"/>
  <c r="O305" i="4"/>
  <c r="P305" i="4"/>
  <c r="Q304" i="4"/>
  <c r="R304" i="4"/>
  <c r="P304" i="4"/>
  <c r="O304" i="4"/>
  <c r="N304" i="4"/>
  <c r="O303" i="4"/>
  <c r="N303" i="4"/>
  <c r="R303" i="4"/>
  <c r="Q303" i="4"/>
  <c r="P303" i="4"/>
  <c r="R302" i="4"/>
  <c r="N302" i="4"/>
  <c r="O302" i="4"/>
  <c r="P302" i="4"/>
  <c r="Q302" i="4"/>
  <c r="Q301" i="4"/>
  <c r="R301" i="4"/>
  <c r="P301" i="4"/>
  <c r="O301" i="4"/>
  <c r="N301" i="4"/>
  <c r="R300" i="4"/>
  <c r="Q300" i="4"/>
  <c r="P300" i="4"/>
  <c r="O300" i="4"/>
  <c r="N300" i="4"/>
  <c r="P299" i="4"/>
  <c r="O299" i="4"/>
  <c r="N299" i="4"/>
  <c r="Q299" i="4"/>
  <c r="R299" i="4"/>
  <c r="R298" i="4"/>
  <c r="N298" i="4"/>
  <c r="O298" i="4"/>
  <c r="P298" i="4"/>
  <c r="Q298" i="4"/>
  <c r="R297" i="4"/>
  <c r="Q297" i="4"/>
  <c r="P297" i="4"/>
  <c r="O297" i="4"/>
  <c r="N297" i="4"/>
  <c r="Q296" i="4"/>
  <c r="P296" i="4"/>
  <c r="O296" i="4"/>
  <c r="N296" i="4"/>
  <c r="R296" i="4"/>
  <c r="Q295" i="4"/>
  <c r="P295" i="4"/>
  <c r="O295" i="4"/>
  <c r="N295" i="4"/>
  <c r="R295" i="4"/>
  <c r="R294" i="4"/>
  <c r="Q294" i="4"/>
  <c r="P294" i="4"/>
  <c r="O294" i="4"/>
  <c r="N294" i="4"/>
  <c r="R293" i="4"/>
  <c r="Q293" i="4"/>
  <c r="P293" i="4"/>
  <c r="O293" i="4"/>
  <c r="N293" i="4"/>
  <c r="Q292" i="4"/>
  <c r="P292" i="4"/>
  <c r="O292" i="4"/>
  <c r="N292" i="4"/>
  <c r="R292" i="4"/>
  <c r="Q291" i="4"/>
  <c r="P291" i="4"/>
  <c r="O291" i="4"/>
  <c r="N291" i="4"/>
  <c r="R291" i="4"/>
  <c r="R290" i="4"/>
  <c r="Q290" i="4"/>
  <c r="P290" i="4"/>
  <c r="O290" i="4"/>
  <c r="N290" i="4"/>
  <c r="R289" i="4"/>
  <c r="Q289" i="4"/>
  <c r="P289" i="4"/>
  <c r="O289" i="4"/>
  <c r="N289" i="4"/>
  <c r="N288" i="4"/>
  <c r="O288" i="4"/>
  <c r="R288" i="4"/>
  <c r="Q288" i="4"/>
  <c r="P288" i="4"/>
  <c r="P287" i="4"/>
  <c r="Q287" i="4"/>
  <c r="R287" i="4"/>
  <c r="N287" i="4"/>
  <c r="O287" i="4"/>
  <c r="N286" i="4"/>
  <c r="R286" i="4"/>
  <c r="Q286" i="4"/>
  <c r="P286" i="4"/>
  <c r="O286" i="4"/>
  <c r="R285" i="4"/>
  <c r="Q285" i="4"/>
  <c r="P285" i="4"/>
  <c r="O285" i="4"/>
  <c r="N285" i="4"/>
  <c r="Q284" i="4"/>
  <c r="N284" i="4"/>
  <c r="P284" i="4"/>
  <c r="O284" i="4"/>
  <c r="R284" i="4"/>
  <c r="N283" i="4"/>
  <c r="O283" i="4"/>
  <c r="P283" i="4"/>
  <c r="Q283" i="4"/>
  <c r="R283" i="4"/>
  <c r="N282" i="4"/>
  <c r="Q282" i="4"/>
  <c r="P282" i="4"/>
  <c r="O282" i="4"/>
  <c r="R282" i="4"/>
  <c r="R281" i="4"/>
  <c r="Q281" i="4"/>
  <c r="P281" i="4"/>
  <c r="O281" i="4"/>
  <c r="N281" i="4"/>
  <c r="O280" i="4"/>
  <c r="N280" i="4"/>
  <c r="R280" i="4"/>
  <c r="Q280" i="4"/>
  <c r="P280" i="4"/>
  <c r="R279" i="4"/>
  <c r="O279" i="4"/>
  <c r="P279" i="4"/>
  <c r="Q279" i="4"/>
  <c r="N279" i="4"/>
  <c r="O278" i="4"/>
  <c r="P278" i="4"/>
  <c r="Q278" i="4"/>
  <c r="N278" i="4"/>
  <c r="R278" i="4"/>
  <c r="O277" i="4"/>
  <c r="R277" i="4"/>
  <c r="Q277" i="4"/>
  <c r="P277" i="4"/>
  <c r="N277" i="4"/>
  <c r="N276" i="4"/>
  <c r="R276" i="4"/>
  <c r="Q276" i="4"/>
  <c r="P276" i="4"/>
  <c r="O276" i="4"/>
  <c r="P275" i="4"/>
  <c r="N275" i="4"/>
  <c r="R275" i="4"/>
  <c r="Q275" i="4"/>
  <c r="O275" i="4"/>
  <c r="N274" i="4"/>
  <c r="R274" i="4"/>
  <c r="P274" i="4"/>
  <c r="O274" i="4"/>
  <c r="Q274" i="4"/>
  <c r="N273" i="4"/>
  <c r="O273" i="4"/>
  <c r="R273" i="4"/>
  <c r="Q273" i="4"/>
  <c r="P273" i="4"/>
  <c r="R272" i="4"/>
  <c r="N272" i="4"/>
  <c r="Q272" i="4"/>
  <c r="P272" i="4"/>
  <c r="O272" i="4"/>
  <c r="O271" i="4"/>
  <c r="R271" i="4"/>
  <c r="Q271" i="4"/>
  <c r="P271" i="4"/>
  <c r="N271" i="4"/>
  <c r="N270" i="4"/>
  <c r="R270" i="4"/>
  <c r="Q270" i="4"/>
  <c r="P270" i="4"/>
  <c r="O270" i="4"/>
  <c r="O269" i="4"/>
  <c r="R269" i="4"/>
  <c r="Q269" i="4"/>
  <c r="N269" i="4"/>
  <c r="Q268" i="4"/>
  <c r="N268" i="4"/>
  <c r="R268" i="4"/>
  <c r="P268" i="4"/>
  <c r="O268" i="4"/>
  <c r="R267" i="4"/>
  <c r="N267" i="4"/>
  <c r="P267" i="4"/>
  <c r="Q267" i="4"/>
  <c r="O267" i="4"/>
  <c r="Q266" i="4"/>
  <c r="O266" i="4"/>
  <c r="N266" i="4"/>
  <c r="P266" i="4"/>
  <c r="R266" i="4"/>
  <c r="N265" i="4"/>
  <c r="O265" i="4"/>
  <c r="P265" i="4"/>
  <c r="Q265" i="4"/>
  <c r="R265" i="4"/>
  <c r="R264" i="4"/>
  <c r="N264" i="4"/>
  <c r="Q264" i="4"/>
  <c r="P264" i="4"/>
  <c r="O264" i="4"/>
  <c r="O263" i="4"/>
  <c r="P263" i="4"/>
  <c r="N263" i="4"/>
  <c r="R263" i="4"/>
  <c r="Q263" i="4"/>
  <c r="N262" i="4"/>
  <c r="O262" i="4"/>
  <c r="R262" i="4"/>
  <c r="Q262" i="4"/>
  <c r="P262" i="4"/>
  <c r="R261" i="4"/>
  <c r="Q261" i="4"/>
  <c r="P261" i="4"/>
  <c r="O261" i="4"/>
  <c r="N261" i="4"/>
  <c r="O260" i="4"/>
  <c r="N260" i="4"/>
  <c r="P260" i="4"/>
  <c r="Q260" i="4"/>
  <c r="R260" i="4"/>
  <c r="O259" i="4"/>
  <c r="P259" i="4"/>
  <c r="Q259" i="4"/>
  <c r="N259" i="4"/>
  <c r="R259" i="4"/>
  <c r="Q258" i="4"/>
  <c r="R258" i="4"/>
  <c r="P258" i="4"/>
  <c r="O258" i="4"/>
  <c r="N258" i="4"/>
  <c r="P257" i="4"/>
  <c r="R257" i="4"/>
  <c r="Q257" i="4"/>
  <c r="O257" i="4"/>
  <c r="N257" i="4"/>
  <c r="R256" i="4"/>
  <c r="Q256" i="4"/>
  <c r="O256" i="4"/>
  <c r="N256" i="4"/>
  <c r="P256" i="4"/>
  <c r="N255" i="4"/>
  <c r="O255" i="4"/>
  <c r="P255" i="4"/>
  <c r="Q255" i="4"/>
  <c r="R255" i="4"/>
  <c r="O254" i="4"/>
  <c r="P254" i="4"/>
  <c r="Q254" i="4"/>
  <c r="R254" i="4"/>
  <c r="N254" i="4"/>
  <c r="N253" i="4"/>
  <c r="Q253" i="4"/>
  <c r="R253" i="4"/>
  <c r="P253" i="4"/>
  <c r="O253" i="4"/>
  <c r="P252" i="4"/>
  <c r="Q252" i="4"/>
  <c r="R252" i="4"/>
  <c r="N252" i="4"/>
  <c r="O252" i="4"/>
  <c r="O251" i="4"/>
  <c r="R251" i="4"/>
  <c r="N251" i="4"/>
  <c r="P251" i="4"/>
  <c r="Q251" i="4"/>
  <c r="N250" i="4"/>
  <c r="R250" i="4"/>
  <c r="Q250" i="4"/>
  <c r="P250" i="4"/>
  <c r="O250" i="4"/>
  <c r="R249" i="4"/>
  <c r="Q249" i="4"/>
  <c r="P249" i="4"/>
  <c r="O249" i="4"/>
  <c r="N249" i="4"/>
  <c r="N248" i="4"/>
  <c r="Q248" i="4"/>
  <c r="P248" i="4"/>
  <c r="R248" i="4"/>
  <c r="O248" i="4"/>
  <c r="O247" i="4"/>
  <c r="N247" i="4"/>
  <c r="Q246" i="4"/>
  <c r="P246" i="4"/>
  <c r="O246" i="4"/>
  <c r="N246" i="4"/>
  <c r="R246" i="4"/>
  <c r="Q245" i="4"/>
  <c r="O245" i="4"/>
  <c r="P245" i="4"/>
  <c r="N245" i="4"/>
  <c r="R245" i="4"/>
  <c r="O244" i="4"/>
  <c r="Q244" i="4"/>
  <c r="N244" i="4"/>
  <c r="R244" i="4"/>
  <c r="P244" i="4"/>
  <c r="O243" i="4"/>
  <c r="P243" i="4"/>
  <c r="R243" i="4"/>
  <c r="Q243" i="4"/>
  <c r="N243" i="4"/>
  <c r="N242" i="4"/>
  <c r="P242" i="4"/>
  <c r="Q242" i="4"/>
  <c r="R242" i="4"/>
  <c r="O242" i="4"/>
  <c r="N241" i="4"/>
  <c r="O241" i="4"/>
  <c r="P241" i="4"/>
  <c r="R241" i="4"/>
  <c r="Q241" i="4"/>
  <c r="Q240" i="4"/>
  <c r="R240" i="4"/>
  <c r="P240" i="4"/>
  <c r="O240" i="4"/>
  <c r="N240" i="4"/>
  <c r="N239" i="4"/>
  <c r="O239" i="4"/>
  <c r="P239" i="4"/>
  <c r="R239" i="4"/>
  <c r="Q239" i="4"/>
  <c r="R238" i="4"/>
  <c r="Q238" i="4"/>
  <c r="O238" i="4"/>
  <c r="N238" i="4"/>
  <c r="P238" i="4"/>
  <c r="R237" i="4"/>
  <c r="Q237" i="4"/>
  <c r="P237" i="4"/>
  <c r="O237" i="4"/>
  <c r="N237" i="4"/>
  <c r="N236" i="4"/>
  <c r="R236" i="4"/>
  <c r="Q236" i="4"/>
  <c r="P236" i="4"/>
  <c r="O236" i="4"/>
  <c r="Q235" i="4"/>
  <c r="R235" i="4"/>
  <c r="P235" i="4"/>
  <c r="O235" i="4"/>
  <c r="N235" i="4"/>
  <c r="R234" i="4"/>
  <c r="Q234" i="4"/>
  <c r="P234" i="4"/>
  <c r="O234" i="4"/>
  <c r="N234" i="4"/>
  <c r="N233" i="4"/>
  <c r="O233" i="4"/>
  <c r="P233" i="4"/>
  <c r="Q233" i="4"/>
  <c r="R233" i="4"/>
  <c r="N232" i="4"/>
  <c r="O232" i="4"/>
  <c r="P232" i="4"/>
  <c r="Q232" i="4"/>
  <c r="R232" i="4"/>
  <c r="R231" i="4"/>
  <c r="Q231" i="4"/>
  <c r="P231" i="4"/>
  <c r="O231" i="4"/>
  <c r="N231" i="4"/>
  <c r="N230" i="4"/>
  <c r="R230" i="4"/>
  <c r="Q230" i="4"/>
  <c r="P230" i="4"/>
  <c r="O230" i="4"/>
  <c r="Q229" i="4"/>
  <c r="R229" i="4"/>
  <c r="P229" i="4"/>
  <c r="O229" i="4"/>
  <c r="N229" i="4"/>
  <c r="R228" i="4"/>
  <c r="Q228" i="4"/>
  <c r="P228" i="4"/>
  <c r="O228" i="4"/>
  <c r="N228" i="4"/>
  <c r="R227" i="4"/>
  <c r="O227" i="4"/>
  <c r="Q227" i="4"/>
  <c r="P227" i="4"/>
  <c r="N227" i="4"/>
  <c r="R226" i="4"/>
  <c r="Q226" i="4"/>
  <c r="P226" i="4"/>
  <c r="O226" i="4"/>
  <c r="N226" i="4"/>
  <c r="R225" i="4"/>
  <c r="Q225" i="4"/>
  <c r="P225" i="4"/>
  <c r="O225" i="4"/>
  <c r="N225" i="4"/>
  <c r="Q224" i="4"/>
  <c r="P224" i="4"/>
  <c r="O224" i="4"/>
  <c r="N224" i="4"/>
  <c r="R224" i="4"/>
  <c r="R223" i="4"/>
  <c r="P223" i="4"/>
  <c r="Q223" i="4"/>
  <c r="O223" i="4"/>
  <c r="N223" i="4"/>
  <c r="R222" i="4"/>
  <c r="Q222" i="4"/>
  <c r="P222" i="4"/>
  <c r="O222" i="4"/>
  <c r="N222" i="4"/>
  <c r="N221" i="4"/>
  <c r="Q221" i="4"/>
  <c r="O221" i="4"/>
  <c r="P221" i="4"/>
  <c r="R221" i="4"/>
  <c r="Q220" i="4"/>
  <c r="P220" i="4"/>
  <c r="N220" i="4"/>
  <c r="O220" i="4"/>
  <c r="R220" i="4"/>
  <c r="Q219" i="4"/>
  <c r="R219" i="4"/>
  <c r="O219" i="4"/>
  <c r="N219" i="4"/>
  <c r="P219" i="4"/>
  <c r="R218" i="4"/>
  <c r="Q218" i="4"/>
  <c r="P218" i="4"/>
  <c r="O218" i="4"/>
  <c r="N218" i="4"/>
  <c r="R217" i="4"/>
  <c r="Q217" i="4"/>
  <c r="P217" i="4"/>
  <c r="O217" i="4"/>
  <c r="N217" i="4"/>
  <c r="R216" i="4"/>
  <c r="Q216" i="4"/>
  <c r="P216" i="4"/>
  <c r="N216" i="4"/>
  <c r="O216" i="4"/>
  <c r="N215" i="4"/>
  <c r="O215" i="4"/>
  <c r="P215" i="4"/>
  <c r="Q215" i="4"/>
  <c r="R215" i="4"/>
  <c r="N214" i="4"/>
  <c r="P214" i="4"/>
  <c r="O214" i="4"/>
  <c r="R214" i="4"/>
  <c r="Q214" i="4"/>
  <c r="Q213" i="4"/>
  <c r="P213" i="4"/>
  <c r="O213" i="4"/>
  <c r="N213" i="4"/>
  <c r="R213" i="4"/>
  <c r="O212" i="4"/>
  <c r="N212" i="4"/>
  <c r="Q212" i="4"/>
  <c r="R212" i="4"/>
  <c r="P212" i="4"/>
  <c r="O211" i="4"/>
  <c r="Q211" i="4"/>
  <c r="R211" i="4"/>
  <c r="N211" i="4"/>
  <c r="P211" i="4"/>
  <c r="R210" i="4"/>
  <c r="N210" i="4"/>
  <c r="O210" i="4"/>
  <c r="P210" i="4"/>
  <c r="Q210" i="4"/>
  <c r="N209" i="4"/>
  <c r="O209" i="4"/>
  <c r="P209" i="4"/>
  <c r="Q209" i="4"/>
  <c r="R209" i="4"/>
  <c r="P208" i="4"/>
  <c r="N208" i="4"/>
  <c r="O208" i="4"/>
  <c r="Q208" i="4"/>
  <c r="R208" i="4"/>
  <c r="R207" i="4"/>
  <c r="N207" i="4"/>
  <c r="O207" i="4"/>
  <c r="P207" i="4"/>
  <c r="Q207" i="4"/>
  <c r="Q206" i="4"/>
  <c r="N206" i="4"/>
  <c r="O206" i="4"/>
  <c r="P206" i="4"/>
  <c r="R206" i="4"/>
  <c r="Q205" i="4"/>
  <c r="R205" i="4"/>
  <c r="P205" i="4"/>
  <c r="O205" i="4"/>
  <c r="N205" i="4"/>
  <c r="R204" i="4"/>
  <c r="Q204" i="4"/>
  <c r="P204" i="4"/>
  <c r="O204" i="4"/>
  <c r="N204" i="4"/>
  <c r="R203" i="4"/>
  <c r="P203" i="4"/>
  <c r="O203" i="4"/>
  <c r="N203" i="4"/>
  <c r="Q203" i="4"/>
  <c r="O202" i="4"/>
  <c r="P202" i="4"/>
  <c r="Q202" i="4"/>
  <c r="R202" i="4"/>
  <c r="N202" i="4"/>
  <c r="R201" i="4"/>
  <c r="Q201" i="4"/>
  <c r="P201" i="4"/>
  <c r="O201" i="4"/>
  <c r="N201" i="4"/>
  <c r="O200" i="4"/>
  <c r="N200" i="4"/>
  <c r="P200" i="4"/>
  <c r="R200" i="4"/>
  <c r="Q200" i="4"/>
  <c r="R199" i="4"/>
  <c r="Q199" i="4"/>
  <c r="P199" i="4"/>
  <c r="O199" i="4"/>
  <c r="N199" i="4"/>
  <c r="R198" i="4"/>
  <c r="O198" i="4"/>
  <c r="N198" i="4"/>
  <c r="P198" i="4"/>
  <c r="Q198" i="4"/>
  <c r="P197" i="4"/>
  <c r="Q197" i="4"/>
  <c r="R197" i="4"/>
  <c r="O197" i="4"/>
  <c r="N197" i="4"/>
  <c r="N196" i="4"/>
  <c r="R196" i="4"/>
  <c r="Q196" i="4"/>
  <c r="P196" i="4"/>
  <c r="O196" i="4"/>
  <c r="Q195" i="4"/>
  <c r="P195" i="4"/>
  <c r="N195" i="4"/>
  <c r="R195" i="4"/>
  <c r="O195" i="4"/>
  <c r="P194" i="4"/>
  <c r="Q194" i="4"/>
  <c r="R194" i="4"/>
  <c r="N194" i="4"/>
  <c r="O194" i="4"/>
  <c r="N193" i="4"/>
  <c r="O193" i="4"/>
  <c r="R193" i="4"/>
  <c r="P193" i="4"/>
  <c r="Q193" i="4"/>
  <c r="P192" i="4"/>
  <c r="R192" i="4"/>
  <c r="N192" i="4"/>
  <c r="O192" i="4"/>
  <c r="Q192" i="4"/>
  <c r="N191" i="4"/>
  <c r="O191" i="4"/>
  <c r="P191" i="4"/>
  <c r="Q191" i="4"/>
  <c r="R191" i="4"/>
  <c r="R190" i="4"/>
  <c r="Q190" i="4"/>
  <c r="P190" i="4"/>
  <c r="O190" i="4"/>
  <c r="N190" i="4"/>
  <c r="Q189" i="4"/>
  <c r="P189" i="4"/>
  <c r="O189" i="4"/>
  <c r="R189" i="4"/>
  <c r="N189" i="4"/>
  <c r="R188" i="4"/>
  <c r="Q188" i="4"/>
  <c r="P188" i="4"/>
  <c r="N188" i="4"/>
  <c r="O188" i="4"/>
  <c r="N187" i="4"/>
  <c r="P187" i="4"/>
  <c r="O187" i="4"/>
  <c r="Q187" i="4"/>
  <c r="R187" i="4"/>
  <c r="O186" i="4"/>
  <c r="N186" i="4"/>
  <c r="P186" i="4"/>
  <c r="Q186" i="4"/>
  <c r="R186" i="4"/>
  <c r="O185" i="4"/>
  <c r="N185" i="4"/>
  <c r="Q185" i="4"/>
  <c r="R185" i="4"/>
  <c r="P185" i="4"/>
  <c r="R184" i="4"/>
  <c r="Q184" i="4"/>
  <c r="P184" i="4"/>
  <c r="O184" i="4"/>
  <c r="N184" i="4"/>
  <c r="R183" i="4"/>
  <c r="Q183" i="4"/>
  <c r="P183" i="4"/>
  <c r="O183" i="4"/>
  <c r="N183" i="4"/>
  <c r="P182" i="4"/>
  <c r="Q182" i="4"/>
  <c r="R182" i="4"/>
  <c r="N182" i="4"/>
  <c r="O182" i="4"/>
  <c r="R181" i="4"/>
  <c r="P181" i="4"/>
  <c r="Q181" i="4"/>
  <c r="N181" i="4"/>
  <c r="O181" i="4"/>
  <c r="N180" i="4"/>
  <c r="O180" i="4"/>
  <c r="P180" i="4"/>
  <c r="Q180" i="4"/>
  <c r="R180" i="4"/>
  <c r="N179" i="4"/>
  <c r="P179" i="4"/>
  <c r="Q179" i="4"/>
  <c r="R179" i="4"/>
  <c r="O179" i="4"/>
  <c r="P178" i="4"/>
  <c r="O178" i="4"/>
  <c r="N178" i="4"/>
  <c r="R178" i="4"/>
  <c r="Q178" i="4"/>
  <c r="Q177" i="4"/>
  <c r="P177" i="4"/>
  <c r="N177" i="4"/>
  <c r="O177" i="4"/>
  <c r="R177" i="4"/>
  <c r="Q176" i="4"/>
  <c r="R176" i="4"/>
  <c r="N176" i="4"/>
  <c r="O176" i="4"/>
  <c r="P176" i="4"/>
  <c r="P175" i="4"/>
  <c r="R175" i="4"/>
  <c r="N175" i="4"/>
  <c r="Q175" i="4"/>
  <c r="O175" i="4"/>
  <c r="R174" i="4"/>
  <c r="N174" i="4"/>
  <c r="O174" i="4"/>
  <c r="P174" i="4"/>
  <c r="Q174" i="4"/>
  <c r="Q173" i="4"/>
  <c r="R173" i="4"/>
  <c r="P173" i="4"/>
  <c r="N173" i="4"/>
  <c r="O173" i="4"/>
  <c r="O172" i="4"/>
  <c r="R172" i="4"/>
  <c r="Q172" i="4"/>
  <c r="P172" i="4"/>
  <c r="N172" i="4"/>
  <c r="Q171" i="4"/>
  <c r="O171" i="4"/>
  <c r="N171" i="4"/>
  <c r="P171" i="4"/>
  <c r="R171" i="4"/>
  <c r="N170" i="4"/>
  <c r="R170" i="4"/>
  <c r="Q170" i="4"/>
  <c r="P170" i="4"/>
  <c r="O170" i="4"/>
  <c r="N169" i="4"/>
  <c r="R169" i="4"/>
  <c r="Q169" i="4"/>
  <c r="P169" i="4"/>
  <c r="O169" i="4"/>
  <c r="O168" i="4"/>
  <c r="N168" i="4"/>
  <c r="Q168" i="4"/>
  <c r="R168" i="4"/>
  <c r="P168" i="4"/>
  <c r="Q167" i="4"/>
  <c r="R167" i="4"/>
  <c r="P167" i="4"/>
  <c r="O167" i="4"/>
  <c r="N167" i="4"/>
  <c r="N166" i="4"/>
  <c r="R166" i="4"/>
  <c r="Q166" i="4"/>
  <c r="P166" i="4"/>
  <c r="O166" i="4"/>
  <c r="R165" i="4"/>
  <c r="Q165" i="4"/>
  <c r="P165" i="4"/>
  <c r="O165" i="4"/>
  <c r="N165" i="4"/>
  <c r="Q164" i="4"/>
  <c r="P164" i="4"/>
  <c r="O164" i="4"/>
  <c r="N164" i="4"/>
  <c r="R164" i="4"/>
  <c r="P163" i="4"/>
  <c r="Q163" i="4"/>
  <c r="R163" i="4"/>
  <c r="N163" i="4"/>
  <c r="O163" i="4"/>
  <c r="N162" i="4"/>
  <c r="R162" i="4"/>
  <c r="Q162" i="4"/>
  <c r="P162" i="4"/>
  <c r="O162" i="4"/>
  <c r="O161" i="4"/>
  <c r="P161" i="4"/>
  <c r="Q161" i="4"/>
  <c r="N161" i="4"/>
  <c r="R161" i="4"/>
  <c r="R160" i="4"/>
  <c r="Q160" i="4"/>
  <c r="O160" i="4"/>
  <c r="N160" i="4"/>
  <c r="P160" i="4"/>
  <c r="R159" i="4"/>
  <c r="O159" i="4"/>
  <c r="P159" i="4"/>
  <c r="Q159" i="4"/>
  <c r="N159" i="4"/>
  <c r="P158" i="4"/>
  <c r="O158" i="4"/>
  <c r="Q158" i="4"/>
  <c r="R158" i="4"/>
  <c r="N158" i="4"/>
  <c r="P157" i="4"/>
  <c r="N157" i="4"/>
  <c r="O157" i="4"/>
  <c r="R157" i="4"/>
  <c r="Q157" i="4"/>
  <c r="N156" i="4"/>
  <c r="P156" i="4"/>
  <c r="Q156" i="4"/>
  <c r="R156" i="4"/>
  <c r="O156" i="4"/>
  <c r="R155" i="4"/>
  <c r="Q155" i="4"/>
  <c r="P155" i="4"/>
  <c r="N155" i="4"/>
  <c r="O155" i="4"/>
  <c r="P154" i="4"/>
  <c r="R154" i="4"/>
  <c r="Q154" i="4"/>
  <c r="N154" i="4"/>
  <c r="O154" i="4"/>
  <c r="R153" i="4"/>
  <c r="Q153" i="4"/>
  <c r="P153" i="4"/>
  <c r="O153" i="4"/>
  <c r="N153" i="4"/>
  <c r="Q152" i="4"/>
  <c r="R152" i="4"/>
  <c r="P152" i="4"/>
  <c r="O152" i="4"/>
  <c r="N152" i="4"/>
  <c r="Q151" i="4"/>
  <c r="N151" i="4"/>
  <c r="P151" i="4"/>
  <c r="O151" i="4"/>
  <c r="R151" i="4"/>
  <c r="O150" i="4"/>
  <c r="N150" i="4"/>
  <c r="R150" i="4"/>
  <c r="Q150" i="4"/>
  <c r="P150" i="4"/>
  <c r="R149" i="4"/>
  <c r="Q149" i="4"/>
  <c r="P149" i="4"/>
  <c r="O149" i="4"/>
  <c r="N149" i="4"/>
  <c r="Q148" i="4"/>
  <c r="P148" i="4"/>
  <c r="O148" i="4"/>
  <c r="N148" i="4"/>
  <c r="R148" i="4"/>
  <c r="N147" i="4"/>
  <c r="O147" i="4"/>
  <c r="P147" i="4"/>
  <c r="R147" i="4"/>
  <c r="Q147" i="4"/>
  <c r="Q146" i="4"/>
  <c r="P146" i="4"/>
  <c r="R146" i="4"/>
  <c r="O146" i="4"/>
  <c r="N146" i="4"/>
  <c r="P145" i="4"/>
  <c r="R145" i="4"/>
  <c r="N145" i="4"/>
  <c r="O145" i="4"/>
  <c r="Q145" i="4"/>
  <c r="O144" i="4"/>
  <c r="P144" i="4"/>
  <c r="Q144" i="4"/>
  <c r="R144" i="4"/>
  <c r="N144" i="4"/>
  <c r="Q143" i="4"/>
  <c r="O143" i="4"/>
  <c r="R143" i="4"/>
  <c r="N143" i="4"/>
  <c r="P143" i="4"/>
  <c r="Q142" i="4"/>
  <c r="P142" i="4"/>
  <c r="O142" i="4"/>
  <c r="N142" i="4"/>
  <c r="R142" i="4"/>
  <c r="R141" i="4"/>
  <c r="Q141" i="4"/>
  <c r="P141" i="4"/>
  <c r="O141" i="4"/>
  <c r="N141" i="4"/>
  <c r="R140" i="4"/>
  <c r="Q140" i="4"/>
  <c r="P140" i="4"/>
  <c r="O140" i="4"/>
  <c r="N140" i="4"/>
  <c r="R139" i="4"/>
  <c r="Q139" i="4"/>
  <c r="P139" i="4"/>
  <c r="O139" i="4"/>
  <c r="N139" i="4"/>
  <c r="R138" i="4"/>
  <c r="Q138" i="4"/>
  <c r="P138" i="4"/>
  <c r="O138" i="4"/>
  <c r="N138" i="4"/>
  <c r="R137" i="4"/>
  <c r="Q137" i="4"/>
  <c r="P137" i="4"/>
  <c r="O137" i="4"/>
  <c r="N137" i="4"/>
  <c r="O136" i="4"/>
  <c r="R136" i="4"/>
  <c r="Q136" i="4"/>
  <c r="P136" i="4"/>
  <c r="N136" i="4"/>
  <c r="P135" i="4"/>
  <c r="R135" i="4"/>
  <c r="Q135" i="4"/>
  <c r="N135" i="4"/>
  <c r="O135" i="4"/>
  <c r="Q134" i="4"/>
  <c r="R134" i="4"/>
  <c r="P134" i="4"/>
  <c r="O134" i="4"/>
  <c r="N134" i="4"/>
  <c r="N133" i="4"/>
  <c r="R133" i="4"/>
  <c r="Q133" i="4"/>
  <c r="P133" i="4"/>
  <c r="O133" i="4"/>
  <c r="R132" i="4"/>
  <c r="N132" i="4"/>
  <c r="O132" i="4"/>
  <c r="P132" i="4"/>
  <c r="Q132" i="4"/>
  <c r="Q131" i="4"/>
  <c r="R131" i="4"/>
  <c r="N131" i="4"/>
  <c r="O131" i="4"/>
  <c r="P131" i="4"/>
  <c r="P130" i="4"/>
  <c r="O130" i="4"/>
  <c r="R130" i="4"/>
  <c r="N130" i="4"/>
  <c r="Q130" i="4"/>
  <c r="N129" i="4"/>
  <c r="Q129" i="4"/>
  <c r="R129" i="4"/>
  <c r="P129" i="4"/>
  <c r="O129" i="4"/>
  <c r="N128" i="4"/>
  <c r="O128" i="4"/>
  <c r="P128" i="4"/>
  <c r="Q128" i="4"/>
  <c r="R128" i="4"/>
  <c r="Q127" i="4"/>
  <c r="N127" i="4"/>
  <c r="P127" i="4"/>
  <c r="R127" i="4"/>
  <c r="O127" i="4"/>
  <c r="O126" i="4"/>
  <c r="N126" i="4"/>
  <c r="R126" i="4"/>
  <c r="Q126" i="4"/>
  <c r="P126" i="4"/>
  <c r="P125" i="4"/>
  <c r="N125" i="4"/>
  <c r="O125" i="4"/>
  <c r="R125" i="4"/>
  <c r="Q125" i="4"/>
  <c r="N124" i="4"/>
  <c r="O124" i="4"/>
  <c r="P124" i="4"/>
  <c r="Q124" i="4"/>
  <c r="R124" i="4"/>
  <c r="N123" i="4"/>
  <c r="O123" i="4"/>
  <c r="Q123" i="4"/>
  <c r="R123" i="4"/>
  <c r="P123" i="4"/>
  <c r="N122" i="4"/>
  <c r="O122" i="4"/>
  <c r="P122" i="4"/>
  <c r="Q122" i="4"/>
  <c r="R122" i="4"/>
  <c r="Q121" i="4"/>
  <c r="R121" i="4"/>
  <c r="P121" i="4"/>
  <c r="O121" i="4"/>
  <c r="N121" i="4"/>
  <c r="N120" i="4"/>
  <c r="O120" i="4"/>
  <c r="P120" i="4"/>
  <c r="Q120" i="4"/>
  <c r="R120" i="4"/>
  <c r="R119" i="4"/>
  <c r="Q119" i="4"/>
  <c r="P119" i="4"/>
  <c r="O119" i="4"/>
  <c r="N119" i="4"/>
  <c r="R118" i="4"/>
  <c r="Q118" i="4"/>
  <c r="P118" i="4"/>
  <c r="O118" i="4"/>
  <c r="N118" i="4"/>
  <c r="N117" i="4"/>
  <c r="R117" i="4"/>
  <c r="Q117" i="4"/>
  <c r="P117" i="4"/>
  <c r="O117" i="4"/>
  <c r="N116" i="4"/>
  <c r="O116" i="4"/>
  <c r="R116" i="4"/>
  <c r="P116" i="4"/>
  <c r="Q116" i="4"/>
  <c r="N115" i="4"/>
  <c r="O115" i="4"/>
  <c r="P115" i="4"/>
  <c r="Q115" i="4"/>
  <c r="R115" i="4"/>
  <c r="N114" i="4"/>
  <c r="O114" i="4"/>
  <c r="P114" i="4"/>
  <c r="Q114" i="4"/>
  <c r="R114" i="4"/>
  <c r="R113" i="4"/>
  <c r="N113" i="4"/>
  <c r="O113" i="4"/>
  <c r="P113" i="4"/>
  <c r="Q113" i="4"/>
  <c r="P112" i="4"/>
  <c r="O112" i="4"/>
  <c r="N112" i="4"/>
  <c r="R112" i="4"/>
  <c r="Q112" i="4"/>
  <c r="N111" i="4"/>
  <c r="R111" i="4"/>
  <c r="Q111" i="4"/>
  <c r="P111" i="4"/>
  <c r="O111" i="4"/>
  <c r="R110" i="4"/>
  <c r="Q110" i="4"/>
  <c r="P110" i="4"/>
  <c r="O110" i="4"/>
  <c r="N110" i="4"/>
  <c r="Q109" i="4"/>
  <c r="O109" i="4"/>
  <c r="N109" i="4"/>
  <c r="P109" i="4"/>
  <c r="R109" i="4"/>
  <c r="O108" i="4"/>
  <c r="N108" i="4"/>
  <c r="P108" i="4"/>
  <c r="Q108" i="4"/>
  <c r="R108" i="4"/>
  <c r="O107" i="4"/>
  <c r="N107" i="4"/>
  <c r="P107" i="4"/>
  <c r="Q107" i="4"/>
  <c r="R107" i="4"/>
  <c r="R106" i="4"/>
  <c r="Q106" i="4"/>
  <c r="O106" i="4"/>
  <c r="N106" i="4"/>
  <c r="P106" i="4"/>
  <c r="N105" i="4"/>
  <c r="O105" i="4"/>
  <c r="P105" i="4"/>
  <c r="Q105" i="4"/>
  <c r="R105" i="4"/>
  <c r="O104" i="4"/>
  <c r="N104" i="4"/>
  <c r="R104" i="4"/>
  <c r="Q104" i="4"/>
  <c r="P104" i="4"/>
  <c r="O103" i="4"/>
  <c r="P103" i="4"/>
  <c r="Q103" i="4"/>
  <c r="R103" i="4"/>
  <c r="N103" i="4"/>
  <c r="Q102" i="4"/>
  <c r="P102" i="4"/>
  <c r="O102" i="4"/>
  <c r="N102" i="4"/>
  <c r="R102" i="4"/>
  <c r="R101" i="4"/>
  <c r="Q101" i="4"/>
  <c r="P101" i="4"/>
  <c r="O101" i="4"/>
  <c r="N101" i="4"/>
  <c r="N100" i="4"/>
  <c r="R100" i="4"/>
  <c r="Q100" i="4"/>
  <c r="P100" i="4"/>
  <c r="O100" i="4"/>
  <c r="R99" i="4"/>
  <c r="N99" i="4"/>
  <c r="O99" i="4"/>
  <c r="P99" i="4"/>
  <c r="Q99" i="4"/>
  <c r="N98" i="4"/>
  <c r="O98" i="4"/>
  <c r="Q98" i="4"/>
  <c r="R98" i="4"/>
  <c r="P98" i="4"/>
  <c r="O97" i="4"/>
  <c r="N97" i="4"/>
  <c r="R97" i="4"/>
  <c r="Q97" i="4"/>
  <c r="P97" i="4"/>
  <c r="R96" i="4"/>
  <c r="Q96" i="4"/>
  <c r="P96" i="4"/>
  <c r="O96" i="4"/>
  <c r="N96" i="4"/>
  <c r="R95" i="4"/>
  <c r="Q95" i="4"/>
  <c r="P95" i="4"/>
  <c r="O95" i="4"/>
  <c r="N95" i="4"/>
  <c r="N94" i="4"/>
  <c r="O94" i="4"/>
  <c r="P94" i="4"/>
  <c r="Q94" i="4"/>
  <c r="R94" i="4"/>
  <c r="Q93" i="4"/>
  <c r="P93" i="4"/>
  <c r="N93" i="4"/>
  <c r="O93" i="4"/>
  <c r="R93" i="4"/>
  <c r="P92" i="4"/>
  <c r="O92" i="4"/>
  <c r="R92" i="4"/>
  <c r="Q92" i="4"/>
  <c r="N92" i="4"/>
  <c r="O91" i="4"/>
  <c r="N91" i="4"/>
  <c r="R91" i="4"/>
  <c r="Q91" i="4"/>
  <c r="P91" i="4"/>
  <c r="Q90" i="4"/>
  <c r="P90" i="4"/>
  <c r="R90" i="4"/>
  <c r="O90" i="4"/>
  <c r="N90" i="4"/>
  <c r="R89" i="4"/>
  <c r="Q89" i="4"/>
  <c r="P89" i="4"/>
  <c r="O89" i="4"/>
  <c r="N89" i="4"/>
  <c r="N88" i="4"/>
  <c r="R88" i="4"/>
  <c r="Q88" i="4"/>
  <c r="P88" i="4"/>
  <c r="O88" i="4"/>
  <c r="R87" i="4"/>
  <c r="P87" i="4"/>
  <c r="O87" i="4"/>
  <c r="N87" i="4"/>
  <c r="Q87" i="4"/>
  <c r="N86" i="4"/>
  <c r="O86" i="4"/>
  <c r="P86" i="4"/>
  <c r="Q86" i="4"/>
  <c r="R86" i="4"/>
  <c r="O85" i="4"/>
  <c r="P85" i="4"/>
  <c r="Q85" i="4"/>
  <c r="R85" i="4"/>
  <c r="N85" i="4"/>
  <c r="R84" i="4"/>
  <c r="O84" i="4"/>
  <c r="N84" i="4"/>
  <c r="P84" i="4"/>
  <c r="Q84" i="4"/>
  <c r="N83" i="4"/>
  <c r="R83" i="4"/>
  <c r="O83" i="4"/>
  <c r="P83" i="4"/>
  <c r="Q83" i="4"/>
  <c r="O82" i="4"/>
  <c r="N82" i="4"/>
  <c r="Q82" i="4"/>
  <c r="P82" i="4"/>
  <c r="R82" i="4"/>
  <c r="R81" i="4"/>
  <c r="Q81" i="4"/>
  <c r="P81" i="4"/>
  <c r="O81" i="4"/>
  <c r="N81" i="4"/>
  <c r="P80" i="4"/>
  <c r="O80" i="4"/>
  <c r="N80" i="4"/>
  <c r="R80" i="4"/>
  <c r="Q80" i="4"/>
  <c r="R79" i="4"/>
  <c r="P79" i="4"/>
  <c r="O79" i="4"/>
  <c r="N79" i="4"/>
  <c r="Q79" i="4"/>
  <c r="N78" i="4"/>
  <c r="P78" i="4"/>
  <c r="R78" i="4"/>
  <c r="O78" i="4"/>
  <c r="Q78" i="4"/>
  <c r="O77" i="4"/>
  <c r="Q77" i="4"/>
  <c r="N77" i="4"/>
  <c r="P77" i="4"/>
  <c r="R77" i="4"/>
  <c r="O76" i="4"/>
  <c r="R76" i="4"/>
  <c r="P76" i="4"/>
  <c r="N76" i="4"/>
  <c r="Q76" i="4"/>
  <c r="Q75" i="4"/>
  <c r="O75" i="4"/>
  <c r="R75" i="4"/>
  <c r="N75" i="4"/>
  <c r="P75" i="4"/>
  <c r="Q74" i="4"/>
  <c r="P74" i="4"/>
  <c r="O74" i="4"/>
  <c r="R74" i="4"/>
  <c r="N74" i="4"/>
  <c r="N73" i="4"/>
  <c r="R73" i="4"/>
  <c r="O73" i="4"/>
  <c r="P73" i="4"/>
  <c r="Q73" i="4"/>
  <c r="N72" i="4"/>
  <c r="O72" i="4"/>
  <c r="Q72" i="4"/>
  <c r="R72" i="4"/>
  <c r="P72" i="4"/>
  <c r="Q71" i="4"/>
  <c r="O71" i="4"/>
  <c r="P71" i="4"/>
  <c r="N71" i="4"/>
  <c r="R71" i="4"/>
  <c r="O70" i="4"/>
  <c r="Q70" i="4"/>
  <c r="N70" i="4"/>
  <c r="R70" i="4"/>
  <c r="P70" i="4"/>
  <c r="R69" i="4"/>
  <c r="O69" i="4"/>
  <c r="N69" i="4"/>
  <c r="P69" i="4"/>
  <c r="Q69" i="4"/>
  <c r="P68" i="4"/>
  <c r="N68" i="4"/>
  <c r="O68" i="4"/>
  <c r="R68" i="4"/>
  <c r="Q68" i="4"/>
  <c r="N67" i="4"/>
  <c r="P67" i="4"/>
  <c r="R67" i="4"/>
  <c r="Q67" i="4"/>
  <c r="O67" i="4"/>
  <c r="R66" i="4"/>
  <c r="O66" i="4"/>
  <c r="N66" i="4"/>
  <c r="Q66" i="4"/>
  <c r="P66" i="4"/>
  <c r="N65" i="4"/>
  <c r="P65" i="4"/>
  <c r="O65" i="4"/>
  <c r="Q65" i="4"/>
  <c r="R65" i="4"/>
  <c r="R64" i="4"/>
  <c r="Q64" i="4"/>
  <c r="O64" i="4"/>
  <c r="N64" i="4"/>
  <c r="P64" i="4"/>
  <c r="N63" i="4"/>
  <c r="Q63" i="4"/>
  <c r="O63" i="4"/>
  <c r="R63" i="4"/>
  <c r="P63" i="4"/>
  <c r="Q62" i="4"/>
  <c r="P62" i="4"/>
  <c r="O62" i="4"/>
  <c r="R62" i="4"/>
  <c r="N62" i="4"/>
  <c r="P61" i="4"/>
  <c r="O61" i="4"/>
  <c r="Q61" i="4"/>
  <c r="N61" i="4"/>
  <c r="R61" i="4"/>
  <c r="P60" i="4"/>
  <c r="N60" i="4"/>
  <c r="R60" i="4"/>
  <c r="O60" i="4"/>
  <c r="Q60" i="4"/>
  <c r="R59" i="4"/>
  <c r="N59" i="4"/>
  <c r="O59" i="4"/>
  <c r="P59" i="4"/>
  <c r="Q59" i="4"/>
  <c r="N58" i="4"/>
  <c r="P58" i="4"/>
  <c r="Q58" i="4"/>
  <c r="O58" i="4"/>
  <c r="R58" i="4"/>
  <c r="R57" i="4"/>
  <c r="N57" i="4"/>
  <c r="Q57" i="4"/>
  <c r="P57" i="4"/>
  <c r="O57" i="4"/>
  <c r="R56" i="4"/>
  <c r="Q56" i="4"/>
  <c r="P56" i="4"/>
  <c r="O56" i="4"/>
  <c r="N56" i="4"/>
  <c r="Q55" i="4"/>
  <c r="P55" i="4"/>
  <c r="O55" i="4"/>
  <c r="N55" i="4"/>
  <c r="R55" i="4"/>
  <c r="P54" i="4"/>
  <c r="Q54" i="4"/>
  <c r="R54" i="4"/>
  <c r="O54" i="4"/>
  <c r="N54" i="4"/>
  <c r="N53" i="4"/>
  <c r="O53" i="4"/>
  <c r="P53" i="4"/>
  <c r="Q53" i="4"/>
  <c r="R53" i="4"/>
  <c r="O52" i="4"/>
  <c r="N52" i="4"/>
  <c r="P52" i="4"/>
  <c r="Q52" i="4"/>
  <c r="R52" i="4"/>
  <c r="R51" i="4"/>
  <c r="Q51" i="4"/>
  <c r="P51" i="4"/>
  <c r="O51" i="4"/>
  <c r="N51" i="4"/>
  <c r="N50" i="4"/>
  <c r="R50" i="4"/>
  <c r="O50" i="4"/>
  <c r="P50" i="4"/>
  <c r="Q50" i="4"/>
  <c r="Q49" i="4"/>
  <c r="N49" i="4"/>
  <c r="O49" i="4"/>
  <c r="P49" i="4"/>
  <c r="R49" i="4"/>
  <c r="N48" i="4"/>
  <c r="O48" i="4"/>
  <c r="Q48" i="4"/>
  <c r="R48" i="4"/>
  <c r="P48" i="4"/>
  <c r="O47" i="4"/>
  <c r="N47" i="4"/>
  <c r="P47" i="4"/>
  <c r="Q47" i="4"/>
  <c r="R47" i="4"/>
  <c r="R46" i="4"/>
  <c r="Q46" i="4"/>
  <c r="P46" i="4"/>
  <c r="O46" i="4"/>
  <c r="N46" i="4"/>
  <c r="P45" i="4"/>
  <c r="Q45" i="4"/>
  <c r="O45" i="4"/>
  <c r="N45" i="4"/>
  <c r="R45" i="4"/>
  <c r="Q44" i="4"/>
  <c r="P44" i="4"/>
  <c r="O44" i="4"/>
  <c r="N44" i="4"/>
  <c r="R44" i="4"/>
  <c r="O43" i="4"/>
  <c r="Q43" i="4"/>
  <c r="R43" i="4"/>
  <c r="P43" i="4"/>
  <c r="N43" i="4"/>
  <c r="P42" i="4"/>
  <c r="Q42" i="4"/>
  <c r="R42" i="4"/>
  <c r="N42" i="4"/>
  <c r="O42" i="4"/>
  <c r="P41" i="4"/>
  <c r="N41" i="4"/>
  <c r="O41" i="4"/>
  <c r="Q41" i="4"/>
  <c r="R41" i="4"/>
  <c r="N40" i="4"/>
  <c r="O40" i="4"/>
  <c r="P40" i="4"/>
  <c r="Q40" i="4"/>
  <c r="R40" i="4"/>
  <c r="P39" i="4"/>
  <c r="N39" i="4"/>
  <c r="O39" i="4"/>
  <c r="Q39" i="4"/>
  <c r="R39" i="4"/>
  <c r="N38" i="4"/>
  <c r="O38" i="4"/>
  <c r="P38" i="4"/>
  <c r="Q38" i="4"/>
  <c r="R38" i="4"/>
  <c r="N37" i="4"/>
  <c r="P37" i="4"/>
  <c r="Q37" i="4"/>
  <c r="R37" i="4"/>
  <c r="O37" i="4"/>
  <c r="R36" i="4"/>
  <c r="O36" i="4"/>
  <c r="Q36" i="4"/>
  <c r="P36" i="4"/>
  <c r="N36" i="4"/>
  <c r="N35" i="4"/>
  <c r="P35" i="4"/>
  <c r="Q35" i="4"/>
  <c r="R35" i="4"/>
  <c r="O35" i="4"/>
  <c r="N34" i="4"/>
  <c r="O34" i="4"/>
  <c r="P34" i="4"/>
  <c r="R34" i="4"/>
  <c r="Q34" i="4"/>
  <c r="R33" i="4"/>
  <c r="N33" i="4"/>
  <c r="P33" i="4"/>
  <c r="O33" i="4"/>
  <c r="Q33" i="4"/>
  <c r="R32" i="4"/>
  <c r="Q32" i="4"/>
  <c r="P32" i="4"/>
  <c r="N32" i="4"/>
  <c r="O32" i="4"/>
  <c r="R31" i="4"/>
  <c r="Q31" i="4"/>
  <c r="P31" i="4"/>
  <c r="O31" i="4"/>
  <c r="N31" i="4"/>
  <c r="R30" i="4"/>
  <c r="N30" i="4"/>
  <c r="O30" i="4"/>
  <c r="P30" i="4"/>
  <c r="Q30" i="4"/>
  <c r="N29" i="4"/>
  <c r="O29" i="4"/>
  <c r="P29" i="4"/>
  <c r="Q29" i="4"/>
  <c r="R29" i="4"/>
  <c r="P28" i="4"/>
  <c r="O28" i="4"/>
  <c r="N28" i="4"/>
  <c r="Q28" i="4"/>
  <c r="R28" i="4"/>
  <c r="P27" i="4"/>
  <c r="R27" i="4"/>
  <c r="N27" i="4"/>
  <c r="Q27" i="4"/>
  <c r="O27" i="4"/>
  <c r="O26" i="4"/>
  <c r="N26" i="4"/>
  <c r="Q26" i="4"/>
  <c r="R26" i="4"/>
  <c r="P26" i="4"/>
  <c r="O25" i="4"/>
  <c r="P25" i="4"/>
  <c r="Q25" i="4"/>
  <c r="R25" i="4"/>
  <c r="N25" i="4"/>
  <c r="P24" i="4"/>
  <c r="O24" i="4"/>
  <c r="N24" i="4"/>
  <c r="R24" i="4"/>
  <c r="Q24" i="4"/>
  <c r="Q23" i="4"/>
  <c r="P23" i="4"/>
  <c r="O23" i="4"/>
  <c r="N23" i="4"/>
  <c r="R23" i="4"/>
  <c r="R22" i="4"/>
  <c r="Q22" i="4"/>
  <c r="P22" i="4"/>
  <c r="O22" i="4"/>
  <c r="N22" i="4"/>
  <c r="Q21" i="4"/>
  <c r="R21" i="4"/>
  <c r="P21" i="4"/>
  <c r="O21" i="4"/>
  <c r="N21" i="4"/>
  <c r="P20" i="4"/>
  <c r="O20" i="4"/>
  <c r="N20" i="4"/>
  <c r="R20" i="4"/>
  <c r="Q20" i="4"/>
  <c r="R19" i="4"/>
  <c r="P19" i="4"/>
  <c r="O19" i="4"/>
  <c r="N19" i="4"/>
  <c r="Q19" i="4"/>
  <c r="P18" i="4"/>
  <c r="O18" i="4"/>
  <c r="N18" i="4"/>
  <c r="R18" i="4"/>
  <c r="Q18" i="4"/>
  <c r="R17" i="4"/>
  <c r="N17" i="4"/>
  <c r="O17" i="4"/>
  <c r="P17" i="4"/>
  <c r="Q17" i="4"/>
  <c r="N16" i="4"/>
  <c r="Q16" i="4"/>
  <c r="P16" i="4"/>
  <c r="O16" i="4"/>
  <c r="R16" i="4"/>
  <c r="P15" i="4"/>
  <c r="Q15" i="4"/>
  <c r="R15" i="4"/>
  <c r="O15" i="4"/>
  <c r="N15" i="4"/>
  <c r="Q14" i="4"/>
  <c r="P14" i="4"/>
  <c r="O14" i="4"/>
  <c r="N14" i="4"/>
  <c r="R14" i="4"/>
  <c r="O13" i="4"/>
  <c r="N13" i="4"/>
  <c r="Q13" i="4"/>
  <c r="R13" i="4"/>
  <c r="P13" i="4"/>
  <c r="N12" i="4"/>
  <c r="O12" i="4"/>
  <c r="P12" i="4"/>
  <c r="Q12" i="4"/>
  <c r="R12" i="4"/>
  <c r="N11" i="4"/>
  <c r="O11" i="4"/>
  <c r="P11" i="4"/>
  <c r="Q11" i="4"/>
  <c r="R11" i="4"/>
  <c r="Q10" i="4"/>
  <c r="R10" i="4"/>
  <c r="O10" i="4"/>
  <c r="N10" i="4"/>
  <c r="P10" i="4"/>
  <c r="R9" i="4"/>
  <c r="Q9" i="4"/>
  <c r="P9" i="4"/>
  <c r="O9" i="4"/>
  <c r="N9" i="4"/>
  <c r="P8" i="4"/>
  <c r="O8" i="4"/>
  <c r="Q8" i="4"/>
  <c r="N8" i="4"/>
  <c r="R8" i="4"/>
  <c r="Q7" i="4"/>
  <c r="P7" i="4"/>
  <c r="O7" i="4"/>
  <c r="N7" i="4"/>
  <c r="R7" i="4"/>
  <c r="R6" i="4"/>
  <c r="P6" i="4"/>
  <c r="O6" i="4"/>
  <c r="N6" i="4"/>
  <c r="Q6" i="4"/>
  <c r="R5" i="4"/>
  <c r="Q5" i="4"/>
  <c r="P5" i="4"/>
  <c r="O5" i="4"/>
  <c r="N5" i="4"/>
  <c r="Q4" i="4"/>
  <c r="O4" i="4"/>
  <c r="N4" i="4"/>
  <c r="P4" i="4"/>
  <c r="R4" i="4"/>
  <c r="P3" i="4"/>
  <c r="R3" i="4"/>
  <c r="Q3" i="4"/>
  <c r="O3" i="4"/>
  <c r="N3" i="4"/>
  <c r="Q2" i="4"/>
  <c r="O2" i="4"/>
  <c r="N2" i="4"/>
  <c r="R2" i="4"/>
  <c r="P2" i="4"/>
</calcChain>
</file>

<file path=xl/sharedStrings.xml><?xml version="1.0" encoding="utf-8"?>
<sst xmlns="http://schemas.openxmlformats.org/spreadsheetml/2006/main" count="205" uniqueCount="175">
  <si>
    <t>Lith_Code</t>
  </si>
  <si>
    <t>Lith_Description</t>
  </si>
  <si>
    <t>DRILL_TYPES</t>
  </si>
  <si>
    <t>TEXTURES_CODES</t>
  </si>
  <si>
    <t>GRAIN_SIZES</t>
  </si>
  <si>
    <t>WEATHERING_CODES</t>
  </si>
  <si>
    <t>ALTERATION_TYPES</t>
  </si>
  <si>
    <t>ALTERATION_INTENSITY</t>
  </si>
  <si>
    <t>MINERALIZATION_STYLES</t>
  </si>
  <si>
    <t>SAMPLE_TYPES_LIST</t>
  </si>
  <si>
    <t>STRUCTURE_TYPES</t>
  </si>
  <si>
    <t>ORIENTATION_QUALITY</t>
  </si>
  <si>
    <t>MOISTURE_CODES</t>
  </si>
  <si>
    <t>BIF</t>
  </si>
  <si>
    <t>Banded Iron Formation</t>
  </si>
  <si>
    <t>RC</t>
  </si>
  <si>
    <t>Massive</t>
  </si>
  <si>
    <t>Very Fine</t>
  </si>
  <si>
    <t>Fresh</t>
  </si>
  <si>
    <t>Silicification</t>
  </si>
  <si>
    <t>None</t>
  </si>
  <si>
    <t>Disseminated</t>
  </si>
  <si>
    <t>RC Chips</t>
  </si>
  <si>
    <t>Bedding</t>
  </si>
  <si>
    <t>Poor</t>
  </si>
  <si>
    <t>Dry</t>
  </si>
  <si>
    <t>SH</t>
  </si>
  <si>
    <t>Shale</t>
  </si>
  <si>
    <t>Diamond Core</t>
  </si>
  <si>
    <t>Banded</t>
  </si>
  <si>
    <t>Fine</t>
  </si>
  <si>
    <t>Slightly Weathered</t>
  </si>
  <si>
    <t>Hematitization</t>
  </si>
  <si>
    <t>Weak</t>
  </si>
  <si>
    <t>Core</t>
  </si>
  <si>
    <t>Foliation</t>
  </si>
  <si>
    <t>Fair</t>
  </si>
  <si>
    <t>Damp</t>
  </si>
  <si>
    <t>DOL</t>
  </si>
  <si>
    <t>Dolerite</t>
  </si>
  <si>
    <t>Auger</t>
  </si>
  <si>
    <t>Laminated</t>
  </si>
  <si>
    <t>Medium</t>
  </si>
  <si>
    <t>Moderately Weathered</t>
  </si>
  <si>
    <t>Magnetitization</t>
  </si>
  <si>
    <t>Moderate</t>
  </si>
  <si>
    <t>Grab Sample</t>
  </si>
  <si>
    <t>Fault</t>
  </si>
  <si>
    <t>Good</t>
  </si>
  <si>
    <t>Wet</t>
  </si>
  <si>
    <t>QFP</t>
  </si>
  <si>
    <t>Quartz Feldspar Porphyry</t>
  </si>
  <si>
    <t>Aircore</t>
  </si>
  <si>
    <t>Brecciated</t>
  </si>
  <si>
    <t>Coarse</t>
  </si>
  <si>
    <t>Highly Weathered</t>
  </si>
  <si>
    <t>Goethite Replacement</t>
  </si>
  <si>
    <t>Strong</t>
  </si>
  <si>
    <t>Vein</t>
  </si>
  <si>
    <t>Channel Sample</t>
  </si>
  <si>
    <t>Joint</t>
  </si>
  <si>
    <t>Excellent</t>
  </si>
  <si>
    <t>Porous</t>
  </si>
  <si>
    <t>Very Coarse</t>
  </si>
  <si>
    <t>Completely Weathered</t>
  </si>
  <si>
    <t>Carbonate</t>
  </si>
  <si>
    <t>Intense</t>
  </si>
  <si>
    <t>Replacement</t>
  </si>
  <si>
    <t>Shear</t>
  </si>
  <si>
    <t>Oolitic</t>
  </si>
  <si>
    <t>Chlorite</t>
  </si>
  <si>
    <t>Sericite</t>
  </si>
  <si>
    <t>Kaolinite</t>
  </si>
  <si>
    <t>Hole ID</t>
  </si>
  <si>
    <t>Hole Type</t>
  </si>
  <si>
    <t>From (m)</t>
  </si>
  <si>
    <t>To (m)</t>
  </si>
  <si>
    <t>Interval (m)</t>
  </si>
  <si>
    <t>Lithology Code</t>
  </si>
  <si>
    <t>Lithology Description</t>
  </si>
  <si>
    <t>Texture</t>
  </si>
  <si>
    <t>Grain Size</t>
  </si>
  <si>
    <t>Weathering</t>
  </si>
  <si>
    <t>Alteration Type</t>
  </si>
  <si>
    <t>Alteration Intensity</t>
  </si>
  <si>
    <t>Mineralization Style</t>
  </si>
  <si>
    <t>Hematite %</t>
  </si>
  <si>
    <t>Magnetite %</t>
  </si>
  <si>
    <t>Goethite %</t>
  </si>
  <si>
    <t>Gangue %</t>
  </si>
  <si>
    <t>Sulphides %</t>
  </si>
  <si>
    <t>Fe-oxides Total %</t>
  </si>
  <si>
    <t>Sample ID</t>
  </si>
  <si>
    <t>Sample From (m)</t>
  </si>
  <si>
    <t>Sample To (m)</t>
  </si>
  <si>
    <t>Sample Type</t>
  </si>
  <si>
    <t>Sample Weight (kg)</t>
  </si>
  <si>
    <t>Recovery %</t>
  </si>
  <si>
    <t>RQD %</t>
  </si>
  <si>
    <t>Veining %</t>
  </si>
  <si>
    <t>Fracture Frequency (/m)</t>
  </si>
  <si>
    <t>Structure Type</t>
  </si>
  <si>
    <t>Dip (°)</t>
  </si>
  <si>
    <t>Dip Direction (°)</t>
  </si>
  <si>
    <t>Alpha (°)</t>
  </si>
  <si>
    <t>Beta (°)</t>
  </si>
  <si>
    <t>Orientation Quality</t>
  </si>
  <si>
    <t>Moisture</t>
  </si>
  <si>
    <t>Color</t>
  </si>
  <si>
    <t>Comments</t>
  </si>
  <si>
    <t>Logged By</t>
  </si>
  <si>
    <t>Date</t>
  </si>
  <si>
    <t>Run From (m)</t>
  </si>
  <si>
    <t>Run To (m)</t>
  </si>
  <si>
    <t>Core Recovered (m)</t>
  </si>
  <si>
    <t>Run Recovery % (auto)</t>
  </si>
  <si>
    <t>TCR %</t>
  </si>
  <si>
    <t>SCR %</t>
  </si>
  <si>
    <t>CCR %</t>
  </si>
  <si>
    <t>Pieces &gt;10cm (/m)</t>
  </si>
  <si>
    <t>Pieces 2–10cm (/m)</t>
  </si>
  <si>
    <t>Pieces &lt;2cm (/m)</t>
  </si>
  <si>
    <t>Fe %</t>
  </si>
  <si>
    <t>SiO2 %</t>
  </si>
  <si>
    <t>Al2O3 %</t>
  </si>
  <si>
    <t>P %</t>
  </si>
  <si>
    <t>S %</t>
  </si>
  <si>
    <t>LOI %</t>
  </si>
  <si>
    <t>BIF_TEXTURES</t>
  </si>
  <si>
    <t>SH_TEXTURES</t>
  </si>
  <si>
    <t>DOL_TEXTURES</t>
  </si>
  <si>
    <t>QFP_TEXTURES</t>
  </si>
  <si>
    <t>RC_SAMPLES</t>
  </si>
  <si>
    <t>DiamondCore_SAMPLES</t>
  </si>
  <si>
    <t>Auger_SAMPLES</t>
  </si>
  <si>
    <t>Aircore_SAMPLES</t>
  </si>
  <si>
    <t>Porphyritic</t>
  </si>
  <si>
    <t>Auger Sample</t>
  </si>
  <si>
    <t>Aircore Sample</t>
  </si>
  <si>
    <t>Element</t>
  </si>
  <si>
    <t>Value</t>
  </si>
  <si>
    <t>Unit</t>
  </si>
  <si>
    <t>Lab</t>
  </si>
  <si>
    <t>Method</t>
  </si>
  <si>
    <t>DL Lower</t>
  </si>
  <si>
    <t>DL Upper</t>
  </si>
  <si>
    <t>Key</t>
  </si>
  <si>
    <t>Is Standard</t>
  </si>
  <si>
    <t>Certified</t>
  </si>
  <si>
    <t>Sigma</t>
  </si>
  <si>
    <t>Lower (2σ)</t>
  </si>
  <si>
    <t>Upper (2σ)</t>
  </si>
  <si>
    <t>Result</t>
  </si>
  <si>
    <t>Mid (m)</t>
  </si>
  <si>
    <t>Standard ID</t>
  </si>
  <si>
    <t>Certified Fe %</t>
  </si>
  <si>
    <t>Sigma Fe %</t>
  </si>
  <si>
    <t>Certified P %</t>
  </si>
  <si>
    <t>Sigma P %</t>
  </si>
  <si>
    <t>Certified S %</t>
  </si>
  <si>
    <t>Sigma S %</t>
  </si>
  <si>
    <t>Provider</t>
  </si>
  <si>
    <t>Notes</t>
  </si>
  <si>
    <t>Fe_STD1</t>
  </si>
  <si>
    <t>OREAS</t>
  </si>
  <si>
    <t>High-grade Fe standard</t>
  </si>
  <si>
    <t>Fe_STD2</t>
  </si>
  <si>
    <t>AMIS</t>
  </si>
  <si>
    <t>Mid-grade Fe standard</t>
  </si>
  <si>
    <t>PASS</t>
  </si>
  <si>
    <t>FAIL</t>
  </si>
  <si>
    <t>PASS %</t>
  </si>
  <si>
    <t>Fe</t>
  </si>
  <si>
    <t>P</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</si>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</sst>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1" fillId="0" borderId="0" xfId="0" applyFont="1"/>
  </cellXfs>
  <cellStyles count="1">
    <cellStyle name="Normal" xfId="0" builtinId="0"/>
  </cellStyles>
  <dxfs count="7">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
  <sheetViews>
    <sheetView workbookViewId="0"/>
  </sheetViews>
  <sheetFormatPr defaultRowHeight="15" x14ac:dyDescent="0.25"/>
  <sheetData>
    <row r="1" spans="1:14" x14ac:dyDescent="0.25">
      <c r="A1" t="s">
        <v>0</v>
      </c>
      <c r="B1" t="s">
        <v>1</v>
      </c>
      <c r="D1" t="s">
        <v>2</v>
      </c>
      <c r="E1" t="s">
        <v>3</v>
      </c>
      <c r="F1" t="s">
        <v>4</v>
      </c>
      <c r="G1" t="s">
        <v>5</v>
      </c>
      <c r="H1" t="s">
        <v>6</v>
      </c>
      <c r="I1" t="s">
        <v>7</v>
      </c>
      <c r="J1" t="s">
        <v>8</v>
      </c>
      <c r="K1" t="s">
        <v>9</v>
      </c>
      <c r="L1" t="s">
        <v>10</v>
      </c>
      <c r="M1" t="s">
        <v>11</v>
      </c>
      <c r="N1" t="s">
        <v>12</v>
      </c>
    </row>
    <row r="2" spans="1:14" x14ac:dyDescent="0.25">
      <c r="A2" t="s">
        <v>13</v>
      </c>
      <c r="B2" t="s">
        <v>14</v>
      </c>
      <c r="D2" t="s">
        <v>15</v>
      </c>
      <c r="E2" t="s">
        <v>16</v>
      </c>
      <c r="F2" t="s">
        <v>17</v>
      </c>
      <c r="G2" t="s">
        <v>18</v>
      </c>
      <c r="H2" t="s">
        <v>19</v>
      </c>
      <c r="I2" t="s">
        <v>20</v>
      </c>
      <c r="J2" t="s">
        <v>21</v>
      </c>
      <c r="K2" t="s">
        <v>22</v>
      </c>
      <c r="L2" t="s">
        <v>23</v>
      </c>
      <c r="M2" t="s">
        <v>24</v>
      </c>
      <c r="N2" t="s">
        <v>25</v>
      </c>
    </row>
    <row r="3" spans="1:14" x14ac:dyDescent="0.25">
      <c r="A3" t="s">
        <v>26</v>
      </c>
      <c r="B3" t="s">
        <v>27</v>
      </c>
      <c r="D3" t="s">
        <v>28</v>
      </c>
      <c r="E3" t="s">
        <v>29</v>
      </c>
      <c r="F3" t="s">
        <v>30</v>
      </c>
      <c r="G3" t="s">
        <v>31</v>
      </c>
      <c r="H3" t="s">
        <v>32</v>
      </c>
      <c r="I3" t="s">
        <v>33</v>
      </c>
      <c r="J3" t="s">
        <v>16</v>
      </c>
      <c r="K3" t="s">
        <v>34</v>
      </c>
      <c r="L3" t="s">
        <v>35</v>
      </c>
      <c r="M3" t="s">
        <v>36</v>
      </c>
      <c r="N3" t="s">
        <v>37</v>
      </c>
    </row>
    <row r="4" spans="1:14" x14ac:dyDescent="0.25">
      <c r="A4" t="s">
        <v>38</v>
      </c>
      <c r="B4" t="s">
        <v>39</v>
      </c>
      <c r="D4" t="s">
        <v>40</v>
      </c>
      <c r="E4" t="s">
        <v>41</v>
      </c>
      <c r="F4" t="s">
        <v>42</v>
      </c>
      <c r="G4" t="s">
        <v>43</v>
      </c>
      <c r="H4" t="s">
        <v>44</v>
      </c>
      <c r="I4" t="s">
        <v>45</v>
      </c>
      <c r="J4" t="s">
        <v>29</v>
      </c>
      <c r="K4" t="s">
        <v>46</v>
      </c>
      <c r="L4" t="s">
        <v>47</v>
      </c>
      <c r="M4" t="s">
        <v>48</v>
      </c>
      <c r="N4" t="s">
        <v>49</v>
      </c>
    </row>
    <row r="5" spans="1:14" x14ac:dyDescent="0.25">
      <c r="A5" t="s">
        <v>50</v>
      </c>
      <c r="B5" t="s">
        <v>51</v>
      </c>
      <c r="D5" t="s">
        <v>52</v>
      </c>
      <c r="E5" t="s">
        <v>53</v>
      </c>
      <c r="F5" t="s">
        <v>54</v>
      </c>
      <c r="G5" t="s">
        <v>55</v>
      </c>
      <c r="H5" t="s">
        <v>56</v>
      </c>
      <c r="I5" t="s">
        <v>57</v>
      </c>
      <c r="J5" t="s">
        <v>58</v>
      </c>
      <c r="K5" t="s">
        <v>59</v>
      </c>
      <c r="L5" t="s">
        <v>60</v>
      </c>
      <c r="M5" t="s">
        <v>61</v>
      </c>
    </row>
    <row r="6" spans="1:14" x14ac:dyDescent="0.25">
      <c r="E6" t="s">
        <v>62</v>
      </c>
      <c r="F6" t="s">
        <v>63</v>
      </c>
      <c r="G6" t="s">
        <v>64</v>
      </c>
      <c r="H6" t="s">
        <v>65</v>
      </c>
      <c r="I6" t="s">
        <v>66</v>
      </c>
      <c r="J6" t="s">
        <v>67</v>
      </c>
      <c r="L6" t="s">
        <v>68</v>
      </c>
    </row>
    <row r="7" spans="1:14" x14ac:dyDescent="0.25">
      <c r="E7" t="s">
        <v>69</v>
      </c>
      <c r="H7" t="s">
        <v>70</v>
      </c>
    </row>
    <row r="8" spans="1:14" x14ac:dyDescent="0.25">
      <c r="H8" t="s">
        <v>71</v>
      </c>
    </row>
    <row r="9" spans="1:14" x14ac:dyDescent="0.25">
      <c r="H9" t="s">
        <v>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401"/>
  <sheetViews>
    <sheetView workbookViewId="0">
      <pane ySplit="1" topLeftCell="A2" activePane="bottomLeft" state="frozen"/>
      <selection pane="bottomLeft" activeCell="AT1" sqref="AT1"/>
    </sheetView>
  </sheetViews>
  <sheetFormatPr defaultRowHeight="15" x14ac:dyDescent="0.25"/>
  <cols>
    <col min="1" max="1" width="14" customWidth="1"/>
    <col min="2" max="2" width="12" customWidth="1"/>
    <col min="3" max="4" width="10" customWidth="1"/>
    <col min="5" max="5" width="11" customWidth="1"/>
    <col min="6" max="6" width="14" customWidth="1"/>
    <col min="7" max="7" width="22" customWidth="1"/>
    <col min="8" max="10" width="12" customWidth="1"/>
    <col min="11" max="11" width="16" customWidth="1"/>
    <col min="12" max="13" width="18" customWidth="1"/>
    <col min="14" max="18" width="12" customWidth="1"/>
    <col min="19" max="19" width="15" customWidth="1"/>
    <col min="20" max="24" width="14" customWidth="1"/>
    <col min="25" max="25" width="12" customWidth="1"/>
    <col min="26" max="27" width="10" customWidth="1"/>
    <col min="28" max="28" width="16" customWidth="1"/>
    <col min="29" max="29" width="14" customWidth="1"/>
    <col min="30" max="30" width="10" customWidth="1"/>
    <col min="31" max="31" width="14" customWidth="1"/>
    <col min="32" max="33" width="10" customWidth="1"/>
    <col min="34" max="34" width="18" customWidth="1"/>
    <col min="35" max="35" width="10" customWidth="1"/>
    <col min="36" max="36" width="12" customWidth="1"/>
    <col min="37" max="37" width="30" customWidth="1"/>
    <col min="38" max="38" width="14" customWidth="1"/>
    <col min="39" max="39" width="12" customWidth="1"/>
  </cols>
  <sheetData>
    <row r="1" spans="1:55" ht="30" x14ac:dyDescent="0.25">
      <c r="A1" s="1" t="s">
        <v>73</v>
      </c>
      <c r="B1" s="1" t="s">
        <v>74</v>
      </c>
      <c r="C1" s="1" t="s">
        <v>75</v>
      </c>
      <c r="D1" s="1" t="s">
        <v>76</v>
      </c>
      <c r="E1" s="1" t="s">
        <v>77</v>
      </c>
      <c r="F1" s="1" t="s">
        <v>78</v>
      </c>
      <c r="G1" s="1" t="s">
        <v>79</v>
      </c>
      <c r="H1" s="1" t="s">
        <v>80</v>
      </c>
      <c r="I1" s="1" t="s">
        <v>81</v>
      </c>
      <c r="J1" s="1" t="s">
        <v>82</v>
      </c>
      <c r="K1" s="1" t="s">
        <v>83</v>
      </c>
      <c r="L1" s="1" t="s">
        <v>84</v>
      </c>
      <c r="M1" s="1" t="s">
        <v>85</v>
      </c>
      <c r="N1" s="1" t="s">
        <v>86</v>
      </c>
      <c r="O1" s="1" t="s">
        <v>87</v>
      </c>
      <c r="P1" s="1" t="s">
        <v>88</v>
      </c>
      <c r="Q1" s="1" t="s">
        <v>89</v>
      </c>
      <c r="R1" s="1" t="s">
        <v>90</v>
      </c>
      <c r="S1" s="1" t="s">
        <v>91</v>
      </c>
      <c r="T1" s="1" t="s">
        <v>92</v>
      </c>
      <c r="U1" s="1" t="s">
        <v>93</v>
      </c>
      <c r="V1" s="1" t="s">
        <v>94</v>
      </c>
      <c r="W1" s="1" t="s">
        <v>95</v>
      </c>
      <c r="X1" s="1" t="s">
        <v>96</v>
      </c>
      <c r="Y1" s="1" t="s">
        <v>97</v>
      </c>
      <c r="Z1" s="1" t="s">
        <v>98</v>
      </c>
      <c r="AA1" s="1" t="s">
        <v>99</v>
      </c>
      <c r="AB1" s="1" t="s">
        <v>100</v>
      </c>
      <c r="AC1" s="1" t="s">
        <v>101</v>
      </c>
      <c r="AD1" s="1" t="s">
        <v>102</v>
      </c>
      <c r="AE1" s="1" t="s">
        <v>103</v>
      </c>
      <c r="AF1" s="1" t="s">
        <v>104</v>
      </c>
      <c r="AG1" s="1" t="s">
        <v>105</v>
      </c>
      <c r="AH1" s="1" t="s">
        <v>106</v>
      </c>
      <c r="AI1" s="1" t="s">
        <v>107</v>
      </c>
      <c r="AJ1" s="1" t="s">
        <v>108</v>
      </c>
      <c r="AK1" s="1" t="s">
        <v>109</v>
      </c>
      <c r="AL1" s="1" t="s">
        <v>110</v>
      </c>
      <c r="AM1" s="1" t="s">
        <v>111</v>
      </c>
      <c r="AN1" s="2" t="s">
        <v>112</v>
      </c>
      <c r="AO1" s="2" t="s">
        <v>113</v>
      </c>
      <c r="AP1" s="2" t="s">
        <v>114</v>
      </c>
      <c r="AQ1" s="2" t="s">
        <v>115</v>
      </c>
      <c r="AR1" s="2" t="s">
        <v>116</v>
      </c>
      <c r="AS1" s="2" t="s">
        <v>117</v>
      </c>
      <c r="AT1" s="2" t="s">
        <v>118</v>
      </c>
      <c r="AU1" s="2" t="s">
        <v>119</v>
      </c>
      <c r="AV1" s="2" t="s">
        <v>120</v>
      </c>
      <c r="AW1" s="2" t="s">
        <v>121</v>
      </c>
      <c r="AX1" s="2" t="s">
        <v>122</v>
      </c>
      <c r="AY1" s="2" t="s">
        <v>123</v>
      </c>
      <c r="AZ1" s="2" t="s">
        <v>124</v>
      </c>
      <c r="BA1" s="2" t="s">
        <v>125</v>
      </c>
      <c r="BB1" s="2" t="s">
        <v>126</v>
      </c>
      <c r="BC1" s="2" t="s">
        <v>127</v>
      </c>
    </row>
    <row r="2" spans="1:55" x14ac:dyDescent="0.25">
      <c r="E2" t="str">
        <f t="shared" ref="E2:E65" si="0">IF(AND(C2&lt;&gt;"",D2&lt;&gt;""),D2-C2,"")</f>
        <v/>
      </c>
      <c r="G2" t="str">
        <f ca="1">IFERROR(_xludf.XLOOKUP(F2,Lists!$A:$A,Lists!$B:$B,"",0),"")</f>
        <v/>
      </c>
      <c r="S2" t="str">
        <f t="shared" ref="S2:S65" si="1">IF(COUNTA(N2:P2)=3,N2+O2+P2,"")</f>
        <v/>
      </c>
      <c r="AQ2" t="str">
        <f t="shared" ref="AQ2:AQ65" si="2">IF(AND(AN2&lt;&gt;"",AO2&lt;&gt;"",AP2&lt;&gt;""),AP2/(AO2-AN2)*100,"")</f>
        <v/>
      </c>
      <c r="AX2" t="str">
        <f ca="1">IFERROR(_xludf.XLOOKUP($T2&amp;"|Fe",ASSAY_KEYS,ASSAY_VALUES,""),"")</f>
        <v/>
      </c>
      <c r="AY2" t="str">
        <f ca="1">IFERROR(_xludf.XLOOKUP($T2&amp;"|SiO2",ASSAY_KEYS,ASSAY_VALUES,""),"")</f>
        <v/>
      </c>
      <c r="AZ2" t="str">
        <f ca="1">IFERROR(_xludf.XLOOKUP($T2&amp;"|Al2O3",ASSAY_KEYS,ASSAY_VALUES,""),"")</f>
        <v/>
      </c>
      <c r="BA2" t="str">
        <f ca="1">IFERROR(_xludf.XLOOKUP($T2&amp;"|P",ASSAY_KEYS,ASSAY_VALUES,""),"")</f>
        <v/>
      </c>
      <c r="BB2" t="str">
        <f ca="1">IFERROR(_xludf.XLOOKUP($T2&amp;"|S",ASSAY_KEYS,ASSAY_VALUES,""),"")</f>
        <v/>
      </c>
      <c r="BC2" t="str">
        <f ca="1">IFERROR(_xludf.XLOOKUP($T2&amp;"|LOI",ASSAY_KEYS,ASSAY_VALUES,""),"")</f>
        <v/>
      </c>
    </row>
    <row r="3" spans="1:55" x14ac:dyDescent="0.25">
      <c r="E3" t="str">
        <f t="shared" si="0"/>
        <v/>
      </c>
      <c r="G3" t="str">
        <f ca="1">IFERROR(_xludf.XLOOKUP(F3,Lists!$A:$A,Lists!$B:$B,"",0),"")</f>
        <v/>
      </c>
      <c r="S3" t="str">
        <f t="shared" si="1"/>
        <v/>
      </c>
      <c r="AQ3" t="str">
        <f t="shared" si="2"/>
        <v/>
      </c>
      <c r="AX3" t="str">
        <f ca="1">IFERROR(_xludf.XLOOKUP($T3&amp;"|Fe",ASSAY_KEYS,ASSAY_VALUES,""),"")</f>
        <v/>
      </c>
      <c r="AY3" t="str">
        <f ca="1">IFERROR(_xludf.XLOOKUP($T3&amp;"|SiO2",ASSAY_KEYS,ASSAY_VALUES,""),"")</f>
        <v/>
      </c>
      <c r="AZ3" t="str">
        <f ca="1">IFERROR(_xludf.XLOOKUP($T3&amp;"|Al2O3",ASSAY_KEYS,ASSAY_VALUES,""),"")</f>
        <v/>
      </c>
      <c r="BA3" t="str">
        <f ca="1">IFERROR(_xludf.XLOOKUP($T3&amp;"|P",ASSAY_KEYS,ASSAY_VALUES,""),"")</f>
        <v/>
      </c>
      <c r="BB3" t="str">
        <f ca="1">IFERROR(_xludf.XLOOKUP($T3&amp;"|S",ASSAY_KEYS,ASSAY_VALUES,""),"")</f>
        <v/>
      </c>
      <c r="BC3" t="str">
        <f ca="1">IFERROR(_xludf.XLOOKUP($T3&amp;"|LOI",ASSAY_KEYS,ASSAY_VALUES,""),"")</f>
        <v/>
      </c>
    </row>
    <row r="4" spans="1:55" x14ac:dyDescent="0.25">
      <c r="E4" t="str">
        <f t="shared" si="0"/>
        <v/>
      </c>
      <c r="G4" t="str">
        <f ca="1">IFERROR(_xludf.XLOOKUP(F4,Lists!$A:$A,Lists!$B:$B,"",0),"")</f>
        <v/>
      </c>
      <c r="S4" t="str">
        <f t="shared" si="1"/>
        <v/>
      </c>
      <c r="AQ4" t="str">
        <f t="shared" si="2"/>
        <v/>
      </c>
      <c r="AX4" t="str">
        <f ca="1">IFERROR(_xludf.XLOOKUP($T4&amp;"|Fe",ASSAY_KEYS,ASSAY_VALUES,""),"")</f>
        <v/>
      </c>
      <c r="AY4" t="str">
        <f ca="1">IFERROR(_xludf.XLOOKUP($T4&amp;"|SiO2",ASSAY_KEYS,ASSAY_VALUES,""),"")</f>
        <v/>
      </c>
      <c r="AZ4" t="str">
        <f ca="1">IFERROR(_xludf.XLOOKUP($T4&amp;"|Al2O3",ASSAY_KEYS,ASSAY_VALUES,""),"")</f>
        <v/>
      </c>
      <c r="BA4" t="str">
        <f ca="1">IFERROR(_xludf.XLOOKUP($T4&amp;"|P",ASSAY_KEYS,ASSAY_VALUES,""),"")</f>
        <v/>
      </c>
      <c r="BB4" t="str">
        <f ca="1">IFERROR(_xludf.XLOOKUP($T4&amp;"|S",ASSAY_KEYS,ASSAY_VALUES,""),"")</f>
        <v/>
      </c>
      <c r="BC4" t="str">
        <f ca="1">IFERROR(_xludf.XLOOKUP($T4&amp;"|LOI",ASSAY_KEYS,ASSAY_VALUES,""),"")</f>
        <v/>
      </c>
    </row>
    <row r="5" spans="1:55" x14ac:dyDescent="0.25">
      <c r="E5" t="str">
        <f t="shared" si="0"/>
        <v/>
      </c>
      <c r="G5" t="str">
        <f ca="1">IFERROR(_xludf.XLOOKUP(F5,Lists!$A:$A,Lists!$B:$B,"",0),"")</f>
        <v/>
      </c>
      <c r="S5" t="str">
        <f t="shared" si="1"/>
        <v/>
      </c>
      <c r="AQ5" t="str">
        <f t="shared" si="2"/>
        <v/>
      </c>
      <c r="AX5" t="str">
        <f ca="1">IFERROR(_xludf.XLOOKUP($T5&amp;"|Fe",ASSAY_KEYS,ASSAY_VALUES,""),"")</f>
        <v/>
      </c>
      <c r="AY5" t="str">
        <f ca="1">IFERROR(_xludf.XLOOKUP($T5&amp;"|SiO2",ASSAY_KEYS,ASSAY_VALUES,""),"")</f>
        <v/>
      </c>
      <c r="AZ5" t="str">
        <f ca="1">IFERROR(_xludf.XLOOKUP($T5&amp;"|Al2O3",ASSAY_KEYS,ASSAY_VALUES,""),"")</f>
        <v/>
      </c>
      <c r="BA5" t="str">
        <f ca="1">IFERROR(_xludf.XLOOKUP($T5&amp;"|P",ASSAY_KEYS,ASSAY_VALUES,""),"")</f>
        <v/>
      </c>
      <c r="BB5" t="str">
        <f ca="1">IFERROR(_xludf.XLOOKUP($T5&amp;"|S",ASSAY_KEYS,ASSAY_VALUES,""),"")</f>
        <v/>
      </c>
      <c r="BC5" t="str">
        <f ca="1">IFERROR(_xludf.XLOOKUP($T5&amp;"|LOI",ASSAY_KEYS,ASSAY_VALUES,""),"")</f>
        <v/>
      </c>
    </row>
    <row r="6" spans="1:55" x14ac:dyDescent="0.25">
      <c r="E6" t="str">
        <f t="shared" si="0"/>
        <v/>
      </c>
      <c r="G6" t="str">
        <f ca="1">IFERROR(_xludf.XLOOKUP(F6,Lists!$A:$A,Lists!$B:$B,"",0),"")</f>
        <v/>
      </c>
      <c r="S6" t="str">
        <f t="shared" si="1"/>
        <v/>
      </c>
      <c r="AQ6" t="str">
        <f t="shared" si="2"/>
        <v/>
      </c>
      <c r="AX6" t="str">
        <f ca="1">IFERROR(_xludf.XLOOKUP($T6&amp;"|Fe",ASSAY_KEYS,ASSAY_VALUES,""),"")</f>
        <v/>
      </c>
      <c r="AY6" t="str">
        <f ca="1">IFERROR(_xludf.XLOOKUP($T6&amp;"|SiO2",ASSAY_KEYS,ASSAY_VALUES,""),"")</f>
        <v/>
      </c>
      <c r="AZ6" t="str">
        <f ca="1">IFERROR(_xludf.XLOOKUP($T6&amp;"|Al2O3",ASSAY_KEYS,ASSAY_VALUES,""),"")</f>
        <v/>
      </c>
      <c r="BA6" t="str">
        <f ca="1">IFERROR(_xludf.XLOOKUP($T6&amp;"|P",ASSAY_KEYS,ASSAY_VALUES,""),"")</f>
        <v/>
      </c>
      <c r="BB6" t="str">
        <f ca="1">IFERROR(_xludf.XLOOKUP($T6&amp;"|S",ASSAY_KEYS,ASSAY_VALUES,""),"")</f>
        <v/>
      </c>
      <c r="BC6" t="str">
        <f ca="1">IFERROR(_xludf.XLOOKUP($T6&amp;"|LOI",ASSAY_KEYS,ASSAY_VALUES,""),"")</f>
        <v/>
      </c>
    </row>
    <row r="7" spans="1:55" x14ac:dyDescent="0.25">
      <c r="E7" t="str">
        <f t="shared" si="0"/>
        <v/>
      </c>
      <c r="G7" t="str">
        <f ca="1">IFERROR(_xludf.XLOOKUP(F7,Lists!$A:$A,Lists!$B:$B,"",0),"")</f>
        <v/>
      </c>
      <c r="S7" t="str">
        <f t="shared" si="1"/>
        <v/>
      </c>
      <c r="AQ7" t="str">
        <f t="shared" si="2"/>
        <v/>
      </c>
      <c r="AX7" t="str">
        <f ca="1">IFERROR(_xludf.XLOOKUP($T7&amp;"|Fe",ASSAY_KEYS,ASSAY_VALUES,""),"")</f>
        <v/>
      </c>
      <c r="AY7" t="str">
        <f ca="1">IFERROR(_xludf.XLOOKUP($T7&amp;"|SiO2",ASSAY_KEYS,ASSAY_VALUES,""),"")</f>
        <v/>
      </c>
      <c r="AZ7" t="str">
        <f ca="1">IFERROR(_xludf.XLOOKUP($T7&amp;"|Al2O3",ASSAY_KEYS,ASSAY_VALUES,""),"")</f>
        <v/>
      </c>
      <c r="BA7" t="str">
        <f ca="1">IFERROR(_xludf.XLOOKUP($T7&amp;"|P",ASSAY_KEYS,ASSAY_VALUES,""),"")</f>
        <v/>
      </c>
      <c r="BB7" t="str">
        <f ca="1">IFERROR(_xludf.XLOOKUP($T7&amp;"|S",ASSAY_KEYS,ASSAY_VALUES,""),"")</f>
        <v/>
      </c>
      <c r="BC7" t="str">
        <f ca="1">IFERROR(_xludf.XLOOKUP($T7&amp;"|LOI",ASSAY_KEYS,ASSAY_VALUES,""),"")</f>
        <v/>
      </c>
    </row>
    <row r="8" spans="1:55" x14ac:dyDescent="0.25">
      <c r="E8" t="str">
        <f t="shared" si="0"/>
        <v/>
      </c>
      <c r="G8" t="str">
        <f ca="1">IFERROR(_xludf.XLOOKUP(F8,Lists!$A:$A,Lists!$B:$B,"",0),"")</f>
        <v/>
      </c>
      <c r="S8" t="str">
        <f t="shared" si="1"/>
        <v/>
      </c>
      <c r="AQ8" t="str">
        <f t="shared" si="2"/>
        <v/>
      </c>
      <c r="AX8" t="str">
        <f ca="1">IFERROR(_xludf.XLOOKUP($T8&amp;"|Fe",ASSAY_KEYS,ASSAY_VALUES,""),"")</f>
        <v/>
      </c>
      <c r="AY8" t="str">
        <f ca="1">IFERROR(_xludf.XLOOKUP($T8&amp;"|SiO2",ASSAY_KEYS,ASSAY_VALUES,""),"")</f>
        <v/>
      </c>
      <c r="AZ8" t="str">
        <f ca="1">IFERROR(_xludf.XLOOKUP($T8&amp;"|Al2O3",ASSAY_KEYS,ASSAY_VALUES,""),"")</f>
        <v/>
      </c>
      <c r="BA8" t="str">
        <f ca="1">IFERROR(_xludf.XLOOKUP($T8&amp;"|P",ASSAY_KEYS,ASSAY_VALUES,""),"")</f>
        <v/>
      </c>
      <c r="BB8" t="str">
        <f ca="1">IFERROR(_xludf.XLOOKUP($T8&amp;"|S",ASSAY_KEYS,ASSAY_VALUES,""),"")</f>
        <v/>
      </c>
      <c r="BC8" t="str">
        <f ca="1">IFERROR(_xludf.XLOOKUP($T8&amp;"|LOI",ASSAY_KEYS,ASSAY_VALUES,""),"")</f>
        <v/>
      </c>
    </row>
    <row r="9" spans="1:55" x14ac:dyDescent="0.25">
      <c r="E9" t="str">
        <f t="shared" si="0"/>
        <v/>
      </c>
      <c r="G9" t="str">
        <f ca="1">IFERROR(_xludf.XLOOKUP(F9,Lists!$A:$A,Lists!$B:$B,"",0),"")</f>
        <v/>
      </c>
      <c r="S9" t="str">
        <f t="shared" si="1"/>
        <v/>
      </c>
      <c r="AQ9" t="str">
        <f t="shared" si="2"/>
        <v/>
      </c>
      <c r="AX9" t="str">
        <f ca="1">IFERROR(_xludf.XLOOKUP($T9&amp;"|Fe",ASSAY_KEYS,ASSAY_VALUES,""),"")</f>
        <v/>
      </c>
      <c r="AY9" t="str">
        <f ca="1">IFERROR(_xludf.XLOOKUP($T9&amp;"|SiO2",ASSAY_KEYS,ASSAY_VALUES,""),"")</f>
        <v/>
      </c>
      <c r="AZ9" t="str">
        <f ca="1">IFERROR(_xludf.XLOOKUP($T9&amp;"|Al2O3",ASSAY_KEYS,ASSAY_VALUES,""),"")</f>
        <v/>
      </c>
      <c r="BA9" t="str">
        <f ca="1">IFERROR(_xludf.XLOOKUP($T9&amp;"|P",ASSAY_KEYS,ASSAY_VALUES,""),"")</f>
        <v/>
      </c>
      <c r="BB9" t="str">
        <f ca="1">IFERROR(_xludf.XLOOKUP($T9&amp;"|S",ASSAY_KEYS,ASSAY_VALUES,""),"")</f>
        <v/>
      </c>
      <c r="BC9" t="str">
        <f ca="1">IFERROR(_xludf.XLOOKUP($T9&amp;"|LOI",ASSAY_KEYS,ASSAY_VALUES,""),"")</f>
        <v/>
      </c>
    </row>
    <row r="10" spans="1:55" x14ac:dyDescent="0.25">
      <c r="E10" t="str">
        <f t="shared" si="0"/>
        <v/>
      </c>
      <c r="G10" t="str">
        <f ca="1">IFERROR(_xludf.XLOOKUP(F10,Lists!$A:$A,Lists!$B:$B,"",0),"")</f>
        <v/>
      </c>
      <c r="S10" t="str">
        <f t="shared" si="1"/>
        <v/>
      </c>
      <c r="AQ10" t="str">
        <f t="shared" si="2"/>
        <v/>
      </c>
      <c r="AX10" t="str">
        <f ca="1">IFERROR(_xludf.XLOOKUP($T10&amp;"|Fe",ASSAY_KEYS,ASSAY_VALUES,""),"")</f>
        <v/>
      </c>
      <c r="AY10" t="str">
        <f ca="1">IFERROR(_xludf.XLOOKUP($T10&amp;"|SiO2",ASSAY_KEYS,ASSAY_VALUES,""),"")</f>
        <v/>
      </c>
      <c r="AZ10" t="str">
        <f ca="1">IFERROR(_xludf.XLOOKUP($T10&amp;"|Al2O3",ASSAY_KEYS,ASSAY_VALUES,""),"")</f>
        <v/>
      </c>
      <c r="BA10" t="str">
        <f ca="1">IFERROR(_xludf.XLOOKUP($T10&amp;"|P",ASSAY_KEYS,ASSAY_VALUES,""),"")</f>
        <v/>
      </c>
      <c r="BB10" t="str">
        <f ca="1">IFERROR(_xludf.XLOOKUP($T10&amp;"|S",ASSAY_KEYS,ASSAY_VALUES,""),"")</f>
        <v/>
      </c>
      <c r="BC10" t="str">
        <f ca="1">IFERROR(_xludf.XLOOKUP($T10&amp;"|LOI",ASSAY_KEYS,ASSAY_VALUES,""),"")</f>
        <v/>
      </c>
    </row>
    <row r="11" spans="1:55" x14ac:dyDescent="0.25">
      <c r="E11" t="str">
        <f t="shared" si="0"/>
        <v/>
      </c>
      <c r="G11" t="str">
        <f ca="1">IFERROR(_xludf.XLOOKUP(F11,Lists!$A:$A,Lists!$B:$B,"",0),"")</f>
        <v/>
      </c>
      <c r="S11" t="str">
        <f t="shared" si="1"/>
        <v/>
      </c>
      <c r="AQ11" t="str">
        <f t="shared" si="2"/>
        <v/>
      </c>
      <c r="AX11" t="str">
        <f ca="1">IFERROR(_xludf.XLOOKUP($T11&amp;"|Fe",ASSAY_KEYS,ASSAY_VALUES,""),"")</f>
        <v/>
      </c>
      <c r="AY11" t="str">
        <f ca="1">IFERROR(_xludf.XLOOKUP($T11&amp;"|SiO2",ASSAY_KEYS,ASSAY_VALUES,""),"")</f>
        <v/>
      </c>
      <c r="AZ11" t="str">
        <f ca="1">IFERROR(_xludf.XLOOKUP($T11&amp;"|Al2O3",ASSAY_KEYS,ASSAY_VALUES,""),"")</f>
        <v/>
      </c>
      <c r="BA11" t="str">
        <f ca="1">IFERROR(_xludf.XLOOKUP($T11&amp;"|P",ASSAY_KEYS,ASSAY_VALUES,""),"")</f>
        <v/>
      </c>
      <c r="BB11" t="str">
        <f ca="1">IFERROR(_xludf.XLOOKUP($T11&amp;"|S",ASSAY_KEYS,ASSAY_VALUES,""),"")</f>
        <v/>
      </c>
      <c r="BC11" t="str">
        <f ca="1">IFERROR(_xludf.XLOOKUP($T11&amp;"|LOI",ASSAY_KEYS,ASSAY_VALUES,""),"")</f>
        <v/>
      </c>
    </row>
    <row r="12" spans="1:55" x14ac:dyDescent="0.25">
      <c r="E12" t="str">
        <f t="shared" si="0"/>
        <v/>
      </c>
      <c r="G12" t="str">
        <f ca="1">IFERROR(_xludf.XLOOKUP(F12,Lists!$A:$A,Lists!$B:$B,"",0),"")</f>
        <v/>
      </c>
      <c r="S12" t="str">
        <f t="shared" si="1"/>
        <v/>
      </c>
      <c r="AQ12" t="str">
        <f t="shared" si="2"/>
        <v/>
      </c>
      <c r="AX12" t="str">
        <f ca="1">IFERROR(_xludf.XLOOKUP($T12&amp;"|Fe",ASSAY_KEYS,ASSAY_VALUES,""),"")</f>
        <v/>
      </c>
      <c r="AY12" t="str">
        <f ca="1">IFERROR(_xludf.XLOOKUP($T12&amp;"|SiO2",ASSAY_KEYS,ASSAY_VALUES,""),"")</f>
        <v/>
      </c>
      <c r="AZ12" t="str">
        <f ca="1">IFERROR(_xludf.XLOOKUP($T12&amp;"|Al2O3",ASSAY_KEYS,ASSAY_VALUES,""),"")</f>
        <v/>
      </c>
      <c r="BA12" t="str">
        <f ca="1">IFERROR(_xludf.XLOOKUP($T12&amp;"|P",ASSAY_KEYS,ASSAY_VALUES,""),"")</f>
        <v/>
      </c>
      <c r="BB12" t="str">
        <f ca="1">IFERROR(_xludf.XLOOKUP($T12&amp;"|S",ASSAY_KEYS,ASSAY_VALUES,""),"")</f>
        <v/>
      </c>
      <c r="BC12" t="str">
        <f ca="1">IFERROR(_xludf.XLOOKUP($T12&amp;"|LOI",ASSAY_KEYS,ASSAY_VALUES,""),"")</f>
        <v/>
      </c>
    </row>
    <row r="13" spans="1:55" x14ac:dyDescent="0.25">
      <c r="E13" t="str">
        <f t="shared" si="0"/>
        <v/>
      </c>
      <c r="G13" t="str">
        <f ca="1">IFERROR(_xludf.XLOOKUP(F13,Lists!$A:$A,Lists!$B:$B,"",0),"")</f>
        <v/>
      </c>
      <c r="S13" t="str">
        <f t="shared" si="1"/>
        <v/>
      </c>
      <c r="AQ13" t="str">
        <f t="shared" si="2"/>
        <v/>
      </c>
      <c r="AX13" t="str">
        <f ca="1">IFERROR(_xludf.XLOOKUP($T13&amp;"|Fe",ASSAY_KEYS,ASSAY_VALUES,""),"")</f>
        <v/>
      </c>
      <c r="AY13" t="str">
        <f ca="1">IFERROR(_xludf.XLOOKUP($T13&amp;"|SiO2",ASSAY_KEYS,ASSAY_VALUES,""),"")</f>
        <v/>
      </c>
      <c r="AZ13" t="str">
        <f ca="1">IFERROR(_xludf.XLOOKUP($T13&amp;"|Al2O3",ASSAY_KEYS,ASSAY_VALUES,""),"")</f>
        <v/>
      </c>
      <c r="BA13" t="str">
        <f ca="1">IFERROR(_xludf.XLOOKUP($T13&amp;"|P",ASSAY_KEYS,ASSAY_VALUES,""),"")</f>
        <v/>
      </c>
      <c r="BB13" t="str">
        <f ca="1">IFERROR(_xludf.XLOOKUP($T13&amp;"|S",ASSAY_KEYS,ASSAY_VALUES,""),"")</f>
        <v/>
      </c>
      <c r="BC13" t="str">
        <f ca="1">IFERROR(_xludf.XLOOKUP($T13&amp;"|LOI",ASSAY_KEYS,ASSAY_VALUES,""),"")</f>
        <v/>
      </c>
    </row>
    <row r="14" spans="1:55" x14ac:dyDescent="0.25">
      <c r="E14" t="str">
        <f t="shared" si="0"/>
        <v/>
      </c>
      <c r="G14" t="str">
        <f ca="1">IFERROR(_xludf.XLOOKUP(F14,Lists!$A:$A,Lists!$B:$B,"",0),"")</f>
        <v/>
      </c>
      <c r="S14" t="str">
        <f t="shared" si="1"/>
        <v/>
      </c>
      <c r="AQ14" t="str">
        <f t="shared" si="2"/>
        <v/>
      </c>
      <c r="AX14" t="str">
        <f ca="1">IFERROR(_xludf.XLOOKUP($T14&amp;"|Fe",ASSAY_KEYS,ASSAY_VALUES,""),"")</f>
        <v/>
      </c>
      <c r="AY14" t="str">
        <f ca="1">IFERROR(_xludf.XLOOKUP($T14&amp;"|SiO2",ASSAY_KEYS,ASSAY_VALUES,""),"")</f>
        <v/>
      </c>
      <c r="AZ14" t="str">
        <f ca="1">IFERROR(_xludf.XLOOKUP($T14&amp;"|Al2O3",ASSAY_KEYS,ASSAY_VALUES,""),"")</f>
        <v/>
      </c>
      <c r="BA14" t="str">
        <f ca="1">IFERROR(_xludf.XLOOKUP($T14&amp;"|P",ASSAY_KEYS,ASSAY_VALUES,""),"")</f>
        <v/>
      </c>
      <c r="BB14" t="str">
        <f ca="1">IFERROR(_xludf.XLOOKUP($T14&amp;"|S",ASSAY_KEYS,ASSAY_VALUES,""),"")</f>
        <v/>
      </c>
      <c r="BC14" t="str">
        <f ca="1">IFERROR(_xludf.XLOOKUP($T14&amp;"|LOI",ASSAY_KEYS,ASSAY_VALUES,""),"")</f>
        <v/>
      </c>
    </row>
    <row r="15" spans="1:55" x14ac:dyDescent="0.25">
      <c r="E15" t="str">
        <f t="shared" si="0"/>
        <v/>
      </c>
      <c r="G15" t="str">
        <f ca="1">IFERROR(_xludf.XLOOKUP(F15,Lists!$A:$A,Lists!$B:$B,"",0),"")</f>
        <v/>
      </c>
      <c r="S15" t="str">
        <f t="shared" si="1"/>
        <v/>
      </c>
      <c r="AQ15" t="str">
        <f t="shared" si="2"/>
        <v/>
      </c>
      <c r="AX15" t="str">
        <f ca="1">IFERROR(_xludf.XLOOKUP($T15&amp;"|Fe",ASSAY_KEYS,ASSAY_VALUES,""),"")</f>
        <v/>
      </c>
      <c r="AY15" t="str">
        <f ca="1">IFERROR(_xludf.XLOOKUP($T15&amp;"|SiO2",ASSAY_KEYS,ASSAY_VALUES,""),"")</f>
        <v/>
      </c>
      <c r="AZ15" t="str">
        <f ca="1">IFERROR(_xludf.XLOOKUP($T15&amp;"|Al2O3",ASSAY_KEYS,ASSAY_VALUES,""),"")</f>
        <v/>
      </c>
      <c r="BA15" t="str">
        <f ca="1">IFERROR(_xludf.XLOOKUP($T15&amp;"|P",ASSAY_KEYS,ASSAY_VALUES,""),"")</f>
        <v/>
      </c>
      <c r="BB15" t="str">
        <f ca="1">IFERROR(_xludf.XLOOKUP($T15&amp;"|S",ASSAY_KEYS,ASSAY_VALUES,""),"")</f>
        <v/>
      </c>
      <c r="BC15" t="str">
        <f ca="1">IFERROR(_xludf.XLOOKUP($T15&amp;"|LOI",ASSAY_KEYS,ASSAY_VALUES,""),"")</f>
        <v/>
      </c>
    </row>
    <row r="16" spans="1:55" x14ac:dyDescent="0.25">
      <c r="E16" t="str">
        <f t="shared" si="0"/>
        <v/>
      </c>
      <c r="G16" t="str">
        <f ca="1">IFERROR(_xludf.XLOOKUP(F16,Lists!$A:$A,Lists!$B:$B,"",0),"")</f>
        <v/>
      </c>
      <c r="S16" t="str">
        <f t="shared" si="1"/>
        <v/>
      </c>
      <c r="AQ16" t="str">
        <f t="shared" si="2"/>
        <v/>
      </c>
      <c r="AX16" t="str">
        <f ca="1">IFERROR(_xludf.XLOOKUP($T16&amp;"|Fe",ASSAY_KEYS,ASSAY_VALUES,""),"")</f>
        <v/>
      </c>
      <c r="AY16" t="str">
        <f ca="1">IFERROR(_xludf.XLOOKUP($T16&amp;"|SiO2",ASSAY_KEYS,ASSAY_VALUES,""),"")</f>
        <v/>
      </c>
      <c r="AZ16" t="str">
        <f ca="1">IFERROR(_xludf.XLOOKUP($T16&amp;"|Al2O3",ASSAY_KEYS,ASSAY_VALUES,""),"")</f>
        <v/>
      </c>
      <c r="BA16" t="str">
        <f ca="1">IFERROR(_xludf.XLOOKUP($T16&amp;"|P",ASSAY_KEYS,ASSAY_VALUES,""),"")</f>
        <v/>
      </c>
      <c r="BB16" t="str">
        <f ca="1">IFERROR(_xludf.XLOOKUP($T16&amp;"|S",ASSAY_KEYS,ASSAY_VALUES,""),"")</f>
        <v/>
      </c>
      <c r="BC16" t="str">
        <f ca="1">IFERROR(_xludf.XLOOKUP($T16&amp;"|LOI",ASSAY_KEYS,ASSAY_VALUES,""),"")</f>
        <v/>
      </c>
    </row>
    <row r="17" spans="5:55" x14ac:dyDescent="0.25">
      <c r="E17" t="str">
        <f t="shared" si="0"/>
        <v/>
      </c>
      <c r="G17" t="str">
        <f ca="1">IFERROR(_xludf.XLOOKUP(F17,Lists!$A:$A,Lists!$B:$B,"",0),"")</f>
        <v/>
      </c>
      <c r="S17" t="str">
        <f t="shared" si="1"/>
        <v/>
      </c>
      <c r="AQ17" t="str">
        <f t="shared" si="2"/>
        <v/>
      </c>
      <c r="AX17" t="str">
        <f ca="1">IFERROR(_xludf.XLOOKUP($T17&amp;"|Fe",ASSAY_KEYS,ASSAY_VALUES,""),"")</f>
        <v/>
      </c>
      <c r="AY17" t="str">
        <f ca="1">IFERROR(_xludf.XLOOKUP($T17&amp;"|SiO2",ASSAY_KEYS,ASSAY_VALUES,""),"")</f>
        <v/>
      </c>
      <c r="AZ17" t="str">
        <f ca="1">IFERROR(_xludf.XLOOKUP($T17&amp;"|Al2O3",ASSAY_KEYS,ASSAY_VALUES,""),"")</f>
        <v/>
      </c>
      <c r="BA17" t="str">
        <f ca="1">IFERROR(_xludf.XLOOKUP($T17&amp;"|P",ASSAY_KEYS,ASSAY_VALUES,""),"")</f>
        <v/>
      </c>
      <c r="BB17" t="str">
        <f ca="1">IFERROR(_xludf.XLOOKUP($T17&amp;"|S",ASSAY_KEYS,ASSAY_VALUES,""),"")</f>
        <v/>
      </c>
      <c r="BC17" t="str">
        <f ca="1">IFERROR(_xludf.XLOOKUP($T17&amp;"|LOI",ASSAY_KEYS,ASSAY_VALUES,""),"")</f>
        <v/>
      </c>
    </row>
    <row r="18" spans="5:55" x14ac:dyDescent="0.25">
      <c r="E18" t="str">
        <f t="shared" si="0"/>
        <v/>
      </c>
      <c r="G18" t="str">
        <f ca="1">IFERROR(_xludf.XLOOKUP(F18,Lists!$A:$A,Lists!$B:$B,"",0),"")</f>
        <v/>
      </c>
      <c r="S18" t="str">
        <f t="shared" si="1"/>
        <v/>
      </c>
      <c r="AQ18" t="str">
        <f t="shared" si="2"/>
        <v/>
      </c>
      <c r="AX18" t="str">
        <f ca="1">IFERROR(_xludf.XLOOKUP($T18&amp;"|Fe",ASSAY_KEYS,ASSAY_VALUES,""),"")</f>
        <v/>
      </c>
      <c r="AY18" t="str">
        <f ca="1">IFERROR(_xludf.XLOOKUP($T18&amp;"|SiO2",ASSAY_KEYS,ASSAY_VALUES,""),"")</f>
        <v/>
      </c>
      <c r="AZ18" t="str">
        <f ca="1">IFERROR(_xludf.XLOOKUP($T18&amp;"|Al2O3",ASSAY_KEYS,ASSAY_VALUES,""),"")</f>
        <v/>
      </c>
      <c r="BA18" t="str">
        <f ca="1">IFERROR(_xludf.XLOOKUP($T18&amp;"|P",ASSAY_KEYS,ASSAY_VALUES,""),"")</f>
        <v/>
      </c>
      <c r="BB18" t="str">
        <f ca="1">IFERROR(_xludf.XLOOKUP($T18&amp;"|S",ASSAY_KEYS,ASSAY_VALUES,""),"")</f>
        <v/>
      </c>
      <c r="BC18" t="str">
        <f ca="1">IFERROR(_xludf.XLOOKUP($T18&amp;"|LOI",ASSAY_KEYS,ASSAY_VALUES,""),"")</f>
        <v/>
      </c>
    </row>
    <row r="19" spans="5:55" x14ac:dyDescent="0.25">
      <c r="E19" t="str">
        <f t="shared" si="0"/>
        <v/>
      </c>
      <c r="G19" t="str">
        <f ca="1">IFERROR(_xludf.XLOOKUP(F19,Lists!$A:$A,Lists!$B:$B,"",0),"")</f>
        <v/>
      </c>
      <c r="S19" t="str">
        <f t="shared" si="1"/>
        <v/>
      </c>
      <c r="AQ19" t="str">
        <f t="shared" si="2"/>
        <v/>
      </c>
      <c r="AX19" t="str">
        <f ca="1">IFERROR(_xludf.XLOOKUP($T19&amp;"|Fe",ASSAY_KEYS,ASSAY_VALUES,""),"")</f>
        <v/>
      </c>
      <c r="AY19" t="str">
        <f ca="1">IFERROR(_xludf.XLOOKUP($T19&amp;"|SiO2",ASSAY_KEYS,ASSAY_VALUES,""),"")</f>
        <v/>
      </c>
      <c r="AZ19" t="str">
        <f ca="1">IFERROR(_xludf.XLOOKUP($T19&amp;"|Al2O3",ASSAY_KEYS,ASSAY_VALUES,""),"")</f>
        <v/>
      </c>
      <c r="BA19" t="str">
        <f ca="1">IFERROR(_xludf.XLOOKUP($T19&amp;"|P",ASSAY_KEYS,ASSAY_VALUES,""),"")</f>
        <v/>
      </c>
      <c r="BB19" t="str">
        <f ca="1">IFERROR(_xludf.XLOOKUP($T19&amp;"|S",ASSAY_KEYS,ASSAY_VALUES,""),"")</f>
        <v/>
      </c>
      <c r="BC19" t="str">
        <f ca="1">IFERROR(_xludf.XLOOKUP($T19&amp;"|LOI",ASSAY_KEYS,ASSAY_VALUES,""),"")</f>
        <v/>
      </c>
    </row>
    <row r="20" spans="5:55" x14ac:dyDescent="0.25">
      <c r="E20" t="str">
        <f t="shared" si="0"/>
        <v/>
      </c>
      <c r="G20" t="str">
        <f ca="1">IFERROR(_xludf.XLOOKUP(F20,Lists!$A:$A,Lists!$B:$B,"",0),"")</f>
        <v/>
      </c>
      <c r="S20" t="str">
        <f t="shared" si="1"/>
        <v/>
      </c>
      <c r="AQ20" t="str">
        <f t="shared" si="2"/>
        <v/>
      </c>
      <c r="AX20" t="str">
        <f ca="1">IFERROR(_xludf.XLOOKUP($T20&amp;"|Fe",ASSAY_KEYS,ASSAY_VALUES,""),"")</f>
        <v/>
      </c>
      <c r="AY20" t="str">
        <f ca="1">IFERROR(_xludf.XLOOKUP($T20&amp;"|SiO2",ASSAY_KEYS,ASSAY_VALUES,""),"")</f>
        <v/>
      </c>
      <c r="AZ20" t="str">
        <f ca="1">IFERROR(_xludf.XLOOKUP($T20&amp;"|Al2O3",ASSAY_KEYS,ASSAY_VALUES,""),"")</f>
        <v/>
      </c>
      <c r="BA20" t="str">
        <f ca="1">IFERROR(_xludf.XLOOKUP($T20&amp;"|P",ASSAY_KEYS,ASSAY_VALUES,""),"")</f>
        <v/>
      </c>
      <c r="BB20" t="str">
        <f ca="1">IFERROR(_xludf.XLOOKUP($T20&amp;"|S",ASSAY_KEYS,ASSAY_VALUES,""),"")</f>
        <v/>
      </c>
      <c r="BC20" t="str">
        <f ca="1">IFERROR(_xludf.XLOOKUP($T20&amp;"|LOI",ASSAY_KEYS,ASSAY_VALUES,""),"")</f>
        <v/>
      </c>
    </row>
    <row r="21" spans="5:55" x14ac:dyDescent="0.25">
      <c r="E21" t="str">
        <f t="shared" si="0"/>
        <v/>
      </c>
      <c r="G21" t="str">
        <f ca="1">IFERROR(_xludf.XLOOKUP(F21,Lists!$A:$A,Lists!$B:$B,"",0),"")</f>
        <v/>
      </c>
      <c r="S21" t="str">
        <f t="shared" si="1"/>
        <v/>
      </c>
      <c r="AQ21" t="str">
        <f t="shared" si="2"/>
        <v/>
      </c>
      <c r="AX21" t="str">
        <f ca="1">IFERROR(_xludf.XLOOKUP($T21&amp;"|Fe",ASSAY_KEYS,ASSAY_VALUES,""),"")</f>
        <v/>
      </c>
      <c r="AY21" t="str">
        <f ca="1">IFERROR(_xludf.XLOOKUP($T21&amp;"|SiO2",ASSAY_KEYS,ASSAY_VALUES,""),"")</f>
        <v/>
      </c>
      <c r="AZ21" t="str">
        <f ca="1">IFERROR(_xludf.XLOOKUP($T21&amp;"|Al2O3",ASSAY_KEYS,ASSAY_VALUES,""),"")</f>
        <v/>
      </c>
      <c r="BA21" t="str">
        <f ca="1">IFERROR(_xludf.XLOOKUP($T21&amp;"|P",ASSAY_KEYS,ASSAY_VALUES,""),"")</f>
        <v/>
      </c>
      <c r="BB21" t="str">
        <f ca="1">IFERROR(_xludf.XLOOKUP($T21&amp;"|S",ASSAY_KEYS,ASSAY_VALUES,""),"")</f>
        <v/>
      </c>
      <c r="BC21" t="str">
        <f ca="1">IFERROR(_xludf.XLOOKUP($T21&amp;"|LOI",ASSAY_KEYS,ASSAY_VALUES,""),"")</f>
        <v/>
      </c>
    </row>
    <row r="22" spans="5:55" x14ac:dyDescent="0.25">
      <c r="E22" t="str">
        <f t="shared" si="0"/>
        <v/>
      </c>
      <c r="G22" t="str">
        <f ca="1">IFERROR(_xludf.XLOOKUP(F22,Lists!$A:$A,Lists!$B:$B,"",0),"")</f>
        <v/>
      </c>
      <c r="S22" t="str">
        <f t="shared" si="1"/>
        <v/>
      </c>
      <c r="AQ22" t="str">
        <f t="shared" si="2"/>
        <v/>
      </c>
      <c r="AX22" t="str">
        <f ca="1">IFERROR(_xludf.XLOOKUP($T22&amp;"|Fe",ASSAY_KEYS,ASSAY_VALUES,""),"")</f>
        <v/>
      </c>
      <c r="AY22" t="str">
        <f ca="1">IFERROR(_xludf.XLOOKUP($T22&amp;"|SiO2",ASSAY_KEYS,ASSAY_VALUES,""),"")</f>
        <v/>
      </c>
      <c r="AZ22" t="str">
        <f ca="1">IFERROR(_xludf.XLOOKUP($T22&amp;"|Al2O3",ASSAY_KEYS,ASSAY_VALUES,""),"")</f>
        <v/>
      </c>
      <c r="BA22" t="str">
        <f ca="1">IFERROR(_xludf.XLOOKUP($T22&amp;"|P",ASSAY_KEYS,ASSAY_VALUES,""),"")</f>
        <v/>
      </c>
      <c r="BB22" t="str">
        <f ca="1">IFERROR(_xludf.XLOOKUP($T22&amp;"|S",ASSAY_KEYS,ASSAY_VALUES,""),"")</f>
        <v/>
      </c>
      <c r="BC22" t="str">
        <f ca="1">IFERROR(_xludf.XLOOKUP($T22&amp;"|LOI",ASSAY_KEYS,ASSAY_VALUES,""),"")</f>
        <v/>
      </c>
    </row>
    <row r="23" spans="5:55" x14ac:dyDescent="0.25">
      <c r="E23" t="str">
        <f t="shared" si="0"/>
        <v/>
      </c>
      <c r="G23" t="str">
        <f ca="1">IFERROR(_xludf.XLOOKUP(F23,Lists!$A:$A,Lists!$B:$B,"",0),"")</f>
        <v/>
      </c>
      <c r="S23" t="str">
        <f t="shared" si="1"/>
        <v/>
      </c>
      <c r="AQ23" t="str">
        <f t="shared" si="2"/>
        <v/>
      </c>
      <c r="AX23" t="str">
        <f ca="1">IFERROR(_xludf.XLOOKUP($T23&amp;"|Fe",ASSAY_KEYS,ASSAY_VALUES,""),"")</f>
        <v/>
      </c>
      <c r="AY23" t="str">
        <f ca="1">IFERROR(_xludf.XLOOKUP($T23&amp;"|SiO2",ASSAY_KEYS,ASSAY_VALUES,""),"")</f>
        <v/>
      </c>
      <c r="AZ23" t="str">
        <f ca="1">IFERROR(_xludf.XLOOKUP($T23&amp;"|Al2O3",ASSAY_KEYS,ASSAY_VALUES,""),"")</f>
        <v/>
      </c>
      <c r="BA23" t="str">
        <f ca="1">IFERROR(_xludf.XLOOKUP($T23&amp;"|P",ASSAY_KEYS,ASSAY_VALUES,""),"")</f>
        <v/>
      </c>
      <c r="BB23" t="str">
        <f ca="1">IFERROR(_xludf.XLOOKUP($T23&amp;"|S",ASSAY_KEYS,ASSAY_VALUES,""),"")</f>
        <v/>
      </c>
      <c r="BC23" t="str">
        <f ca="1">IFERROR(_xludf.XLOOKUP($T23&amp;"|LOI",ASSAY_KEYS,ASSAY_VALUES,""),"")</f>
        <v/>
      </c>
    </row>
    <row r="24" spans="5:55" x14ac:dyDescent="0.25">
      <c r="E24" t="str">
        <f t="shared" si="0"/>
        <v/>
      </c>
      <c r="G24" t="str">
        <f ca="1">IFERROR(_xludf.XLOOKUP(F24,Lists!$A:$A,Lists!$B:$B,"",0),"")</f>
        <v/>
      </c>
      <c r="S24" t="str">
        <f t="shared" si="1"/>
        <v/>
      </c>
      <c r="AQ24" t="str">
        <f t="shared" si="2"/>
        <v/>
      </c>
      <c r="AX24" t="str">
        <f ca="1">IFERROR(_xludf.XLOOKUP($T24&amp;"|Fe",ASSAY_KEYS,ASSAY_VALUES,""),"")</f>
        <v/>
      </c>
      <c r="AY24" t="str">
        <f ca="1">IFERROR(_xludf.XLOOKUP($T24&amp;"|SiO2",ASSAY_KEYS,ASSAY_VALUES,""),"")</f>
        <v/>
      </c>
      <c r="AZ24" t="str">
        <f ca="1">IFERROR(_xludf.XLOOKUP($T24&amp;"|Al2O3",ASSAY_KEYS,ASSAY_VALUES,""),"")</f>
        <v/>
      </c>
      <c r="BA24" t="str">
        <f ca="1">IFERROR(_xludf.XLOOKUP($T24&amp;"|P",ASSAY_KEYS,ASSAY_VALUES,""),"")</f>
        <v/>
      </c>
      <c r="BB24" t="str">
        <f ca="1">IFERROR(_xludf.XLOOKUP($T24&amp;"|S",ASSAY_KEYS,ASSAY_VALUES,""),"")</f>
        <v/>
      </c>
      <c r="BC24" t="str">
        <f ca="1">IFERROR(_xludf.XLOOKUP($T24&amp;"|LOI",ASSAY_KEYS,ASSAY_VALUES,""),"")</f>
        <v/>
      </c>
    </row>
    <row r="25" spans="5:55" x14ac:dyDescent="0.25">
      <c r="E25" t="str">
        <f t="shared" si="0"/>
        <v/>
      </c>
      <c r="G25" t="str">
        <f ca="1">IFERROR(_xludf.XLOOKUP(F25,Lists!$A:$A,Lists!$B:$B,"",0),"")</f>
        <v/>
      </c>
      <c r="S25" t="str">
        <f t="shared" si="1"/>
        <v/>
      </c>
      <c r="AQ25" t="str">
        <f t="shared" si="2"/>
        <v/>
      </c>
      <c r="AX25" t="str">
        <f ca="1">IFERROR(_xludf.XLOOKUP($T25&amp;"|Fe",ASSAY_KEYS,ASSAY_VALUES,""),"")</f>
        <v/>
      </c>
      <c r="AY25" t="str">
        <f ca="1">IFERROR(_xludf.XLOOKUP($T25&amp;"|SiO2",ASSAY_KEYS,ASSAY_VALUES,""),"")</f>
        <v/>
      </c>
      <c r="AZ25" t="str">
        <f ca="1">IFERROR(_xludf.XLOOKUP($T25&amp;"|Al2O3",ASSAY_KEYS,ASSAY_VALUES,""),"")</f>
        <v/>
      </c>
      <c r="BA25" t="str">
        <f ca="1">IFERROR(_xludf.XLOOKUP($T25&amp;"|P",ASSAY_KEYS,ASSAY_VALUES,""),"")</f>
        <v/>
      </c>
      <c r="BB25" t="str">
        <f ca="1">IFERROR(_xludf.XLOOKUP($T25&amp;"|S",ASSAY_KEYS,ASSAY_VALUES,""),"")</f>
        <v/>
      </c>
      <c r="BC25" t="str">
        <f ca="1">IFERROR(_xludf.XLOOKUP($T25&amp;"|LOI",ASSAY_KEYS,ASSAY_VALUES,""),"")</f>
        <v/>
      </c>
    </row>
    <row r="26" spans="5:55" x14ac:dyDescent="0.25">
      <c r="E26" t="str">
        <f t="shared" si="0"/>
        <v/>
      </c>
      <c r="G26" t="str">
        <f ca="1">IFERROR(_xludf.XLOOKUP(F26,Lists!$A:$A,Lists!$B:$B,"",0),"")</f>
        <v/>
      </c>
      <c r="S26" t="str">
        <f t="shared" si="1"/>
        <v/>
      </c>
      <c r="AQ26" t="str">
        <f t="shared" si="2"/>
        <v/>
      </c>
      <c r="AX26" t="str">
        <f ca="1">IFERROR(_xludf.XLOOKUP($T26&amp;"|Fe",ASSAY_KEYS,ASSAY_VALUES,""),"")</f>
        <v/>
      </c>
      <c r="AY26" t="str">
        <f ca="1">IFERROR(_xludf.XLOOKUP($T26&amp;"|SiO2",ASSAY_KEYS,ASSAY_VALUES,""),"")</f>
        <v/>
      </c>
      <c r="AZ26" t="str">
        <f ca="1">IFERROR(_xludf.XLOOKUP($T26&amp;"|Al2O3",ASSAY_KEYS,ASSAY_VALUES,""),"")</f>
        <v/>
      </c>
      <c r="BA26" t="str">
        <f ca="1">IFERROR(_xludf.XLOOKUP($T26&amp;"|P",ASSAY_KEYS,ASSAY_VALUES,""),"")</f>
        <v/>
      </c>
      <c r="BB26" t="str">
        <f ca="1">IFERROR(_xludf.XLOOKUP($T26&amp;"|S",ASSAY_KEYS,ASSAY_VALUES,""),"")</f>
        <v/>
      </c>
      <c r="BC26" t="str">
        <f ca="1">IFERROR(_xludf.XLOOKUP($T26&amp;"|LOI",ASSAY_KEYS,ASSAY_VALUES,""),"")</f>
        <v/>
      </c>
    </row>
    <row r="27" spans="5:55" x14ac:dyDescent="0.25">
      <c r="E27" t="str">
        <f t="shared" si="0"/>
        <v/>
      </c>
      <c r="G27" t="str">
        <f ca="1">IFERROR(_xludf.XLOOKUP(F27,Lists!$A:$A,Lists!$B:$B,"",0),"")</f>
        <v/>
      </c>
      <c r="S27" t="str">
        <f t="shared" si="1"/>
        <v/>
      </c>
      <c r="AQ27" t="str">
        <f t="shared" si="2"/>
        <v/>
      </c>
      <c r="AX27" t="str">
        <f ca="1">IFERROR(_xludf.XLOOKUP($T27&amp;"|Fe",ASSAY_KEYS,ASSAY_VALUES,""),"")</f>
        <v/>
      </c>
      <c r="AY27" t="str">
        <f ca="1">IFERROR(_xludf.XLOOKUP($T27&amp;"|SiO2",ASSAY_KEYS,ASSAY_VALUES,""),"")</f>
        <v/>
      </c>
      <c r="AZ27" t="str">
        <f ca="1">IFERROR(_xludf.XLOOKUP($T27&amp;"|Al2O3",ASSAY_KEYS,ASSAY_VALUES,""),"")</f>
        <v/>
      </c>
      <c r="BA27" t="str">
        <f ca="1">IFERROR(_xludf.XLOOKUP($T27&amp;"|P",ASSAY_KEYS,ASSAY_VALUES,""),"")</f>
        <v/>
      </c>
      <c r="BB27" t="str">
        <f ca="1">IFERROR(_xludf.XLOOKUP($T27&amp;"|S",ASSAY_KEYS,ASSAY_VALUES,""),"")</f>
        <v/>
      </c>
      <c r="BC27" t="str">
        <f ca="1">IFERROR(_xludf.XLOOKUP($T27&amp;"|LOI",ASSAY_KEYS,ASSAY_VALUES,""),"")</f>
        <v/>
      </c>
    </row>
    <row r="28" spans="5:55" x14ac:dyDescent="0.25">
      <c r="E28" t="str">
        <f t="shared" si="0"/>
        <v/>
      </c>
      <c r="G28" t="str">
        <f ca="1">IFERROR(_xludf.XLOOKUP(F28,Lists!$A:$A,Lists!$B:$B,"",0),"")</f>
        <v/>
      </c>
      <c r="S28" t="str">
        <f t="shared" si="1"/>
        <v/>
      </c>
      <c r="AQ28" t="str">
        <f t="shared" si="2"/>
        <v/>
      </c>
      <c r="AX28" t="str">
        <f ca="1">IFERROR(_xludf.XLOOKUP($T28&amp;"|Fe",ASSAY_KEYS,ASSAY_VALUES,""),"")</f>
        <v/>
      </c>
      <c r="AY28" t="str">
        <f ca="1">IFERROR(_xludf.XLOOKUP($T28&amp;"|SiO2",ASSAY_KEYS,ASSAY_VALUES,""),"")</f>
        <v/>
      </c>
      <c r="AZ28" t="str">
        <f ca="1">IFERROR(_xludf.XLOOKUP($T28&amp;"|Al2O3",ASSAY_KEYS,ASSAY_VALUES,""),"")</f>
        <v/>
      </c>
      <c r="BA28" t="str">
        <f ca="1">IFERROR(_xludf.XLOOKUP($T28&amp;"|P",ASSAY_KEYS,ASSAY_VALUES,""),"")</f>
        <v/>
      </c>
      <c r="BB28" t="str">
        <f ca="1">IFERROR(_xludf.XLOOKUP($T28&amp;"|S",ASSAY_KEYS,ASSAY_VALUES,""),"")</f>
        <v/>
      </c>
      <c r="BC28" t="str">
        <f ca="1">IFERROR(_xludf.XLOOKUP($T28&amp;"|LOI",ASSAY_KEYS,ASSAY_VALUES,""),"")</f>
        <v/>
      </c>
    </row>
    <row r="29" spans="5:55" x14ac:dyDescent="0.25">
      <c r="E29" t="str">
        <f t="shared" si="0"/>
        <v/>
      </c>
      <c r="G29" t="str">
        <f ca="1">IFERROR(_xludf.XLOOKUP(F29,Lists!$A:$A,Lists!$B:$B,"",0),"")</f>
        <v/>
      </c>
      <c r="S29" t="str">
        <f t="shared" si="1"/>
        <v/>
      </c>
      <c r="AQ29" t="str">
        <f t="shared" si="2"/>
        <v/>
      </c>
      <c r="AX29" t="str">
        <f ca="1">IFERROR(_xludf.XLOOKUP($T29&amp;"|Fe",ASSAY_KEYS,ASSAY_VALUES,""),"")</f>
        <v/>
      </c>
      <c r="AY29" t="str">
        <f ca="1">IFERROR(_xludf.XLOOKUP($T29&amp;"|SiO2",ASSAY_KEYS,ASSAY_VALUES,""),"")</f>
        <v/>
      </c>
      <c r="AZ29" t="str">
        <f ca="1">IFERROR(_xludf.XLOOKUP($T29&amp;"|Al2O3",ASSAY_KEYS,ASSAY_VALUES,""),"")</f>
        <v/>
      </c>
      <c r="BA29" t="str">
        <f ca="1">IFERROR(_xludf.XLOOKUP($T29&amp;"|P",ASSAY_KEYS,ASSAY_VALUES,""),"")</f>
        <v/>
      </c>
      <c r="BB29" t="str">
        <f ca="1">IFERROR(_xludf.XLOOKUP($T29&amp;"|S",ASSAY_KEYS,ASSAY_VALUES,""),"")</f>
        <v/>
      </c>
      <c r="BC29" t="str">
        <f ca="1">IFERROR(_xludf.XLOOKUP($T29&amp;"|LOI",ASSAY_KEYS,ASSAY_VALUES,""),"")</f>
        <v/>
      </c>
    </row>
    <row r="30" spans="5:55" x14ac:dyDescent="0.25">
      <c r="E30" t="str">
        <f t="shared" si="0"/>
        <v/>
      </c>
      <c r="G30" t="str">
        <f ca="1">IFERROR(_xludf.XLOOKUP(F30,Lists!$A:$A,Lists!$B:$B,"",0),"")</f>
        <v/>
      </c>
      <c r="S30" t="str">
        <f t="shared" si="1"/>
        <v/>
      </c>
      <c r="AQ30" t="str">
        <f t="shared" si="2"/>
        <v/>
      </c>
      <c r="AX30" t="str">
        <f ca="1">IFERROR(_xludf.XLOOKUP($T30&amp;"|Fe",ASSAY_KEYS,ASSAY_VALUES,""),"")</f>
        <v/>
      </c>
      <c r="AY30" t="str">
        <f ca="1">IFERROR(_xludf.XLOOKUP($T30&amp;"|SiO2",ASSAY_KEYS,ASSAY_VALUES,""),"")</f>
        <v/>
      </c>
      <c r="AZ30" t="str">
        <f ca="1">IFERROR(_xludf.XLOOKUP($T30&amp;"|Al2O3",ASSAY_KEYS,ASSAY_VALUES,""),"")</f>
        <v/>
      </c>
      <c r="BA30" t="str">
        <f ca="1">IFERROR(_xludf.XLOOKUP($T30&amp;"|P",ASSAY_KEYS,ASSAY_VALUES,""),"")</f>
        <v/>
      </c>
      <c r="BB30" t="str">
        <f ca="1">IFERROR(_xludf.XLOOKUP($T30&amp;"|S",ASSAY_KEYS,ASSAY_VALUES,""),"")</f>
        <v/>
      </c>
      <c r="BC30" t="str">
        <f ca="1">IFERROR(_xludf.XLOOKUP($T30&amp;"|LOI",ASSAY_KEYS,ASSAY_VALUES,""),"")</f>
        <v/>
      </c>
    </row>
    <row r="31" spans="5:55" x14ac:dyDescent="0.25">
      <c r="E31" t="str">
        <f t="shared" si="0"/>
        <v/>
      </c>
      <c r="G31" t="str">
        <f ca="1">IFERROR(_xludf.XLOOKUP(F31,Lists!$A:$A,Lists!$B:$B,"",0),"")</f>
        <v/>
      </c>
      <c r="S31" t="str">
        <f t="shared" si="1"/>
        <v/>
      </c>
      <c r="AQ31" t="str">
        <f t="shared" si="2"/>
        <v/>
      </c>
      <c r="AX31" t="str">
        <f ca="1">IFERROR(_xludf.XLOOKUP($T31&amp;"|Fe",ASSAY_KEYS,ASSAY_VALUES,""),"")</f>
        <v/>
      </c>
      <c r="AY31" t="str">
        <f ca="1">IFERROR(_xludf.XLOOKUP($T31&amp;"|SiO2",ASSAY_KEYS,ASSAY_VALUES,""),"")</f>
        <v/>
      </c>
      <c r="AZ31" t="str">
        <f ca="1">IFERROR(_xludf.XLOOKUP($T31&amp;"|Al2O3",ASSAY_KEYS,ASSAY_VALUES,""),"")</f>
        <v/>
      </c>
      <c r="BA31" t="str">
        <f ca="1">IFERROR(_xludf.XLOOKUP($T31&amp;"|P",ASSAY_KEYS,ASSAY_VALUES,""),"")</f>
        <v/>
      </c>
      <c r="BB31" t="str">
        <f ca="1">IFERROR(_xludf.XLOOKUP($T31&amp;"|S",ASSAY_KEYS,ASSAY_VALUES,""),"")</f>
        <v/>
      </c>
      <c r="BC31" t="str">
        <f ca="1">IFERROR(_xludf.XLOOKUP($T31&amp;"|LOI",ASSAY_KEYS,ASSAY_VALUES,""),"")</f>
        <v/>
      </c>
    </row>
    <row r="32" spans="5:55" x14ac:dyDescent="0.25">
      <c r="E32" t="str">
        <f t="shared" si="0"/>
        <v/>
      </c>
      <c r="G32" t="str">
        <f ca="1">IFERROR(_xludf.XLOOKUP(F32,Lists!$A:$A,Lists!$B:$B,"",0),"")</f>
        <v/>
      </c>
      <c r="S32" t="str">
        <f t="shared" si="1"/>
        <v/>
      </c>
      <c r="AQ32" t="str">
        <f t="shared" si="2"/>
        <v/>
      </c>
      <c r="AX32" t="str">
        <f ca="1">IFERROR(_xludf.XLOOKUP($T32&amp;"|Fe",ASSAY_KEYS,ASSAY_VALUES,""),"")</f>
        <v/>
      </c>
      <c r="AY32" t="str">
        <f ca="1">IFERROR(_xludf.XLOOKUP($T32&amp;"|SiO2",ASSAY_KEYS,ASSAY_VALUES,""),"")</f>
        <v/>
      </c>
      <c r="AZ32" t="str">
        <f ca="1">IFERROR(_xludf.XLOOKUP($T32&amp;"|Al2O3",ASSAY_KEYS,ASSAY_VALUES,""),"")</f>
        <v/>
      </c>
      <c r="BA32" t="str">
        <f ca="1">IFERROR(_xludf.XLOOKUP($T32&amp;"|P",ASSAY_KEYS,ASSAY_VALUES,""),"")</f>
        <v/>
      </c>
      <c r="BB32" t="str">
        <f ca="1">IFERROR(_xludf.XLOOKUP($T32&amp;"|S",ASSAY_KEYS,ASSAY_VALUES,""),"")</f>
        <v/>
      </c>
      <c r="BC32" t="str">
        <f ca="1">IFERROR(_xludf.XLOOKUP($T32&amp;"|LOI",ASSAY_KEYS,ASSAY_VALUES,""),"")</f>
        <v/>
      </c>
    </row>
    <row r="33" spans="5:55" x14ac:dyDescent="0.25">
      <c r="E33" t="str">
        <f t="shared" si="0"/>
        <v/>
      </c>
      <c r="G33" t="str">
        <f ca="1">IFERROR(_xludf.XLOOKUP(F33,Lists!$A:$A,Lists!$B:$B,"",0),"")</f>
        <v/>
      </c>
      <c r="S33" t="str">
        <f t="shared" si="1"/>
        <v/>
      </c>
      <c r="AQ33" t="str">
        <f t="shared" si="2"/>
        <v/>
      </c>
      <c r="AX33" t="str">
        <f ca="1">IFERROR(_xludf.XLOOKUP($T33&amp;"|Fe",ASSAY_KEYS,ASSAY_VALUES,""),"")</f>
        <v/>
      </c>
      <c r="AY33" t="str">
        <f ca="1">IFERROR(_xludf.XLOOKUP($T33&amp;"|SiO2",ASSAY_KEYS,ASSAY_VALUES,""),"")</f>
        <v/>
      </c>
      <c r="AZ33" t="str">
        <f ca="1">IFERROR(_xludf.XLOOKUP($T33&amp;"|Al2O3",ASSAY_KEYS,ASSAY_VALUES,""),"")</f>
        <v/>
      </c>
      <c r="BA33" t="str">
        <f ca="1">IFERROR(_xludf.XLOOKUP($T33&amp;"|P",ASSAY_KEYS,ASSAY_VALUES,""),"")</f>
        <v/>
      </c>
      <c r="BB33" t="str">
        <f ca="1">IFERROR(_xludf.XLOOKUP($T33&amp;"|S",ASSAY_KEYS,ASSAY_VALUES,""),"")</f>
        <v/>
      </c>
      <c r="BC33" t="str">
        <f ca="1">IFERROR(_xludf.XLOOKUP($T33&amp;"|LOI",ASSAY_KEYS,ASSAY_VALUES,""),"")</f>
        <v/>
      </c>
    </row>
    <row r="34" spans="5:55" x14ac:dyDescent="0.25">
      <c r="E34" t="str">
        <f t="shared" si="0"/>
        <v/>
      </c>
      <c r="G34" t="str">
        <f ca="1">IFERROR(_xludf.XLOOKUP(F34,Lists!$A:$A,Lists!$B:$B,"",0),"")</f>
        <v/>
      </c>
      <c r="S34" t="str">
        <f t="shared" si="1"/>
        <v/>
      </c>
      <c r="AQ34" t="str">
        <f t="shared" si="2"/>
        <v/>
      </c>
      <c r="AX34" t="str">
        <f ca="1">IFERROR(_xludf.XLOOKUP($T34&amp;"|Fe",ASSAY_KEYS,ASSAY_VALUES,""),"")</f>
        <v/>
      </c>
      <c r="AY34" t="str">
        <f ca="1">IFERROR(_xludf.XLOOKUP($T34&amp;"|SiO2",ASSAY_KEYS,ASSAY_VALUES,""),"")</f>
        <v/>
      </c>
      <c r="AZ34" t="str">
        <f ca="1">IFERROR(_xludf.XLOOKUP($T34&amp;"|Al2O3",ASSAY_KEYS,ASSAY_VALUES,""),"")</f>
        <v/>
      </c>
      <c r="BA34" t="str">
        <f ca="1">IFERROR(_xludf.XLOOKUP($T34&amp;"|P",ASSAY_KEYS,ASSAY_VALUES,""),"")</f>
        <v/>
      </c>
      <c r="BB34" t="str">
        <f ca="1">IFERROR(_xludf.XLOOKUP($T34&amp;"|S",ASSAY_KEYS,ASSAY_VALUES,""),"")</f>
        <v/>
      </c>
      <c r="BC34" t="str">
        <f ca="1">IFERROR(_xludf.XLOOKUP($T34&amp;"|LOI",ASSAY_KEYS,ASSAY_VALUES,""),"")</f>
        <v/>
      </c>
    </row>
    <row r="35" spans="5:55" x14ac:dyDescent="0.25">
      <c r="E35" t="str">
        <f t="shared" si="0"/>
        <v/>
      </c>
      <c r="G35" t="str">
        <f ca="1">IFERROR(_xludf.XLOOKUP(F35,Lists!$A:$A,Lists!$B:$B,"",0),"")</f>
        <v/>
      </c>
      <c r="S35" t="str">
        <f t="shared" si="1"/>
        <v/>
      </c>
      <c r="AQ35" t="str">
        <f t="shared" si="2"/>
        <v/>
      </c>
      <c r="AX35" t="str">
        <f ca="1">IFERROR(_xludf.XLOOKUP($T35&amp;"|Fe",ASSAY_KEYS,ASSAY_VALUES,""),"")</f>
        <v/>
      </c>
      <c r="AY35" t="str">
        <f ca="1">IFERROR(_xludf.XLOOKUP($T35&amp;"|SiO2",ASSAY_KEYS,ASSAY_VALUES,""),"")</f>
        <v/>
      </c>
      <c r="AZ35" t="str">
        <f ca="1">IFERROR(_xludf.XLOOKUP($T35&amp;"|Al2O3",ASSAY_KEYS,ASSAY_VALUES,""),"")</f>
        <v/>
      </c>
      <c r="BA35" t="str">
        <f ca="1">IFERROR(_xludf.XLOOKUP($T35&amp;"|P",ASSAY_KEYS,ASSAY_VALUES,""),"")</f>
        <v/>
      </c>
      <c r="BB35" t="str">
        <f ca="1">IFERROR(_xludf.XLOOKUP($T35&amp;"|S",ASSAY_KEYS,ASSAY_VALUES,""),"")</f>
        <v/>
      </c>
      <c r="BC35" t="str">
        <f ca="1">IFERROR(_xludf.XLOOKUP($T35&amp;"|LOI",ASSAY_KEYS,ASSAY_VALUES,""),"")</f>
        <v/>
      </c>
    </row>
    <row r="36" spans="5:55" x14ac:dyDescent="0.25">
      <c r="E36" t="str">
        <f t="shared" si="0"/>
        <v/>
      </c>
      <c r="G36" t="str">
        <f ca="1">IFERROR(_xludf.XLOOKUP(F36,Lists!$A:$A,Lists!$B:$B,"",0),"")</f>
        <v/>
      </c>
      <c r="S36" t="str">
        <f t="shared" si="1"/>
        <v/>
      </c>
      <c r="AQ36" t="str">
        <f t="shared" si="2"/>
        <v/>
      </c>
      <c r="AX36" t="str">
        <f ca="1">IFERROR(_xludf.XLOOKUP($T36&amp;"|Fe",ASSAY_KEYS,ASSAY_VALUES,""),"")</f>
        <v/>
      </c>
      <c r="AY36" t="str">
        <f ca="1">IFERROR(_xludf.XLOOKUP($T36&amp;"|SiO2",ASSAY_KEYS,ASSAY_VALUES,""),"")</f>
        <v/>
      </c>
      <c r="AZ36" t="str">
        <f ca="1">IFERROR(_xludf.XLOOKUP($T36&amp;"|Al2O3",ASSAY_KEYS,ASSAY_VALUES,""),"")</f>
        <v/>
      </c>
      <c r="BA36" t="str">
        <f ca="1">IFERROR(_xludf.XLOOKUP($T36&amp;"|P",ASSAY_KEYS,ASSAY_VALUES,""),"")</f>
        <v/>
      </c>
      <c r="BB36" t="str">
        <f ca="1">IFERROR(_xludf.XLOOKUP($T36&amp;"|S",ASSAY_KEYS,ASSAY_VALUES,""),"")</f>
        <v/>
      </c>
      <c r="BC36" t="str">
        <f ca="1">IFERROR(_xludf.XLOOKUP($T36&amp;"|LOI",ASSAY_KEYS,ASSAY_VALUES,""),"")</f>
        <v/>
      </c>
    </row>
    <row r="37" spans="5:55" x14ac:dyDescent="0.25">
      <c r="E37" t="str">
        <f t="shared" si="0"/>
        <v/>
      </c>
      <c r="G37" t="str">
        <f ca="1">IFERROR(_xludf.XLOOKUP(F37,Lists!$A:$A,Lists!$B:$B,"",0),"")</f>
        <v/>
      </c>
      <c r="S37" t="str">
        <f t="shared" si="1"/>
        <v/>
      </c>
      <c r="AQ37" t="str">
        <f t="shared" si="2"/>
        <v/>
      </c>
      <c r="AX37" t="str">
        <f ca="1">IFERROR(_xludf.XLOOKUP($T37&amp;"|Fe",ASSAY_KEYS,ASSAY_VALUES,""),"")</f>
        <v/>
      </c>
      <c r="AY37" t="str">
        <f ca="1">IFERROR(_xludf.XLOOKUP($T37&amp;"|SiO2",ASSAY_KEYS,ASSAY_VALUES,""),"")</f>
        <v/>
      </c>
      <c r="AZ37" t="str">
        <f ca="1">IFERROR(_xludf.XLOOKUP($T37&amp;"|Al2O3",ASSAY_KEYS,ASSAY_VALUES,""),"")</f>
        <v/>
      </c>
      <c r="BA37" t="str">
        <f ca="1">IFERROR(_xludf.XLOOKUP($T37&amp;"|P",ASSAY_KEYS,ASSAY_VALUES,""),"")</f>
        <v/>
      </c>
      <c r="BB37" t="str">
        <f ca="1">IFERROR(_xludf.XLOOKUP($T37&amp;"|S",ASSAY_KEYS,ASSAY_VALUES,""),"")</f>
        <v/>
      </c>
      <c r="BC37" t="str">
        <f ca="1">IFERROR(_xludf.XLOOKUP($T37&amp;"|LOI",ASSAY_KEYS,ASSAY_VALUES,""),"")</f>
        <v/>
      </c>
    </row>
    <row r="38" spans="5:55" x14ac:dyDescent="0.25">
      <c r="E38" t="str">
        <f t="shared" si="0"/>
        <v/>
      </c>
      <c r="G38" t="str">
        <f ca="1">IFERROR(_xludf.XLOOKUP(F38,Lists!$A:$A,Lists!$B:$B,"",0),"")</f>
        <v/>
      </c>
      <c r="S38" t="str">
        <f t="shared" si="1"/>
        <v/>
      </c>
      <c r="AQ38" t="str">
        <f t="shared" si="2"/>
        <v/>
      </c>
      <c r="AX38" t="str">
        <f ca="1">IFERROR(_xludf.XLOOKUP($T38&amp;"|Fe",ASSAY_KEYS,ASSAY_VALUES,""),"")</f>
        <v/>
      </c>
      <c r="AY38" t="str">
        <f ca="1">IFERROR(_xludf.XLOOKUP($T38&amp;"|SiO2",ASSAY_KEYS,ASSAY_VALUES,""),"")</f>
        <v/>
      </c>
      <c r="AZ38" t="str">
        <f ca="1">IFERROR(_xludf.XLOOKUP($T38&amp;"|Al2O3",ASSAY_KEYS,ASSAY_VALUES,""),"")</f>
        <v/>
      </c>
      <c r="BA38" t="str">
        <f ca="1">IFERROR(_xludf.XLOOKUP($T38&amp;"|P",ASSAY_KEYS,ASSAY_VALUES,""),"")</f>
        <v/>
      </c>
      <c r="BB38" t="str">
        <f ca="1">IFERROR(_xludf.XLOOKUP($T38&amp;"|S",ASSAY_KEYS,ASSAY_VALUES,""),"")</f>
        <v/>
      </c>
      <c r="BC38" t="str">
        <f ca="1">IFERROR(_xludf.XLOOKUP($T38&amp;"|LOI",ASSAY_KEYS,ASSAY_VALUES,""),"")</f>
        <v/>
      </c>
    </row>
    <row r="39" spans="5:55" x14ac:dyDescent="0.25">
      <c r="E39" t="str">
        <f t="shared" si="0"/>
        <v/>
      </c>
      <c r="G39" t="str">
        <f ca="1">IFERROR(_xludf.XLOOKUP(F39,Lists!$A:$A,Lists!$B:$B,"",0),"")</f>
        <v/>
      </c>
      <c r="S39" t="str">
        <f t="shared" si="1"/>
        <v/>
      </c>
      <c r="AQ39" t="str">
        <f t="shared" si="2"/>
        <v/>
      </c>
      <c r="AX39" t="str">
        <f ca="1">IFERROR(_xludf.XLOOKUP($T39&amp;"|Fe",ASSAY_KEYS,ASSAY_VALUES,""),"")</f>
        <v/>
      </c>
      <c r="AY39" t="str">
        <f ca="1">IFERROR(_xludf.XLOOKUP($T39&amp;"|SiO2",ASSAY_KEYS,ASSAY_VALUES,""),"")</f>
        <v/>
      </c>
      <c r="AZ39" t="str">
        <f ca="1">IFERROR(_xludf.XLOOKUP($T39&amp;"|Al2O3",ASSAY_KEYS,ASSAY_VALUES,""),"")</f>
        <v/>
      </c>
      <c r="BA39" t="str">
        <f ca="1">IFERROR(_xludf.XLOOKUP($T39&amp;"|P",ASSAY_KEYS,ASSAY_VALUES,""),"")</f>
        <v/>
      </c>
      <c r="BB39" t="str">
        <f ca="1">IFERROR(_xludf.XLOOKUP($T39&amp;"|S",ASSAY_KEYS,ASSAY_VALUES,""),"")</f>
        <v/>
      </c>
      <c r="BC39" t="str">
        <f ca="1">IFERROR(_xludf.XLOOKUP($T39&amp;"|LOI",ASSAY_KEYS,ASSAY_VALUES,""),"")</f>
        <v/>
      </c>
    </row>
    <row r="40" spans="5:55" x14ac:dyDescent="0.25">
      <c r="E40" t="str">
        <f t="shared" si="0"/>
        <v/>
      </c>
      <c r="G40" t="str">
        <f ca="1">IFERROR(_xludf.XLOOKUP(F40,Lists!$A:$A,Lists!$B:$B,"",0),"")</f>
        <v/>
      </c>
      <c r="S40" t="str">
        <f t="shared" si="1"/>
        <v/>
      </c>
      <c r="AQ40" t="str">
        <f t="shared" si="2"/>
        <v/>
      </c>
      <c r="AX40" t="str">
        <f ca="1">IFERROR(_xludf.XLOOKUP($T40&amp;"|Fe",ASSAY_KEYS,ASSAY_VALUES,""),"")</f>
        <v/>
      </c>
      <c r="AY40" t="str">
        <f ca="1">IFERROR(_xludf.XLOOKUP($T40&amp;"|SiO2",ASSAY_KEYS,ASSAY_VALUES,""),"")</f>
        <v/>
      </c>
      <c r="AZ40" t="str">
        <f ca="1">IFERROR(_xludf.XLOOKUP($T40&amp;"|Al2O3",ASSAY_KEYS,ASSAY_VALUES,""),"")</f>
        <v/>
      </c>
      <c r="BA40" t="str">
        <f ca="1">IFERROR(_xludf.XLOOKUP($T40&amp;"|P",ASSAY_KEYS,ASSAY_VALUES,""),"")</f>
        <v/>
      </c>
      <c r="BB40" t="str">
        <f ca="1">IFERROR(_xludf.XLOOKUP($T40&amp;"|S",ASSAY_KEYS,ASSAY_VALUES,""),"")</f>
        <v/>
      </c>
      <c r="BC40" t="str">
        <f ca="1">IFERROR(_xludf.XLOOKUP($T40&amp;"|LOI",ASSAY_KEYS,ASSAY_VALUES,""),"")</f>
        <v/>
      </c>
    </row>
    <row r="41" spans="5:55" x14ac:dyDescent="0.25">
      <c r="E41" t="str">
        <f t="shared" si="0"/>
        <v/>
      </c>
      <c r="G41" t="str">
        <f ca="1">IFERROR(_xludf.XLOOKUP(F41,Lists!$A:$A,Lists!$B:$B,"",0),"")</f>
        <v/>
      </c>
      <c r="S41" t="str">
        <f t="shared" si="1"/>
        <v/>
      </c>
      <c r="AQ41" t="str">
        <f t="shared" si="2"/>
        <v/>
      </c>
      <c r="AX41" t="str">
        <f ca="1">IFERROR(_xludf.XLOOKUP($T41&amp;"|Fe",ASSAY_KEYS,ASSAY_VALUES,""),"")</f>
        <v/>
      </c>
      <c r="AY41" t="str">
        <f ca="1">IFERROR(_xludf.XLOOKUP($T41&amp;"|SiO2",ASSAY_KEYS,ASSAY_VALUES,""),"")</f>
        <v/>
      </c>
      <c r="AZ41" t="str">
        <f ca="1">IFERROR(_xludf.XLOOKUP($T41&amp;"|Al2O3",ASSAY_KEYS,ASSAY_VALUES,""),"")</f>
        <v/>
      </c>
      <c r="BA41" t="str">
        <f ca="1">IFERROR(_xludf.XLOOKUP($T41&amp;"|P",ASSAY_KEYS,ASSAY_VALUES,""),"")</f>
        <v/>
      </c>
      <c r="BB41" t="str">
        <f ca="1">IFERROR(_xludf.XLOOKUP($T41&amp;"|S",ASSAY_KEYS,ASSAY_VALUES,""),"")</f>
        <v/>
      </c>
      <c r="BC41" t="str">
        <f ca="1">IFERROR(_xludf.XLOOKUP($T41&amp;"|LOI",ASSAY_KEYS,ASSAY_VALUES,""),"")</f>
        <v/>
      </c>
    </row>
    <row r="42" spans="5:55" x14ac:dyDescent="0.25">
      <c r="E42" t="str">
        <f t="shared" si="0"/>
        <v/>
      </c>
      <c r="G42" t="str">
        <f ca="1">IFERROR(_xludf.XLOOKUP(F42,Lists!$A:$A,Lists!$B:$B,"",0),"")</f>
        <v/>
      </c>
      <c r="S42" t="str">
        <f t="shared" si="1"/>
        <v/>
      </c>
      <c r="AQ42" t="str">
        <f t="shared" si="2"/>
        <v/>
      </c>
      <c r="AX42" t="str">
        <f ca="1">IFERROR(_xludf.XLOOKUP($T42&amp;"|Fe",ASSAY_KEYS,ASSAY_VALUES,""),"")</f>
        <v/>
      </c>
      <c r="AY42" t="str">
        <f ca="1">IFERROR(_xludf.XLOOKUP($T42&amp;"|SiO2",ASSAY_KEYS,ASSAY_VALUES,""),"")</f>
        <v/>
      </c>
      <c r="AZ42" t="str">
        <f ca="1">IFERROR(_xludf.XLOOKUP($T42&amp;"|Al2O3",ASSAY_KEYS,ASSAY_VALUES,""),"")</f>
        <v/>
      </c>
      <c r="BA42" t="str">
        <f ca="1">IFERROR(_xludf.XLOOKUP($T42&amp;"|P",ASSAY_KEYS,ASSAY_VALUES,""),"")</f>
        <v/>
      </c>
      <c r="BB42" t="str">
        <f ca="1">IFERROR(_xludf.XLOOKUP($T42&amp;"|S",ASSAY_KEYS,ASSAY_VALUES,""),"")</f>
        <v/>
      </c>
      <c r="BC42" t="str">
        <f ca="1">IFERROR(_xludf.XLOOKUP($T42&amp;"|LOI",ASSAY_KEYS,ASSAY_VALUES,""),"")</f>
        <v/>
      </c>
    </row>
    <row r="43" spans="5:55" x14ac:dyDescent="0.25">
      <c r="E43" t="str">
        <f t="shared" si="0"/>
        <v/>
      </c>
      <c r="G43" t="str">
        <f ca="1">IFERROR(_xludf.XLOOKUP(F43,Lists!$A:$A,Lists!$B:$B,"",0),"")</f>
        <v/>
      </c>
      <c r="S43" t="str">
        <f t="shared" si="1"/>
        <v/>
      </c>
      <c r="AQ43" t="str">
        <f t="shared" si="2"/>
        <v/>
      </c>
      <c r="AX43" t="str">
        <f ca="1">IFERROR(_xludf.XLOOKUP($T43&amp;"|Fe",ASSAY_KEYS,ASSAY_VALUES,""),"")</f>
        <v/>
      </c>
      <c r="AY43" t="str">
        <f ca="1">IFERROR(_xludf.XLOOKUP($T43&amp;"|SiO2",ASSAY_KEYS,ASSAY_VALUES,""),"")</f>
        <v/>
      </c>
      <c r="AZ43" t="str">
        <f ca="1">IFERROR(_xludf.XLOOKUP($T43&amp;"|Al2O3",ASSAY_KEYS,ASSAY_VALUES,""),"")</f>
        <v/>
      </c>
      <c r="BA43" t="str">
        <f ca="1">IFERROR(_xludf.XLOOKUP($T43&amp;"|P",ASSAY_KEYS,ASSAY_VALUES,""),"")</f>
        <v/>
      </c>
      <c r="BB43" t="str">
        <f ca="1">IFERROR(_xludf.XLOOKUP($T43&amp;"|S",ASSAY_KEYS,ASSAY_VALUES,""),"")</f>
        <v/>
      </c>
      <c r="BC43" t="str">
        <f ca="1">IFERROR(_xludf.XLOOKUP($T43&amp;"|LOI",ASSAY_KEYS,ASSAY_VALUES,""),"")</f>
        <v/>
      </c>
    </row>
    <row r="44" spans="5:55" x14ac:dyDescent="0.25">
      <c r="E44" t="str">
        <f t="shared" si="0"/>
        <v/>
      </c>
      <c r="G44" t="str">
        <f ca="1">IFERROR(_xludf.XLOOKUP(F44,Lists!$A:$A,Lists!$B:$B,"",0),"")</f>
        <v/>
      </c>
      <c r="S44" t="str">
        <f t="shared" si="1"/>
        <v/>
      </c>
      <c r="AQ44" t="str">
        <f t="shared" si="2"/>
        <v/>
      </c>
      <c r="AX44" t="str">
        <f ca="1">IFERROR(_xludf.XLOOKUP($T44&amp;"|Fe",ASSAY_KEYS,ASSAY_VALUES,""),"")</f>
        <v/>
      </c>
      <c r="AY44" t="str">
        <f ca="1">IFERROR(_xludf.XLOOKUP($T44&amp;"|SiO2",ASSAY_KEYS,ASSAY_VALUES,""),"")</f>
        <v/>
      </c>
      <c r="AZ44" t="str">
        <f ca="1">IFERROR(_xludf.XLOOKUP($T44&amp;"|Al2O3",ASSAY_KEYS,ASSAY_VALUES,""),"")</f>
        <v/>
      </c>
      <c r="BA44" t="str">
        <f ca="1">IFERROR(_xludf.XLOOKUP($T44&amp;"|P",ASSAY_KEYS,ASSAY_VALUES,""),"")</f>
        <v/>
      </c>
      <c r="BB44" t="str">
        <f ca="1">IFERROR(_xludf.XLOOKUP($T44&amp;"|S",ASSAY_KEYS,ASSAY_VALUES,""),"")</f>
        <v/>
      </c>
      <c r="BC44" t="str">
        <f ca="1">IFERROR(_xludf.XLOOKUP($T44&amp;"|LOI",ASSAY_KEYS,ASSAY_VALUES,""),"")</f>
        <v/>
      </c>
    </row>
    <row r="45" spans="5:55" x14ac:dyDescent="0.25">
      <c r="E45" t="str">
        <f t="shared" si="0"/>
        <v/>
      </c>
      <c r="G45" t="str">
        <f ca="1">IFERROR(_xludf.XLOOKUP(F45,Lists!$A:$A,Lists!$B:$B,"",0),"")</f>
        <v/>
      </c>
      <c r="S45" t="str">
        <f t="shared" si="1"/>
        <v/>
      </c>
      <c r="AQ45" t="str">
        <f t="shared" si="2"/>
        <v/>
      </c>
      <c r="AX45" t="str">
        <f ca="1">IFERROR(_xludf.XLOOKUP($T45&amp;"|Fe",ASSAY_KEYS,ASSAY_VALUES,""),"")</f>
        <v/>
      </c>
      <c r="AY45" t="str">
        <f ca="1">IFERROR(_xludf.XLOOKUP($T45&amp;"|SiO2",ASSAY_KEYS,ASSAY_VALUES,""),"")</f>
        <v/>
      </c>
      <c r="AZ45" t="str">
        <f ca="1">IFERROR(_xludf.XLOOKUP($T45&amp;"|Al2O3",ASSAY_KEYS,ASSAY_VALUES,""),"")</f>
        <v/>
      </c>
      <c r="BA45" t="str">
        <f ca="1">IFERROR(_xludf.XLOOKUP($T45&amp;"|P",ASSAY_KEYS,ASSAY_VALUES,""),"")</f>
        <v/>
      </c>
      <c r="BB45" t="str">
        <f ca="1">IFERROR(_xludf.XLOOKUP($T45&amp;"|S",ASSAY_KEYS,ASSAY_VALUES,""),"")</f>
        <v/>
      </c>
      <c r="BC45" t="str">
        <f ca="1">IFERROR(_xludf.XLOOKUP($T45&amp;"|LOI",ASSAY_KEYS,ASSAY_VALUES,""),"")</f>
        <v/>
      </c>
    </row>
    <row r="46" spans="5:55" x14ac:dyDescent="0.25">
      <c r="E46" t="str">
        <f t="shared" si="0"/>
        <v/>
      </c>
      <c r="G46" t="str">
        <f ca="1">IFERROR(_xludf.XLOOKUP(F46,Lists!$A:$A,Lists!$B:$B,"",0),"")</f>
        <v/>
      </c>
      <c r="S46" t="str">
        <f t="shared" si="1"/>
        <v/>
      </c>
      <c r="AQ46" t="str">
        <f t="shared" si="2"/>
        <v/>
      </c>
      <c r="AX46" t="str">
        <f ca="1">IFERROR(_xludf.XLOOKUP($T46&amp;"|Fe",ASSAY_KEYS,ASSAY_VALUES,""),"")</f>
        <v/>
      </c>
      <c r="AY46" t="str">
        <f ca="1">IFERROR(_xludf.XLOOKUP($T46&amp;"|SiO2",ASSAY_KEYS,ASSAY_VALUES,""),"")</f>
        <v/>
      </c>
      <c r="AZ46" t="str">
        <f ca="1">IFERROR(_xludf.XLOOKUP($T46&amp;"|Al2O3",ASSAY_KEYS,ASSAY_VALUES,""),"")</f>
        <v/>
      </c>
      <c r="BA46" t="str">
        <f ca="1">IFERROR(_xludf.XLOOKUP($T46&amp;"|P",ASSAY_KEYS,ASSAY_VALUES,""),"")</f>
        <v/>
      </c>
      <c r="BB46" t="str">
        <f ca="1">IFERROR(_xludf.XLOOKUP($T46&amp;"|S",ASSAY_KEYS,ASSAY_VALUES,""),"")</f>
        <v/>
      </c>
      <c r="BC46" t="str">
        <f ca="1">IFERROR(_xludf.XLOOKUP($T46&amp;"|LOI",ASSAY_KEYS,ASSAY_VALUES,""),"")</f>
        <v/>
      </c>
    </row>
    <row r="47" spans="5:55" x14ac:dyDescent="0.25">
      <c r="E47" t="str">
        <f t="shared" si="0"/>
        <v/>
      </c>
      <c r="G47" t="str">
        <f ca="1">IFERROR(_xludf.XLOOKUP(F47,Lists!$A:$A,Lists!$B:$B,"",0),"")</f>
        <v/>
      </c>
      <c r="S47" t="str">
        <f t="shared" si="1"/>
        <v/>
      </c>
      <c r="AQ47" t="str">
        <f t="shared" si="2"/>
        <v/>
      </c>
      <c r="AX47" t="str">
        <f ca="1">IFERROR(_xludf.XLOOKUP($T47&amp;"|Fe",ASSAY_KEYS,ASSAY_VALUES,""),"")</f>
        <v/>
      </c>
      <c r="AY47" t="str">
        <f ca="1">IFERROR(_xludf.XLOOKUP($T47&amp;"|SiO2",ASSAY_KEYS,ASSAY_VALUES,""),"")</f>
        <v/>
      </c>
      <c r="AZ47" t="str">
        <f ca="1">IFERROR(_xludf.XLOOKUP($T47&amp;"|Al2O3",ASSAY_KEYS,ASSAY_VALUES,""),"")</f>
        <v/>
      </c>
      <c r="BA47" t="str">
        <f ca="1">IFERROR(_xludf.XLOOKUP($T47&amp;"|P",ASSAY_KEYS,ASSAY_VALUES,""),"")</f>
        <v/>
      </c>
      <c r="BB47" t="str">
        <f ca="1">IFERROR(_xludf.XLOOKUP($T47&amp;"|S",ASSAY_KEYS,ASSAY_VALUES,""),"")</f>
        <v/>
      </c>
      <c r="BC47" t="str">
        <f ca="1">IFERROR(_xludf.XLOOKUP($T47&amp;"|LOI",ASSAY_KEYS,ASSAY_VALUES,""),"")</f>
        <v/>
      </c>
    </row>
    <row r="48" spans="5:55" x14ac:dyDescent="0.25">
      <c r="E48" t="str">
        <f t="shared" si="0"/>
        <v/>
      </c>
      <c r="G48" t="str">
        <f ca="1">IFERROR(_xludf.XLOOKUP(F48,Lists!$A:$A,Lists!$B:$B,"",0),"")</f>
        <v/>
      </c>
      <c r="S48" t="str">
        <f t="shared" si="1"/>
        <v/>
      </c>
      <c r="AQ48" t="str">
        <f t="shared" si="2"/>
        <v/>
      </c>
      <c r="AX48" t="str">
        <f ca="1">IFERROR(_xludf.XLOOKUP($T48&amp;"|Fe",ASSAY_KEYS,ASSAY_VALUES,""),"")</f>
        <v/>
      </c>
      <c r="AY48" t="str">
        <f ca="1">IFERROR(_xludf.XLOOKUP($T48&amp;"|SiO2",ASSAY_KEYS,ASSAY_VALUES,""),"")</f>
        <v/>
      </c>
      <c r="AZ48" t="str">
        <f ca="1">IFERROR(_xludf.XLOOKUP($T48&amp;"|Al2O3",ASSAY_KEYS,ASSAY_VALUES,""),"")</f>
        <v/>
      </c>
      <c r="BA48" t="str">
        <f ca="1">IFERROR(_xludf.XLOOKUP($T48&amp;"|P",ASSAY_KEYS,ASSAY_VALUES,""),"")</f>
        <v/>
      </c>
      <c r="BB48" t="str">
        <f ca="1">IFERROR(_xludf.XLOOKUP($T48&amp;"|S",ASSAY_KEYS,ASSAY_VALUES,""),"")</f>
        <v/>
      </c>
      <c r="BC48" t="str">
        <f ca="1">IFERROR(_xludf.XLOOKUP($T48&amp;"|LOI",ASSAY_KEYS,ASSAY_VALUES,""),"")</f>
        <v/>
      </c>
    </row>
    <row r="49" spans="5:55" x14ac:dyDescent="0.25">
      <c r="E49" t="str">
        <f t="shared" si="0"/>
        <v/>
      </c>
      <c r="G49" t="str">
        <f ca="1">IFERROR(_xludf.XLOOKUP(F49,Lists!$A:$A,Lists!$B:$B,"",0),"")</f>
        <v/>
      </c>
      <c r="S49" t="str">
        <f t="shared" si="1"/>
        <v/>
      </c>
      <c r="AQ49" t="str">
        <f t="shared" si="2"/>
        <v/>
      </c>
      <c r="AX49" t="str">
        <f ca="1">IFERROR(_xludf.XLOOKUP($T49&amp;"|Fe",ASSAY_KEYS,ASSAY_VALUES,""),"")</f>
        <v/>
      </c>
      <c r="AY49" t="str">
        <f ca="1">IFERROR(_xludf.XLOOKUP($T49&amp;"|SiO2",ASSAY_KEYS,ASSAY_VALUES,""),"")</f>
        <v/>
      </c>
      <c r="AZ49" t="str">
        <f ca="1">IFERROR(_xludf.XLOOKUP($T49&amp;"|Al2O3",ASSAY_KEYS,ASSAY_VALUES,""),"")</f>
        <v/>
      </c>
      <c r="BA49" t="str">
        <f ca="1">IFERROR(_xludf.XLOOKUP($T49&amp;"|P",ASSAY_KEYS,ASSAY_VALUES,""),"")</f>
        <v/>
      </c>
      <c r="BB49" t="str">
        <f ca="1">IFERROR(_xludf.XLOOKUP($T49&amp;"|S",ASSAY_KEYS,ASSAY_VALUES,""),"")</f>
        <v/>
      </c>
      <c r="BC49" t="str">
        <f ca="1">IFERROR(_xludf.XLOOKUP($T49&amp;"|LOI",ASSAY_KEYS,ASSAY_VALUES,""),"")</f>
        <v/>
      </c>
    </row>
    <row r="50" spans="5:55" x14ac:dyDescent="0.25">
      <c r="E50" t="str">
        <f t="shared" si="0"/>
        <v/>
      </c>
      <c r="G50" t="str">
        <f ca="1">IFERROR(_xludf.XLOOKUP(F50,Lists!$A:$A,Lists!$B:$B,"",0),"")</f>
        <v/>
      </c>
      <c r="S50" t="str">
        <f t="shared" si="1"/>
        <v/>
      </c>
      <c r="AQ50" t="str">
        <f t="shared" si="2"/>
        <v/>
      </c>
      <c r="AX50" t="str">
        <f ca="1">IFERROR(_xludf.XLOOKUP($T50&amp;"|Fe",ASSAY_KEYS,ASSAY_VALUES,""),"")</f>
        <v/>
      </c>
      <c r="AY50" t="str">
        <f ca="1">IFERROR(_xludf.XLOOKUP($T50&amp;"|SiO2",ASSAY_KEYS,ASSAY_VALUES,""),"")</f>
        <v/>
      </c>
      <c r="AZ50" t="str">
        <f ca="1">IFERROR(_xludf.XLOOKUP($T50&amp;"|Al2O3",ASSAY_KEYS,ASSAY_VALUES,""),"")</f>
        <v/>
      </c>
      <c r="BA50" t="str">
        <f ca="1">IFERROR(_xludf.XLOOKUP($T50&amp;"|P",ASSAY_KEYS,ASSAY_VALUES,""),"")</f>
        <v/>
      </c>
      <c r="BB50" t="str">
        <f ca="1">IFERROR(_xludf.XLOOKUP($T50&amp;"|S",ASSAY_KEYS,ASSAY_VALUES,""),"")</f>
        <v/>
      </c>
      <c r="BC50" t="str">
        <f ca="1">IFERROR(_xludf.XLOOKUP($T50&amp;"|LOI",ASSAY_KEYS,ASSAY_VALUES,""),"")</f>
        <v/>
      </c>
    </row>
    <row r="51" spans="5:55" x14ac:dyDescent="0.25">
      <c r="E51" t="str">
        <f t="shared" si="0"/>
        <v/>
      </c>
      <c r="G51" t="str">
        <f ca="1">IFERROR(_xludf.XLOOKUP(F51,Lists!$A:$A,Lists!$B:$B,"",0),"")</f>
        <v/>
      </c>
      <c r="S51" t="str">
        <f t="shared" si="1"/>
        <v/>
      </c>
      <c r="AQ51" t="str">
        <f t="shared" si="2"/>
        <v/>
      </c>
      <c r="AX51" t="str">
        <f ca="1">IFERROR(_xludf.XLOOKUP($T51&amp;"|Fe",ASSAY_KEYS,ASSAY_VALUES,""),"")</f>
        <v/>
      </c>
      <c r="AY51" t="str">
        <f ca="1">IFERROR(_xludf.XLOOKUP($T51&amp;"|SiO2",ASSAY_KEYS,ASSAY_VALUES,""),"")</f>
        <v/>
      </c>
      <c r="AZ51" t="str">
        <f ca="1">IFERROR(_xludf.XLOOKUP($T51&amp;"|Al2O3",ASSAY_KEYS,ASSAY_VALUES,""),"")</f>
        <v/>
      </c>
      <c r="BA51" t="str">
        <f ca="1">IFERROR(_xludf.XLOOKUP($T51&amp;"|P",ASSAY_KEYS,ASSAY_VALUES,""),"")</f>
        <v/>
      </c>
      <c r="BB51" t="str">
        <f ca="1">IFERROR(_xludf.XLOOKUP($T51&amp;"|S",ASSAY_KEYS,ASSAY_VALUES,""),"")</f>
        <v/>
      </c>
      <c r="BC51" t="str">
        <f ca="1">IFERROR(_xludf.XLOOKUP($T51&amp;"|LOI",ASSAY_KEYS,ASSAY_VALUES,""),"")</f>
        <v/>
      </c>
    </row>
    <row r="52" spans="5:55" x14ac:dyDescent="0.25">
      <c r="E52" t="str">
        <f t="shared" si="0"/>
        <v/>
      </c>
      <c r="G52" t="str">
        <f ca="1">IFERROR(_xludf.XLOOKUP(F52,Lists!$A:$A,Lists!$B:$B,"",0),"")</f>
        <v/>
      </c>
      <c r="S52" t="str">
        <f t="shared" si="1"/>
        <v/>
      </c>
      <c r="AQ52" t="str">
        <f t="shared" si="2"/>
        <v/>
      </c>
      <c r="AX52" t="str">
        <f ca="1">IFERROR(_xludf.XLOOKUP($T52&amp;"|Fe",ASSAY_KEYS,ASSAY_VALUES,""),"")</f>
        <v/>
      </c>
      <c r="AY52" t="str">
        <f ca="1">IFERROR(_xludf.XLOOKUP($T52&amp;"|SiO2",ASSAY_KEYS,ASSAY_VALUES,""),"")</f>
        <v/>
      </c>
      <c r="AZ52" t="str">
        <f ca="1">IFERROR(_xludf.XLOOKUP($T52&amp;"|Al2O3",ASSAY_KEYS,ASSAY_VALUES,""),"")</f>
        <v/>
      </c>
      <c r="BA52" t="str">
        <f ca="1">IFERROR(_xludf.XLOOKUP($T52&amp;"|P",ASSAY_KEYS,ASSAY_VALUES,""),"")</f>
        <v/>
      </c>
      <c r="BB52" t="str">
        <f ca="1">IFERROR(_xludf.XLOOKUP($T52&amp;"|S",ASSAY_KEYS,ASSAY_VALUES,""),"")</f>
        <v/>
      </c>
      <c r="BC52" t="str">
        <f ca="1">IFERROR(_xludf.XLOOKUP($T52&amp;"|LOI",ASSAY_KEYS,ASSAY_VALUES,""),"")</f>
        <v/>
      </c>
    </row>
    <row r="53" spans="5:55" x14ac:dyDescent="0.25">
      <c r="E53" t="str">
        <f t="shared" si="0"/>
        <v/>
      </c>
      <c r="G53" t="str">
        <f ca="1">IFERROR(_xludf.XLOOKUP(F53,Lists!$A:$A,Lists!$B:$B,"",0),"")</f>
        <v/>
      </c>
      <c r="S53" t="str">
        <f t="shared" si="1"/>
        <v/>
      </c>
      <c r="AQ53" t="str">
        <f t="shared" si="2"/>
        <v/>
      </c>
      <c r="AX53" t="str">
        <f ca="1">IFERROR(_xludf.XLOOKUP($T53&amp;"|Fe",ASSAY_KEYS,ASSAY_VALUES,""),"")</f>
        <v/>
      </c>
      <c r="AY53" t="str">
        <f ca="1">IFERROR(_xludf.XLOOKUP($T53&amp;"|SiO2",ASSAY_KEYS,ASSAY_VALUES,""),"")</f>
        <v/>
      </c>
      <c r="AZ53" t="str">
        <f ca="1">IFERROR(_xludf.XLOOKUP($T53&amp;"|Al2O3",ASSAY_KEYS,ASSAY_VALUES,""),"")</f>
        <v/>
      </c>
      <c r="BA53" t="str">
        <f ca="1">IFERROR(_xludf.XLOOKUP($T53&amp;"|P",ASSAY_KEYS,ASSAY_VALUES,""),"")</f>
        <v/>
      </c>
      <c r="BB53" t="str">
        <f ca="1">IFERROR(_xludf.XLOOKUP($T53&amp;"|S",ASSAY_KEYS,ASSAY_VALUES,""),"")</f>
        <v/>
      </c>
      <c r="BC53" t="str">
        <f ca="1">IFERROR(_xludf.XLOOKUP($T53&amp;"|LOI",ASSAY_KEYS,ASSAY_VALUES,""),"")</f>
        <v/>
      </c>
    </row>
    <row r="54" spans="5:55" x14ac:dyDescent="0.25">
      <c r="E54" t="str">
        <f t="shared" si="0"/>
        <v/>
      </c>
      <c r="G54" t="str">
        <f ca="1">IFERROR(_xludf.XLOOKUP(F54,Lists!$A:$A,Lists!$B:$B,"",0),"")</f>
        <v/>
      </c>
      <c r="S54" t="str">
        <f t="shared" si="1"/>
        <v/>
      </c>
      <c r="AQ54" t="str">
        <f t="shared" si="2"/>
        <v/>
      </c>
      <c r="AX54" t="str">
        <f ca="1">IFERROR(_xludf.XLOOKUP($T54&amp;"|Fe",ASSAY_KEYS,ASSAY_VALUES,""),"")</f>
        <v/>
      </c>
      <c r="AY54" t="str">
        <f ca="1">IFERROR(_xludf.XLOOKUP($T54&amp;"|SiO2",ASSAY_KEYS,ASSAY_VALUES,""),"")</f>
        <v/>
      </c>
      <c r="AZ54" t="str">
        <f ca="1">IFERROR(_xludf.XLOOKUP($T54&amp;"|Al2O3",ASSAY_KEYS,ASSAY_VALUES,""),"")</f>
        <v/>
      </c>
      <c r="BA54" t="str">
        <f ca="1">IFERROR(_xludf.XLOOKUP($T54&amp;"|P",ASSAY_KEYS,ASSAY_VALUES,""),"")</f>
        <v/>
      </c>
      <c r="BB54" t="str">
        <f ca="1">IFERROR(_xludf.XLOOKUP($T54&amp;"|S",ASSAY_KEYS,ASSAY_VALUES,""),"")</f>
        <v/>
      </c>
      <c r="BC54" t="str">
        <f ca="1">IFERROR(_xludf.XLOOKUP($T54&amp;"|LOI",ASSAY_KEYS,ASSAY_VALUES,""),"")</f>
        <v/>
      </c>
    </row>
    <row r="55" spans="5:55" x14ac:dyDescent="0.25">
      <c r="E55" t="str">
        <f t="shared" si="0"/>
        <v/>
      </c>
      <c r="G55" t="str">
        <f ca="1">IFERROR(_xludf.XLOOKUP(F55,Lists!$A:$A,Lists!$B:$B,"",0),"")</f>
        <v/>
      </c>
      <c r="S55" t="str">
        <f t="shared" si="1"/>
        <v/>
      </c>
      <c r="AQ55" t="str">
        <f t="shared" si="2"/>
        <v/>
      </c>
      <c r="AX55" t="str">
        <f ca="1">IFERROR(_xludf.XLOOKUP($T55&amp;"|Fe",ASSAY_KEYS,ASSAY_VALUES,""),"")</f>
        <v/>
      </c>
      <c r="AY55" t="str">
        <f ca="1">IFERROR(_xludf.XLOOKUP($T55&amp;"|SiO2",ASSAY_KEYS,ASSAY_VALUES,""),"")</f>
        <v/>
      </c>
      <c r="AZ55" t="str">
        <f ca="1">IFERROR(_xludf.XLOOKUP($T55&amp;"|Al2O3",ASSAY_KEYS,ASSAY_VALUES,""),"")</f>
        <v/>
      </c>
      <c r="BA55" t="str">
        <f ca="1">IFERROR(_xludf.XLOOKUP($T55&amp;"|P",ASSAY_KEYS,ASSAY_VALUES,""),"")</f>
        <v/>
      </c>
      <c r="BB55" t="str">
        <f ca="1">IFERROR(_xludf.XLOOKUP($T55&amp;"|S",ASSAY_KEYS,ASSAY_VALUES,""),"")</f>
        <v/>
      </c>
      <c r="BC55" t="str">
        <f ca="1">IFERROR(_xludf.XLOOKUP($T55&amp;"|LOI",ASSAY_KEYS,ASSAY_VALUES,""),"")</f>
        <v/>
      </c>
    </row>
    <row r="56" spans="5:55" x14ac:dyDescent="0.25">
      <c r="E56" t="str">
        <f t="shared" si="0"/>
        <v/>
      </c>
      <c r="G56" t="str">
        <f ca="1">IFERROR(_xludf.XLOOKUP(F56,Lists!$A:$A,Lists!$B:$B,"",0),"")</f>
        <v/>
      </c>
      <c r="S56" t="str">
        <f t="shared" si="1"/>
        <v/>
      </c>
      <c r="AQ56" t="str">
        <f t="shared" si="2"/>
        <v/>
      </c>
      <c r="AX56" t="str">
        <f ca="1">IFERROR(_xludf.XLOOKUP($T56&amp;"|Fe",ASSAY_KEYS,ASSAY_VALUES,""),"")</f>
        <v/>
      </c>
      <c r="AY56" t="str">
        <f ca="1">IFERROR(_xludf.XLOOKUP($T56&amp;"|SiO2",ASSAY_KEYS,ASSAY_VALUES,""),"")</f>
        <v/>
      </c>
      <c r="AZ56" t="str">
        <f ca="1">IFERROR(_xludf.XLOOKUP($T56&amp;"|Al2O3",ASSAY_KEYS,ASSAY_VALUES,""),"")</f>
        <v/>
      </c>
      <c r="BA56" t="str">
        <f ca="1">IFERROR(_xludf.XLOOKUP($T56&amp;"|P",ASSAY_KEYS,ASSAY_VALUES,""),"")</f>
        <v/>
      </c>
      <c r="BB56" t="str">
        <f ca="1">IFERROR(_xludf.XLOOKUP($T56&amp;"|S",ASSAY_KEYS,ASSAY_VALUES,""),"")</f>
        <v/>
      </c>
      <c r="BC56" t="str">
        <f ca="1">IFERROR(_xludf.XLOOKUP($T56&amp;"|LOI",ASSAY_KEYS,ASSAY_VALUES,""),"")</f>
        <v/>
      </c>
    </row>
    <row r="57" spans="5:55" x14ac:dyDescent="0.25">
      <c r="E57" t="str">
        <f t="shared" si="0"/>
        <v/>
      </c>
      <c r="G57" t="str">
        <f ca="1">IFERROR(_xludf.XLOOKUP(F57,Lists!$A:$A,Lists!$B:$B,"",0),"")</f>
        <v/>
      </c>
      <c r="S57" t="str">
        <f t="shared" si="1"/>
        <v/>
      </c>
      <c r="AQ57" t="str">
        <f t="shared" si="2"/>
        <v/>
      </c>
      <c r="AX57" t="str">
        <f ca="1">IFERROR(_xludf.XLOOKUP($T57&amp;"|Fe",ASSAY_KEYS,ASSAY_VALUES,""),"")</f>
        <v/>
      </c>
      <c r="AY57" t="str">
        <f ca="1">IFERROR(_xludf.XLOOKUP($T57&amp;"|SiO2",ASSAY_KEYS,ASSAY_VALUES,""),"")</f>
        <v/>
      </c>
      <c r="AZ57" t="str">
        <f ca="1">IFERROR(_xludf.XLOOKUP($T57&amp;"|Al2O3",ASSAY_KEYS,ASSAY_VALUES,""),"")</f>
        <v/>
      </c>
      <c r="BA57" t="str">
        <f ca="1">IFERROR(_xludf.XLOOKUP($T57&amp;"|P",ASSAY_KEYS,ASSAY_VALUES,""),"")</f>
        <v/>
      </c>
      <c r="BB57" t="str">
        <f ca="1">IFERROR(_xludf.XLOOKUP($T57&amp;"|S",ASSAY_KEYS,ASSAY_VALUES,""),"")</f>
        <v/>
      </c>
      <c r="BC57" t="str">
        <f ca="1">IFERROR(_xludf.XLOOKUP($T57&amp;"|LOI",ASSAY_KEYS,ASSAY_VALUES,""),"")</f>
        <v/>
      </c>
    </row>
    <row r="58" spans="5:55" x14ac:dyDescent="0.25">
      <c r="E58" t="str">
        <f t="shared" si="0"/>
        <v/>
      </c>
      <c r="G58" t="str">
        <f ca="1">IFERROR(_xludf.XLOOKUP(F58,Lists!$A:$A,Lists!$B:$B,"",0),"")</f>
        <v/>
      </c>
      <c r="S58" t="str">
        <f t="shared" si="1"/>
        <v/>
      </c>
      <c r="AQ58" t="str">
        <f t="shared" si="2"/>
        <v/>
      </c>
      <c r="AX58" t="str">
        <f ca="1">IFERROR(_xludf.XLOOKUP($T58&amp;"|Fe",ASSAY_KEYS,ASSAY_VALUES,""),"")</f>
        <v/>
      </c>
      <c r="AY58" t="str">
        <f ca="1">IFERROR(_xludf.XLOOKUP($T58&amp;"|SiO2",ASSAY_KEYS,ASSAY_VALUES,""),"")</f>
        <v/>
      </c>
      <c r="AZ58" t="str">
        <f ca="1">IFERROR(_xludf.XLOOKUP($T58&amp;"|Al2O3",ASSAY_KEYS,ASSAY_VALUES,""),"")</f>
        <v/>
      </c>
      <c r="BA58" t="str">
        <f ca="1">IFERROR(_xludf.XLOOKUP($T58&amp;"|P",ASSAY_KEYS,ASSAY_VALUES,""),"")</f>
        <v/>
      </c>
      <c r="BB58" t="str">
        <f ca="1">IFERROR(_xludf.XLOOKUP($T58&amp;"|S",ASSAY_KEYS,ASSAY_VALUES,""),"")</f>
        <v/>
      </c>
      <c r="BC58" t="str">
        <f ca="1">IFERROR(_xludf.XLOOKUP($T58&amp;"|LOI",ASSAY_KEYS,ASSAY_VALUES,""),"")</f>
        <v/>
      </c>
    </row>
    <row r="59" spans="5:55" x14ac:dyDescent="0.25">
      <c r="E59" t="str">
        <f t="shared" si="0"/>
        <v/>
      </c>
      <c r="G59" t="str">
        <f ca="1">IFERROR(_xludf.XLOOKUP(F59,Lists!$A:$A,Lists!$B:$B,"",0),"")</f>
        <v/>
      </c>
      <c r="S59" t="str">
        <f t="shared" si="1"/>
        <v/>
      </c>
      <c r="AQ59" t="str">
        <f t="shared" si="2"/>
        <v/>
      </c>
      <c r="AX59" t="str">
        <f ca="1">IFERROR(_xludf.XLOOKUP($T59&amp;"|Fe",ASSAY_KEYS,ASSAY_VALUES,""),"")</f>
        <v/>
      </c>
      <c r="AY59" t="str">
        <f ca="1">IFERROR(_xludf.XLOOKUP($T59&amp;"|SiO2",ASSAY_KEYS,ASSAY_VALUES,""),"")</f>
        <v/>
      </c>
      <c r="AZ59" t="str">
        <f ca="1">IFERROR(_xludf.XLOOKUP($T59&amp;"|Al2O3",ASSAY_KEYS,ASSAY_VALUES,""),"")</f>
        <v/>
      </c>
      <c r="BA59" t="str">
        <f ca="1">IFERROR(_xludf.XLOOKUP($T59&amp;"|P",ASSAY_KEYS,ASSAY_VALUES,""),"")</f>
        <v/>
      </c>
      <c r="BB59" t="str">
        <f ca="1">IFERROR(_xludf.XLOOKUP($T59&amp;"|S",ASSAY_KEYS,ASSAY_VALUES,""),"")</f>
        <v/>
      </c>
      <c r="BC59" t="str">
        <f ca="1">IFERROR(_xludf.XLOOKUP($T59&amp;"|LOI",ASSAY_KEYS,ASSAY_VALUES,""),"")</f>
        <v/>
      </c>
    </row>
    <row r="60" spans="5:55" x14ac:dyDescent="0.25">
      <c r="E60" t="str">
        <f t="shared" si="0"/>
        <v/>
      </c>
      <c r="G60" t="str">
        <f ca="1">IFERROR(_xludf.XLOOKUP(F60,Lists!$A:$A,Lists!$B:$B,"",0),"")</f>
        <v/>
      </c>
      <c r="S60" t="str">
        <f t="shared" si="1"/>
        <v/>
      </c>
      <c r="AQ60" t="str">
        <f t="shared" si="2"/>
        <v/>
      </c>
      <c r="AX60" t="str">
        <f ca="1">IFERROR(_xludf.XLOOKUP($T60&amp;"|Fe",ASSAY_KEYS,ASSAY_VALUES,""),"")</f>
        <v/>
      </c>
      <c r="AY60" t="str">
        <f ca="1">IFERROR(_xludf.XLOOKUP($T60&amp;"|SiO2",ASSAY_KEYS,ASSAY_VALUES,""),"")</f>
        <v/>
      </c>
      <c r="AZ60" t="str">
        <f ca="1">IFERROR(_xludf.XLOOKUP($T60&amp;"|Al2O3",ASSAY_KEYS,ASSAY_VALUES,""),"")</f>
        <v/>
      </c>
      <c r="BA60" t="str">
        <f ca="1">IFERROR(_xludf.XLOOKUP($T60&amp;"|P",ASSAY_KEYS,ASSAY_VALUES,""),"")</f>
        <v/>
      </c>
      <c r="BB60" t="str">
        <f ca="1">IFERROR(_xludf.XLOOKUP($T60&amp;"|S",ASSAY_KEYS,ASSAY_VALUES,""),"")</f>
        <v/>
      </c>
      <c r="BC60" t="str">
        <f ca="1">IFERROR(_xludf.XLOOKUP($T60&amp;"|LOI",ASSAY_KEYS,ASSAY_VALUES,""),"")</f>
        <v/>
      </c>
    </row>
    <row r="61" spans="5:55" x14ac:dyDescent="0.25">
      <c r="E61" t="str">
        <f t="shared" si="0"/>
        <v/>
      </c>
      <c r="G61" t="str">
        <f ca="1">IFERROR(_xludf.XLOOKUP(F61,Lists!$A:$A,Lists!$B:$B,"",0),"")</f>
        <v/>
      </c>
      <c r="S61" t="str">
        <f t="shared" si="1"/>
        <v/>
      </c>
      <c r="AQ61" t="str">
        <f t="shared" si="2"/>
        <v/>
      </c>
      <c r="AX61" t="str">
        <f ca="1">IFERROR(_xludf.XLOOKUP($T61&amp;"|Fe",ASSAY_KEYS,ASSAY_VALUES,""),"")</f>
        <v/>
      </c>
      <c r="AY61" t="str">
        <f ca="1">IFERROR(_xludf.XLOOKUP($T61&amp;"|SiO2",ASSAY_KEYS,ASSAY_VALUES,""),"")</f>
        <v/>
      </c>
      <c r="AZ61" t="str">
        <f ca="1">IFERROR(_xludf.XLOOKUP($T61&amp;"|Al2O3",ASSAY_KEYS,ASSAY_VALUES,""),"")</f>
        <v/>
      </c>
      <c r="BA61" t="str">
        <f ca="1">IFERROR(_xludf.XLOOKUP($T61&amp;"|P",ASSAY_KEYS,ASSAY_VALUES,""),"")</f>
        <v/>
      </c>
      <c r="BB61" t="str">
        <f ca="1">IFERROR(_xludf.XLOOKUP($T61&amp;"|S",ASSAY_KEYS,ASSAY_VALUES,""),"")</f>
        <v/>
      </c>
      <c r="BC61" t="str">
        <f ca="1">IFERROR(_xludf.XLOOKUP($T61&amp;"|LOI",ASSAY_KEYS,ASSAY_VALUES,""),"")</f>
        <v/>
      </c>
    </row>
    <row r="62" spans="5:55" x14ac:dyDescent="0.25">
      <c r="E62" t="str">
        <f t="shared" si="0"/>
        <v/>
      </c>
      <c r="G62" t="str">
        <f ca="1">IFERROR(_xludf.XLOOKUP(F62,Lists!$A:$A,Lists!$B:$B,"",0),"")</f>
        <v/>
      </c>
      <c r="S62" t="str">
        <f t="shared" si="1"/>
        <v/>
      </c>
      <c r="AQ62" t="str">
        <f t="shared" si="2"/>
        <v/>
      </c>
      <c r="AX62" t="str">
        <f ca="1">IFERROR(_xludf.XLOOKUP($T62&amp;"|Fe",ASSAY_KEYS,ASSAY_VALUES,""),"")</f>
        <v/>
      </c>
      <c r="AY62" t="str">
        <f ca="1">IFERROR(_xludf.XLOOKUP($T62&amp;"|SiO2",ASSAY_KEYS,ASSAY_VALUES,""),"")</f>
        <v/>
      </c>
      <c r="AZ62" t="str">
        <f ca="1">IFERROR(_xludf.XLOOKUP($T62&amp;"|Al2O3",ASSAY_KEYS,ASSAY_VALUES,""),"")</f>
        <v/>
      </c>
      <c r="BA62" t="str">
        <f ca="1">IFERROR(_xludf.XLOOKUP($T62&amp;"|P",ASSAY_KEYS,ASSAY_VALUES,""),"")</f>
        <v/>
      </c>
      <c r="BB62" t="str">
        <f ca="1">IFERROR(_xludf.XLOOKUP($T62&amp;"|S",ASSAY_KEYS,ASSAY_VALUES,""),"")</f>
        <v/>
      </c>
      <c r="BC62" t="str">
        <f ca="1">IFERROR(_xludf.XLOOKUP($T62&amp;"|LOI",ASSAY_KEYS,ASSAY_VALUES,""),"")</f>
        <v/>
      </c>
    </row>
    <row r="63" spans="5:55" x14ac:dyDescent="0.25">
      <c r="E63" t="str">
        <f t="shared" si="0"/>
        <v/>
      </c>
      <c r="G63" t="str">
        <f ca="1">IFERROR(_xludf.XLOOKUP(F63,Lists!$A:$A,Lists!$B:$B,"",0),"")</f>
        <v/>
      </c>
      <c r="S63" t="str">
        <f t="shared" si="1"/>
        <v/>
      </c>
      <c r="AQ63" t="str">
        <f t="shared" si="2"/>
        <v/>
      </c>
      <c r="AX63" t="str">
        <f ca="1">IFERROR(_xludf.XLOOKUP($T63&amp;"|Fe",ASSAY_KEYS,ASSAY_VALUES,""),"")</f>
        <v/>
      </c>
      <c r="AY63" t="str">
        <f ca="1">IFERROR(_xludf.XLOOKUP($T63&amp;"|SiO2",ASSAY_KEYS,ASSAY_VALUES,""),"")</f>
        <v/>
      </c>
      <c r="AZ63" t="str">
        <f ca="1">IFERROR(_xludf.XLOOKUP($T63&amp;"|Al2O3",ASSAY_KEYS,ASSAY_VALUES,""),"")</f>
        <v/>
      </c>
      <c r="BA63" t="str">
        <f ca="1">IFERROR(_xludf.XLOOKUP($T63&amp;"|P",ASSAY_KEYS,ASSAY_VALUES,""),"")</f>
        <v/>
      </c>
      <c r="BB63" t="str">
        <f ca="1">IFERROR(_xludf.XLOOKUP($T63&amp;"|S",ASSAY_KEYS,ASSAY_VALUES,""),"")</f>
        <v/>
      </c>
      <c r="BC63" t="str">
        <f ca="1">IFERROR(_xludf.XLOOKUP($T63&amp;"|LOI",ASSAY_KEYS,ASSAY_VALUES,""),"")</f>
        <v/>
      </c>
    </row>
    <row r="64" spans="5:55" x14ac:dyDescent="0.25">
      <c r="E64" t="str">
        <f t="shared" si="0"/>
        <v/>
      </c>
      <c r="G64" t="str">
        <f ca="1">IFERROR(_xludf.XLOOKUP(F64,Lists!$A:$A,Lists!$B:$B,"",0),"")</f>
        <v/>
      </c>
      <c r="S64" t="str">
        <f t="shared" si="1"/>
        <v/>
      </c>
      <c r="AQ64" t="str">
        <f t="shared" si="2"/>
        <v/>
      </c>
      <c r="AX64" t="str">
        <f ca="1">IFERROR(_xludf.XLOOKUP($T64&amp;"|Fe",ASSAY_KEYS,ASSAY_VALUES,""),"")</f>
        <v/>
      </c>
      <c r="AY64" t="str">
        <f ca="1">IFERROR(_xludf.XLOOKUP($T64&amp;"|SiO2",ASSAY_KEYS,ASSAY_VALUES,""),"")</f>
        <v/>
      </c>
      <c r="AZ64" t="str">
        <f ca="1">IFERROR(_xludf.XLOOKUP($T64&amp;"|Al2O3",ASSAY_KEYS,ASSAY_VALUES,""),"")</f>
        <v/>
      </c>
      <c r="BA64" t="str">
        <f ca="1">IFERROR(_xludf.XLOOKUP($T64&amp;"|P",ASSAY_KEYS,ASSAY_VALUES,""),"")</f>
        <v/>
      </c>
      <c r="BB64" t="str">
        <f ca="1">IFERROR(_xludf.XLOOKUP($T64&amp;"|S",ASSAY_KEYS,ASSAY_VALUES,""),"")</f>
        <v/>
      </c>
      <c r="BC64" t="str">
        <f ca="1">IFERROR(_xludf.XLOOKUP($T64&amp;"|LOI",ASSAY_KEYS,ASSAY_VALUES,""),"")</f>
        <v/>
      </c>
    </row>
    <row r="65" spans="5:55" x14ac:dyDescent="0.25">
      <c r="E65" t="str">
        <f t="shared" si="0"/>
        <v/>
      </c>
      <c r="G65" t="str">
        <f ca="1">IFERROR(_xludf.XLOOKUP(F65,Lists!$A:$A,Lists!$B:$B,"",0),"")</f>
        <v/>
      </c>
      <c r="S65" t="str">
        <f t="shared" si="1"/>
        <v/>
      </c>
      <c r="AQ65" t="str">
        <f t="shared" si="2"/>
        <v/>
      </c>
      <c r="AX65" t="str">
        <f ca="1">IFERROR(_xludf.XLOOKUP($T65&amp;"|Fe",ASSAY_KEYS,ASSAY_VALUES,""),"")</f>
        <v/>
      </c>
      <c r="AY65" t="str">
        <f ca="1">IFERROR(_xludf.XLOOKUP($T65&amp;"|SiO2",ASSAY_KEYS,ASSAY_VALUES,""),"")</f>
        <v/>
      </c>
      <c r="AZ65" t="str">
        <f ca="1">IFERROR(_xludf.XLOOKUP($T65&amp;"|Al2O3",ASSAY_KEYS,ASSAY_VALUES,""),"")</f>
        <v/>
      </c>
      <c r="BA65" t="str">
        <f ca="1">IFERROR(_xludf.XLOOKUP($T65&amp;"|P",ASSAY_KEYS,ASSAY_VALUES,""),"")</f>
        <v/>
      </c>
      <c r="BB65" t="str">
        <f ca="1">IFERROR(_xludf.XLOOKUP($T65&amp;"|S",ASSAY_KEYS,ASSAY_VALUES,""),"")</f>
        <v/>
      </c>
      <c r="BC65" t="str">
        <f ca="1">IFERROR(_xludf.XLOOKUP($T65&amp;"|LOI",ASSAY_KEYS,ASSAY_VALUES,""),"")</f>
        <v/>
      </c>
    </row>
    <row r="66" spans="5:55" x14ac:dyDescent="0.25">
      <c r="E66" t="str">
        <f t="shared" ref="E66:E129" si="3">IF(AND(C66&lt;&gt;"",D66&lt;&gt;""),D66-C66,"")</f>
        <v/>
      </c>
      <c r="G66" t="str">
        <f ca="1">IFERROR(_xludf.XLOOKUP(F66,Lists!$A:$A,Lists!$B:$B,"",0),"")</f>
        <v/>
      </c>
      <c r="S66" t="str">
        <f t="shared" ref="S66:S129" si="4">IF(COUNTA(N66:P66)=3,N66+O66+P66,"")</f>
        <v/>
      </c>
      <c r="AQ66" t="str">
        <f t="shared" ref="AQ66:AQ129" si="5">IF(AND(AN66&lt;&gt;"",AO66&lt;&gt;"",AP66&lt;&gt;""),AP66/(AO66-AN66)*100,"")</f>
        <v/>
      </c>
      <c r="AX66" t="str">
        <f ca="1">IFERROR(_xludf.XLOOKUP($T66&amp;"|Fe",ASSAY_KEYS,ASSAY_VALUES,""),"")</f>
        <v/>
      </c>
      <c r="AY66" t="str">
        <f ca="1">IFERROR(_xludf.XLOOKUP($T66&amp;"|SiO2",ASSAY_KEYS,ASSAY_VALUES,""),"")</f>
        <v/>
      </c>
      <c r="AZ66" t="str">
        <f ca="1">IFERROR(_xludf.XLOOKUP($T66&amp;"|Al2O3",ASSAY_KEYS,ASSAY_VALUES,""),"")</f>
        <v/>
      </c>
      <c r="BA66" t="str">
        <f ca="1">IFERROR(_xludf.XLOOKUP($T66&amp;"|P",ASSAY_KEYS,ASSAY_VALUES,""),"")</f>
        <v/>
      </c>
      <c r="BB66" t="str">
        <f ca="1">IFERROR(_xludf.XLOOKUP($T66&amp;"|S",ASSAY_KEYS,ASSAY_VALUES,""),"")</f>
        <v/>
      </c>
      <c r="BC66" t="str">
        <f ca="1">IFERROR(_xludf.XLOOKUP($T66&amp;"|LOI",ASSAY_KEYS,ASSAY_VALUES,""),"")</f>
        <v/>
      </c>
    </row>
    <row r="67" spans="5:55" x14ac:dyDescent="0.25">
      <c r="E67" t="str">
        <f t="shared" si="3"/>
        <v/>
      </c>
      <c r="G67" t="str">
        <f ca="1">IFERROR(_xludf.XLOOKUP(F67,Lists!$A:$A,Lists!$B:$B,"",0),"")</f>
        <v/>
      </c>
      <c r="S67" t="str">
        <f t="shared" si="4"/>
        <v/>
      </c>
      <c r="AQ67" t="str">
        <f t="shared" si="5"/>
        <v/>
      </c>
      <c r="AX67" t="str">
        <f ca="1">IFERROR(_xludf.XLOOKUP($T67&amp;"|Fe",ASSAY_KEYS,ASSAY_VALUES,""),"")</f>
        <v/>
      </c>
      <c r="AY67" t="str">
        <f ca="1">IFERROR(_xludf.XLOOKUP($T67&amp;"|SiO2",ASSAY_KEYS,ASSAY_VALUES,""),"")</f>
        <v/>
      </c>
      <c r="AZ67" t="str">
        <f ca="1">IFERROR(_xludf.XLOOKUP($T67&amp;"|Al2O3",ASSAY_KEYS,ASSAY_VALUES,""),"")</f>
        <v/>
      </c>
      <c r="BA67" t="str">
        <f ca="1">IFERROR(_xludf.XLOOKUP($T67&amp;"|P",ASSAY_KEYS,ASSAY_VALUES,""),"")</f>
        <v/>
      </c>
      <c r="BB67" t="str">
        <f ca="1">IFERROR(_xludf.XLOOKUP($T67&amp;"|S",ASSAY_KEYS,ASSAY_VALUES,""),"")</f>
        <v/>
      </c>
      <c r="BC67" t="str">
        <f ca="1">IFERROR(_xludf.XLOOKUP($T67&amp;"|LOI",ASSAY_KEYS,ASSAY_VALUES,""),"")</f>
        <v/>
      </c>
    </row>
    <row r="68" spans="5:55" x14ac:dyDescent="0.25">
      <c r="E68" t="str">
        <f t="shared" si="3"/>
        <v/>
      </c>
      <c r="G68" t="str">
        <f ca="1">IFERROR(_xludf.XLOOKUP(F68,Lists!$A:$A,Lists!$B:$B,"",0),"")</f>
        <v/>
      </c>
      <c r="S68" t="str">
        <f t="shared" si="4"/>
        <v/>
      </c>
      <c r="AQ68" t="str">
        <f t="shared" si="5"/>
        <v/>
      </c>
      <c r="AX68" t="str">
        <f ca="1">IFERROR(_xludf.XLOOKUP($T68&amp;"|Fe",ASSAY_KEYS,ASSAY_VALUES,""),"")</f>
        <v/>
      </c>
      <c r="AY68" t="str">
        <f ca="1">IFERROR(_xludf.XLOOKUP($T68&amp;"|SiO2",ASSAY_KEYS,ASSAY_VALUES,""),"")</f>
        <v/>
      </c>
      <c r="AZ68" t="str">
        <f ca="1">IFERROR(_xludf.XLOOKUP($T68&amp;"|Al2O3",ASSAY_KEYS,ASSAY_VALUES,""),"")</f>
        <v/>
      </c>
      <c r="BA68" t="str">
        <f ca="1">IFERROR(_xludf.XLOOKUP($T68&amp;"|P",ASSAY_KEYS,ASSAY_VALUES,""),"")</f>
        <v/>
      </c>
      <c r="BB68" t="str">
        <f ca="1">IFERROR(_xludf.XLOOKUP($T68&amp;"|S",ASSAY_KEYS,ASSAY_VALUES,""),"")</f>
        <v/>
      </c>
      <c r="BC68" t="str">
        <f ca="1">IFERROR(_xludf.XLOOKUP($T68&amp;"|LOI",ASSAY_KEYS,ASSAY_VALUES,""),"")</f>
        <v/>
      </c>
    </row>
    <row r="69" spans="5:55" x14ac:dyDescent="0.25">
      <c r="E69" t="str">
        <f t="shared" si="3"/>
        <v/>
      </c>
      <c r="G69" t="str">
        <f ca="1">IFERROR(_xludf.XLOOKUP(F69,Lists!$A:$A,Lists!$B:$B,"",0),"")</f>
        <v/>
      </c>
      <c r="S69" t="str">
        <f t="shared" si="4"/>
        <v/>
      </c>
      <c r="AQ69" t="str">
        <f t="shared" si="5"/>
        <v/>
      </c>
      <c r="AX69" t="str">
        <f ca="1">IFERROR(_xludf.XLOOKUP($T69&amp;"|Fe",ASSAY_KEYS,ASSAY_VALUES,""),"")</f>
        <v/>
      </c>
      <c r="AY69" t="str">
        <f ca="1">IFERROR(_xludf.XLOOKUP($T69&amp;"|SiO2",ASSAY_KEYS,ASSAY_VALUES,""),"")</f>
        <v/>
      </c>
      <c r="AZ69" t="str">
        <f ca="1">IFERROR(_xludf.XLOOKUP($T69&amp;"|Al2O3",ASSAY_KEYS,ASSAY_VALUES,""),"")</f>
        <v/>
      </c>
      <c r="BA69" t="str">
        <f ca="1">IFERROR(_xludf.XLOOKUP($T69&amp;"|P",ASSAY_KEYS,ASSAY_VALUES,""),"")</f>
        <v/>
      </c>
      <c r="BB69" t="str">
        <f ca="1">IFERROR(_xludf.XLOOKUP($T69&amp;"|S",ASSAY_KEYS,ASSAY_VALUES,""),"")</f>
        <v/>
      </c>
      <c r="BC69" t="str">
        <f ca="1">IFERROR(_xludf.XLOOKUP($T69&amp;"|LOI",ASSAY_KEYS,ASSAY_VALUES,""),"")</f>
        <v/>
      </c>
    </row>
    <row r="70" spans="5:55" x14ac:dyDescent="0.25">
      <c r="E70" t="str">
        <f t="shared" si="3"/>
        <v/>
      </c>
      <c r="G70" t="str">
        <f ca="1">IFERROR(_xludf.XLOOKUP(F70,Lists!$A:$A,Lists!$B:$B,"",0),"")</f>
        <v/>
      </c>
      <c r="S70" t="str">
        <f t="shared" si="4"/>
        <v/>
      </c>
      <c r="AQ70" t="str">
        <f t="shared" si="5"/>
        <v/>
      </c>
      <c r="AX70" t="str">
        <f ca="1">IFERROR(_xludf.XLOOKUP($T70&amp;"|Fe",ASSAY_KEYS,ASSAY_VALUES,""),"")</f>
        <v/>
      </c>
      <c r="AY70" t="str">
        <f ca="1">IFERROR(_xludf.XLOOKUP($T70&amp;"|SiO2",ASSAY_KEYS,ASSAY_VALUES,""),"")</f>
        <v/>
      </c>
      <c r="AZ70" t="str">
        <f ca="1">IFERROR(_xludf.XLOOKUP($T70&amp;"|Al2O3",ASSAY_KEYS,ASSAY_VALUES,""),"")</f>
        <v/>
      </c>
      <c r="BA70" t="str">
        <f ca="1">IFERROR(_xludf.XLOOKUP($T70&amp;"|P",ASSAY_KEYS,ASSAY_VALUES,""),"")</f>
        <v/>
      </c>
      <c r="BB70" t="str">
        <f ca="1">IFERROR(_xludf.XLOOKUP($T70&amp;"|S",ASSAY_KEYS,ASSAY_VALUES,""),"")</f>
        <v/>
      </c>
      <c r="BC70" t="str">
        <f ca="1">IFERROR(_xludf.XLOOKUP($T70&amp;"|LOI",ASSAY_KEYS,ASSAY_VALUES,""),"")</f>
        <v/>
      </c>
    </row>
    <row r="71" spans="5:55" x14ac:dyDescent="0.25">
      <c r="E71" t="str">
        <f t="shared" si="3"/>
        <v/>
      </c>
      <c r="G71" t="str">
        <f ca="1">IFERROR(_xludf.XLOOKUP(F71,Lists!$A:$A,Lists!$B:$B,"",0),"")</f>
        <v/>
      </c>
      <c r="S71" t="str">
        <f t="shared" si="4"/>
        <v/>
      </c>
      <c r="AQ71" t="str">
        <f t="shared" si="5"/>
        <v/>
      </c>
      <c r="AX71" t="str">
        <f ca="1">IFERROR(_xludf.XLOOKUP($T71&amp;"|Fe",ASSAY_KEYS,ASSAY_VALUES,""),"")</f>
        <v/>
      </c>
      <c r="AY71" t="str">
        <f ca="1">IFERROR(_xludf.XLOOKUP($T71&amp;"|SiO2",ASSAY_KEYS,ASSAY_VALUES,""),"")</f>
        <v/>
      </c>
      <c r="AZ71" t="str">
        <f ca="1">IFERROR(_xludf.XLOOKUP($T71&amp;"|Al2O3",ASSAY_KEYS,ASSAY_VALUES,""),"")</f>
        <v/>
      </c>
      <c r="BA71" t="str">
        <f ca="1">IFERROR(_xludf.XLOOKUP($T71&amp;"|P",ASSAY_KEYS,ASSAY_VALUES,""),"")</f>
        <v/>
      </c>
      <c r="BB71" t="str">
        <f ca="1">IFERROR(_xludf.XLOOKUP($T71&amp;"|S",ASSAY_KEYS,ASSAY_VALUES,""),"")</f>
        <v/>
      </c>
      <c r="BC71" t="str">
        <f ca="1">IFERROR(_xludf.XLOOKUP($T71&amp;"|LOI",ASSAY_KEYS,ASSAY_VALUES,""),"")</f>
        <v/>
      </c>
    </row>
    <row r="72" spans="5:55" x14ac:dyDescent="0.25">
      <c r="E72" t="str">
        <f t="shared" si="3"/>
        <v/>
      </c>
      <c r="G72" t="str">
        <f ca="1">IFERROR(_xludf.XLOOKUP(F72,Lists!$A:$A,Lists!$B:$B,"",0),"")</f>
        <v/>
      </c>
      <c r="S72" t="str">
        <f t="shared" si="4"/>
        <v/>
      </c>
      <c r="AQ72" t="str">
        <f t="shared" si="5"/>
        <v/>
      </c>
      <c r="AX72" t="str">
        <f ca="1">IFERROR(_xludf.XLOOKUP($T72&amp;"|Fe",ASSAY_KEYS,ASSAY_VALUES,""),"")</f>
        <v/>
      </c>
      <c r="AY72" t="str">
        <f ca="1">IFERROR(_xludf.XLOOKUP($T72&amp;"|SiO2",ASSAY_KEYS,ASSAY_VALUES,""),"")</f>
        <v/>
      </c>
      <c r="AZ72" t="str">
        <f ca="1">IFERROR(_xludf.XLOOKUP($T72&amp;"|Al2O3",ASSAY_KEYS,ASSAY_VALUES,""),"")</f>
        <v/>
      </c>
      <c r="BA72" t="str">
        <f ca="1">IFERROR(_xludf.XLOOKUP($T72&amp;"|P",ASSAY_KEYS,ASSAY_VALUES,""),"")</f>
        <v/>
      </c>
      <c r="BB72" t="str">
        <f ca="1">IFERROR(_xludf.XLOOKUP($T72&amp;"|S",ASSAY_KEYS,ASSAY_VALUES,""),"")</f>
        <v/>
      </c>
      <c r="BC72" t="str">
        <f ca="1">IFERROR(_xludf.XLOOKUP($T72&amp;"|LOI",ASSAY_KEYS,ASSAY_VALUES,""),"")</f>
        <v/>
      </c>
    </row>
    <row r="73" spans="5:55" x14ac:dyDescent="0.25">
      <c r="E73" t="str">
        <f t="shared" si="3"/>
        <v/>
      </c>
      <c r="G73" t="str">
        <f ca="1">IFERROR(_xludf.XLOOKUP(F73,Lists!$A:$A,Lists!$B:$B,"",0),"")</f>
        <v/>
      </c>
      <c r="S73" t="str">
        <f t="shared" si="4"/>
        <v/>
      </c>
      <c r="AQ73" t="str">
        <f t="shared" si="5"/>
        <v/>
      </c>
      <c r="AX73" t="str">
        <f ca="1">IFERROR(_xludf.XLOOKUP($T73&amp;"|Fe",ASSAY_KEYS,ASSAY_VALUES,""),"")</f>
        <v/>
      </c>
      <c r="AY73" t="str">
        <f ca="1">IFERROR(_xludf.XLOOKUP($T73&amp;"|SiO2",ASSAY_KEYS,ASSAY_VALUES,""),"")</f>
        <v/>
      </c>
      <c r="AZ73" t="str">
        <f ca="1">IFERROR(_xludf.XLOOKUP($T73&amp;"|Al2O3",ASSAY_KEYS,ASSAY_VALUES,""),"")</f>
        <v/>
      </c>
      <c r="BA73" t="str">
        <f ca="1">IFERROR(_xludf.XLOOKUP($T73&amp;"|P",ASSAY_KEYS,ASSAY_VALUES,""),"")</f>
        <v/>
      </c>
      <c r="BB73" t="str">
        <f ca="1">IFERROR(_xludf.XLOOKUP($T73&amp;"|S",ASSAY_KEYS,ASSAY_VALUES,""),"")</f>
        <v/>
      </c>
      <c r="BC73" t="str">
        <f ca="1">IFERROR(_xludf.XLOOKUP($T73&amp;"|LOI",ASSAY_KEYS,ASSAY_VALUES,""),"")</f>
        <v/>
      </c>
    </row>
    <row r="74" spans="5:55" x14ac:dyDescent="0.25">
      <c r="E74" t="str">
        <f t="shared" si="3"/>
        <v/>
      </c>
      <c r="G74" t="str">
        <f ca="1">IFERROR(_xludf.XLOOKUP(F74,Lists!$A:$A,Lists!$B:$B,"",0),"")</f>
        <v/>
      </c>
      <c r="S74" t="str">
        <f t="shared" si="4"/>
        <v/>
      </c>
      <c r="AQ74" t="str">
        <f t="shared" si="5"/>
        <v/>
      </c>
      <c r="AX74" t="str">
        <f ca="1">IFERROR(_xludf.XLOOKUP($T74&amp;"|Fe",ASSAY_KEYS,ASSAY_VALUES,""),"")</f>
        <v/>
      </c>
      <c r="AY74" t="str">
        <f ca="1">IFERROR(_xludf.XLOOKUP($T74&amp;"|SiO2",ASSAY_KEYS,ASSAY_VALUES,""),"")</f>
        <v/>
      </c>
      <c r="AZ74" t="str">
        <f ca="1">IFERROR(_xludf.XLOOKUP($T74&amp;"|Al2O3",ASSAY_KEYS,ASSAY_VALUES,""),"")</f>
        <v/>
      </c>
      <c r="BA74" t="str">
        <f ca="1">IFERROR(_xludf.XLOOKUP($T74&amp;"|P",ASSAY_KEYS,ASSAY_VALUES,""),"")</f>
        <v/>
      </c>
      <c r="BB74" t="str">
        <f ca="1">IFERROR(_xludf.XLOOKUP($T74&amp;"|S",ASSAY_KEYS,ASSAY_VALUES,""),"")</f>
        <v/>
      </c>
      <c r="BC74" t="str">
        <f ca="1">IFERROR(_xludf.XLOOKUP($T74&amp;"|LOI",ASSAY_KEYS,ASSAY_VALUES,""),"")</f>
        <v/>
      </c>
    </row>
    <row r="75" spans="5:55" x14ac:dyDescent="0.25">
      <c r="E75" t="str">
        <f t="shared" si="3"/>
        <v/>
      </c>
      <c r="G75" t="str">
        <f ca="1">IFERROR(_xludf.XLOOKUP(F75,Lists!$A:$A,Lists!$B:$B,"",0),"")</f>
        <v/>
      </c>
      <c r="S75" t="str">
        <f t="shared" si="4"/>
        <v/>
      </c>
      <c r="AQ75" t="str">
        <f t="shared" si="5"/>
        <v/>
      </c>
      <c r="AX75" t="str">
        <f ca="1">IFERROR(_xludf.XLOOKUP($T75&amp;"|Fe",ASSAY_KEYS,ASSAY_VALUES,""),"")</f>
        <v/>
      </c>
      <c r="AY75" t="str">
        <f ca="1">IFERROR(_xludf.XLOOKUP($T75&amp;"|SiO2",ASSAY_KEYS,ASSAY_VALUES,""),"")</f>
        <v/>
      </c>
      <c r="AZ75" t="str">
        <f ca="1">IFERROR(_xludf.XLOOKUP($T75&amp;"|Al2O3",ASSAY_KEYS,ASSAY_VALUES,""),"")</f>
        <v/>
      </c>
      <c r="BA75" t="str">
        <f ca="1">IFERROR(_xludf.XLOOKUP($T75&amp;"|P",ASSAY_KEYS,ASSAY_VALUES,""),"")</f>
        <v/>
      </c>
      <c r="BB75" t="str">
        <f ca="1">IFERROR(_xludf.XLOOKUP($T75&amp;"|S",ASSAY_KEYS,ASSAY_VALUES,""),"")</f>
        <v/>
      </c>
      <c r="BC75" t="str">
        <f ca="1">IFERROR(_xludf.XLOOKUP($T75&amp;"|LOI",ASSAY_KEYS,ASSAY_VALUES,""),"")</f>
        <v/>
      </c>
    </row>
    <row r="76" spans="5:55" x14ac:dyDescent="0.25">
      <c r="E76" t="str">
        <f t="shared" si="3"/>
        <v/>
      </c>
      <c r="G76" t="str">
        <f ca="1">IFERROR(_xludf.XLOOKUP(F76,Lists!$A:$A,Lists!$B:$B,"",0),"")</f>
        <v/>
      </c>
      <c r="S76" t="str">
        <f t="shared" si="4"/>
        <v/>
      </c>
      <c r="AQ76" t="str">
        <f t="shared" si="5"/>
        <v/>
      </c>
      <c r="AX76" t="str">
        <f ca="1">IFERROR(_xludf.XLOOKUP($T76&amp;"|Fe",ASSAY_KEYS,ASSAY_VALUES,""),"")</f>
        <v/>
      </c>
      <c r="AY76" t="str">
        <f ca="1">IFERROR(_xludf.XLOOKUP($T76&amp;"|SiO2",ASSAY_KEYS,ASSAY_VALUES,""),"")</f>
        <v/>
      </c>
      <c r="AZ76" t="str">
        <f ca="1">IFERROR(_xludf.XLOOKUP($T76&amp;"|Al2O3",ASSAY_KEYS,ASSAY_VALUES,""),"")</f>
        <v/>
      </c>
      <c r="BA76" t="str">
        <f ca="1">IFERROR(_xludf.XLOOKUP($T76&amp;"|P",ASSAY_KEYS,ASSAY_VALUES,""),"")</f>
        <v/>
      </c>
      <c r="BB76" t="str">
        <f ca="1">IFERROR(_xludf.XLOOKUP($T76&amp;"|S",ASSAY_KEYS,ASSAY_VALUES,""),"")</f>
        <v/>
      </c>
      <c r="BC76" t="str">
        <f ca="1">IFERROR(_xludf.XLOOKUP($T76&amp;"|LOI",ASSAY_KEYS,ASSAY_VALUES,""),"")</f>
        <v/>
      </c>
    </row>
    <row r="77" spans="5:55" x14ac:dyDescent="0.25">
      <c r="E77" t="str">
        <f t="shared" si="3"/>
        <v/>
      </c>
      <c r="G77" t="str">
        <f ca="1">IFERROR(_xludf.XLOOKUP(F77,Lists!$A:$A,Lists!$B:$B,"",0),"")</f>
        <v/>
      </c>
      <c r="S77" t="str">
        <f t="shared" si="4"/>
        <v/>
      </c>
      <c r="AQ77" t="str">
        <f t="shared" si="5"/>
        <v/>
      </c>
      <c r="AX77" t="str">
        <f ca="1">IFERROR(_xludf.XLOOKUP($T77&amp;"|Fe",ASSAY_KEYS,ASSAY_VALUES,""),"")</f>
        <v/>
      </c>
      <c r="AY77" t="str">
        <f ca="1">IFERROR(_xludf.XLOOKUP($T77&amp;"|SiO2",ASSAY_KEYS,ASSAY_VALUES,""),"")</f>
        <v/>
      </c>
      <c r="AZ77" t="str">
        <f ca="1">IFERROR(_xludf.XLOOKUP($T77&amp;"|Al2O3",ASSAY_KEYS,ASSAY_VALUES,""),"")</f>
        <v/>
      </c>
      <c r="BA77" t="str">
        <f ca="1">IFERROR(_xludf.XLOOKUP($T77&amp;"|P",ASSAY_KEYS,ASSAY_VALUES,""),"")</f>
        <v/>
      </c>
      <c r="BB77" t="str">
        <f ca="1">IFERROR(_xludf.XLOOKUP($T77&amp;"|S",ASSAY_KEYS,ASSAY_VALUES,""),"")</f>
        <v/>
      </c>
      <c r="BC77" t="str">
        <f ca="1">IFERROR(_xludf.XLOOKUP($T77&amp;"|LOI",ASSAY_KEYS,ASSAY_VALUES,""),"")</f>
        <v/>
      </c>
    </row>
    <row r="78" spans="5:55" x14ac:dyDescent="0.25">
      <c r="E78" t="str">
        <f t="shared" si="3"/>
        <v/>
      </c>
      <c r="G78" t="str">
        <f ca="1">IFERROR(_xludf.XLOOKUP(F78,Lists!$A:$A,Lists!$B:$B,"",0),"")</f>
        <v/>
      </c>
      <c r="S78" t="str">
        <f t="shared" si="4"/>
        <v/>
      </c>
      <c r="AQ78" t="str">
        <f t="shared" si="5"/>
        <v/>
      </c>
      <c r="AX78" t="str">
        <f ca="1">IFERROR(_xludf.XLOOKUP($T78&amp;"|Fe",ASSAY_KEYS,ASSAY_VALUES,""),"")</f>
        <v/>
      </c>
      <c r="AY78" t="str">
        <f ca="1">IFERROR(_xludf.XLOOKUP($T78&amp;"|SiO2",ASSAY_KEYS,ASSAY_VALUES,""),"")</f>
        <v/>
      </c>
      <c r="AZ78" t="str">
        <f ca="1">IFERROR(_xludf.XLOOKUP($T78&amp;"|Al2O3",ASSAY_KEYS,ASSAY_VALUES,""),"")</f>
        <v/>
      </c>
      <c r="BA78" t="str">
        <f ca="1">IFERROR(_xludf.XLOOKUP($T78&amp;"|P",ASSAY_KEYS,ASSAY_VALUES,""),"")</f>
        <v/>
      </c>
      <c r="BB78" t="str">
        <f ca="1">IFERROR(_xludf.XLOOKUP($T78&amp;"|S",ASSAY_KEYS,ASSAY_VALUES,""),"")</f>
        <v/>
      </c>
      <c r="BC78" t="str">
        <f ca="1">IFERROR(_xludf.XLOOKUP($T78&amp;"|LOI",ASSAY_KEYS,ASSAY_VALUES,""),"")</f>
        <v/>
      </c>
    </row>
    <row r="79" spans="5:55" x14ac:dyDescent="0.25">
      <c r="E79" t="str">
        <f t="shared" si="3"/>
        <v/>
      </c>
      <c r="G79" t="str">
        <f ca="1">IFERROR(_xludf.XLOOKUP(F79,Lists!$A:$A,Lists!$B:$B,"",0),"")</f>
        <v/>
      </c>
      <c r="S79" t="str">
        <f t="shared" si="4"/>
        <v/>
      </c>
      <c r="AQ79" t="str">
        <f t="shared" si="5"/>
        <v/>
      </c>
      <c r="AX79" t="str">
        <f ca="1">IFERROR(_xludf.XLOOKUP($T79&amp;"|Fe",ASSAY_KEYS,ASSAY_VALUES,""),"")</f>
        <v/>
      </c>
      <c r="AY79" t="str">
        <f ca="1">IFERROR(_xludf.XLOOKUP($T79&amp;"|SiO2",ASSAY_KEYS,ASSAY_VALUES,""),"")</f>
        <v/>
      </c>
      <c r="AZ79" t="str">
        <f ca="1">IFERROR(_xludf.XLOOKUP($T79&amp;"|Al2O3",ASSAY_KEYS,ASSAY_VALUES,""),"")</f>
        <v/>
      </c>
      <c r="BA79" t="str">
        <f ca="1">IFERROR(_xludf.XLOOKUP($T79&amp;"|P",ASSAY_KEYS,ASSAY_VALUES,""),"")</f>
        <v/>
      </c>
      <c r="BB79" t="str">
        <f ca="1">IFERROR(_xludf.XLOOKUP($T79&amp;"|S",ASSAY_KEYS,ASSAY_VALUES,""),"")</f>
        <v/>
      </c>
      <c r="BC79" t="str">
        <f ca="1">IFERROR(_xludf.XLOOKUP($T79&amp;"|LOI",ASSAY_KEYS,ASSAY_VALUES,""),"")</f>
        <v/>
      </c>
    </row>
    <row r="80" spans="5:55" x14ac:dyDescent="0.25">
      <c r="E80" t="str">
        <f t="shared" si="3"/>
        <v/>
      </c>
      <c r="G80" t="str">
        <f ca="1">IFERROR(_xludf.XLOOKUP(F80,Lists!$A:$A,Lists!$B:$B,"",0),"")</f>
        <v/>
      </c>
      <c r="S80" t="str">
        <f t="shared" si="4"/>
        <v/>
      </c>
      <c r="AQ80" t="str">
        <f t="shared" si="5"/>
        <v/>
      </c>
      <c r="AX80" t="str">
        <f ca="1">IFERROR(_xludf.XLOOKUP($T80&amp;"|Fe",ASSAY_KEYS,ASSAY_VALUES,""),"")</f>
        <v/>
      </c>
      <c r="AY80" t="str">
        <f ca="1">IFERROR(_xludf.XLOOKUP($T80&amp;"|SiO2",ASSAY_KEYS,ASSAY_VALUES,""),"")</f>
        <v/>
      </c>
      <c r="AZ80" t="str">
        <f ca="1">IFERROR(_xludf.XLOOKUP($T80&amp;"|Al2O3",ASSAY_KEYS,ASSAY_VALUES,""),"")</f>
        <v/>
      </c>
      <c r="BA80" t="str">
        <f ca="1">IFERROR(_xludf.XLOOKUP($T80&amp;"|P",ASSAY_KEYS,ASSAY_VALUES,""),"")</f>
        <v/>
      </c>
      <c r="BB80" t="str">
        <f ca="1">IFERROR(_xludf.XLOOKUP($T80&amp;"|S",ASSAY_KEYS,ASSAY_VALUES,""),"")</f>
        <v/>
      </c>
      <c r="BC80" t="str">
        <f ca="1">IFERROR(_xludf.XLOOKUP($T80&amp;"|LOI",ASSAY_KEYS,ASSAY_VALUES,""),"")</f>
        <v/>
      </c>
    </row>
    <row r="81" spans="5:55" x14ac:dyDescent="0.25">
      <c r="E81" t="str">
        <f t="shared" si="3"/>
        <v/>
      </c>
      <c r="G81" t="str">
        <f ca="1">IFERROR(_xludf.XLOOKUP(F81,Lists!$A:$A,Lists!$B:$B,"",0),"")</f>
        <v/>
      </c>
      <c r="S81" t="str">
        <f t="shared" si="4"/>
        <v/>
      </c>
      <c r="AQ81" t="str">
        <f t="shared" si="5"/>
        <v/>
      </c>
      <c r="AX81" t="str">
        <f ca="1">IFERROR(_xludf.XLOOKUP($T81&amp;"|Fe",ASSAY_KEYS,ASSAY_VALUES,""),"")</f>
        <v/>
      </c>
      <c r="AY81" t="str">
        <f ca="1">IFERROR(_xludf.XLOOKUP($T81&amp;"|SiO2",ASSAY_KEYS,ASSAY_VALUES,""),"")</f>
        <v/>
      </c>
      <c r="AZ81" t="str">
        <f ca="1">IFERROR(_xludf.XLOOKUP($T81&amp;"|Al2O3",ASSAY_KEYS,ASSAY_VALUES,""),"")</f>
        <v/>
      </c>
      <c r="BA81" t="str">
        <f ca="1">IFERROR(_xludf.XLOOKUP($T81&amp;"|P",ASSAY_KEYS,ASSAY_VALUES,""),"")</f>
        <v/>
      </c>
      <c r="BB81" t="str">
        <f ca="1">IFERROR(_xludf.XLOOKUP($T81&amp;"|S",ASSAY_KEYS,ASSAY_VALUES,""),"")</f>
        <v/>
      </c>
      <c r="BC81" t="str">
        <f ca="1">IFERROR(_xludf.XLOOKUP($T81&amp;"|LOI",ASSAY_KEYS,ASSAY_VALUES,""),"")</f>
        <v/>
      </c>
    </row>
    <row r="82" spans="5:55" x14ac:dyDescent="0.25">
      <c r="E82" t="str">
        <f t="shared" si="3"/>
        <v/>
      </c>
      <c r="G82" t="str">
        <f ca="1">IFERROR(_xludf.XLOOKUP(F82,Lists!$A:$A,Lists!$B:$B,"",0),"")</f>
        <v/>
      </c>
      <c r="S82" t="str">
        <f t="shared" si="4"/>
        <v/>
      </c>
      <c r="AQ82" t="str">
        <f t="shared" si="5"/>
        <v/>
      </c>
      <c r="AX82" t="str">
        <f ca="1">IFERROR(_xludf.XLOOKUP($T82&amp;"|Fe",ASSAY_KEYS,ASSAY_VALUES,""),"")</f>
        <v/>
      </c>
      <c r="AY82" t="str">
        <f ca="1">IFERROR(_xludf.XLOOKUP($T82&amp;"|SiO2",ASSAY_KEYS,ASSAY_VALUES,""),"")</f>
        <v/>
      </c>
      <c r="AZ82" t="str">
        <f ca="1">IFERROR(_xludf.XLOOKUP($T82&amp;"|Al2O3",ASSAY_KEYS,ASSAY_VALUES,""),"")</f>
        <v/>
      </c>
      <c r="BA82" t="str">
        <f ca="1">IFERROR(_xludf.XLOOKUP($T82&amp;"|P",ASSAY_KEYS,ASSAY_VALUES,""),"")</f>
        <v/>
      </c>
      <c r="BB82" t="str">
        <f ca="1">IFERROR(_xludf.XLOOKUP($T82&amp;"|S",ASSAY_KEYS,ASSAY_VALUES,""),"")</f>
        <v/>
      </c>
      <c r="BC82" t="str">
        <f ca="1">IFERROR(_xludf.XLOOKUP($T82&amp;"|LOI",ASSAY_KEYS,ASSAY_VALUES,""),"")</f>
        <v/>
      </c>
    </row>
    <row r="83" spans="5:55" x14ac:dyDescent="0.25">
      <c r="E83" t="str">
        <f t="shared" si="3"/>
        <v/>
      </c>
      <c r="G83" t="str">
        <f ca="1">IFERROR(_xludf.XLOOKUP(F83,Lists!$A:$A,Lists!$B:$B,"",0),"")</f>
        <v/>
      </c>
      <c r="S83" t="str">
        <f t="shared" si="4"/>
        <v/>
      </c>
      <c r="AQ83" t="str">
        <f t="shared" si="5"/>
        <v/>
      </c>
      <c r="AX83" t="str">
        <f ca="1">IFERROR(_xludf.XLOOKUP($T83&amp;"|Fe",ASSAY_KEYS,ASSAY_VALUES,""),"")</f>
        <v/>
      </c>
      <c r="AY83" t="str">
        <f ca="1">IFERROR(_xludf.XLOOKUP($T83&amp;"|SiO2",ASSAY_KEYS,ASSAY_VALUES,""),"")</f>
        <v/>
      </c>
      <c r="AZ83" t="str">
        <f ca="1">IFERROR(_xludf.XLOOKUP($T83&amp;"|Al2O3",ASSAY_KEYS,ASSAY_VALUES,""),"")</f>
        <v/>
      </c>
      <c r="BA83" t="str">
        <f ca="1">IFERROR(_xludf.XLOOKUP($T83&amp;"|P",ASSAY_KEYS,ASSAY_VALUES,""),"")</f>
        <v/>
      </c>
      <c r="BB83" t="str">
        <f ca="1">IFERROR(_xludf.XLOOKUP($T83&amp;"|S",ASSAY_KEYS,ASSAY_VALUES,""),"")</f>
        <v/>
      </c>
      <c r="BC83" t="str">
        <f ca="1">IFERROR(_xludf.XLOOKUP($T83&amp;"|LOI",ASSAY_KEYS,ASSAY_VALUES,""),"")</f>
        <v/>
      </c>
    </row>
    <row r="84" spans="5:55" x14ac:dyDescent="0.25">
      <c r="E84" t="str">
        <f t="shared" si="3"/>
        <v/>
      </c>
      <c r="G84" t="str">
        <f ca="1">IFERROR(_xludf.XLOOKUP(F84,Lists!$A:$A,Lists!$B:$B,"",0),"")</f>
        <v/>
      </c>
      <c r="S84" t="str">
        <f t="shared" si="4"/>
        <v/>
      </c>
      <c r="AQ84" t="str">
        <f t="shared" si="5"/>
        <v/>
      </c>
      <c r="AX84" t="str">
        <f ca="1">IFERROR(_xludf.XLOOKUP($T84&amp;"|Fe",ASSAY_KEYS,ASSAY_VALUES,""),"")</f>
        <v/>
      </c>
      <c r="AY84" t="str">
        <f ca="1">IFERROR(_xludf.XLOOKUP($T84&amp;"|SiO2",ASSAY_KEYS,ASSAY_VALUES,""),"")</f>
        <v/>
      </c>
      <c r="AZ84" t="str">
        <f ca="1">IFERROR(_xludf.XLOOKUP($T84&amp;"|Al2O3",ASSAY_KEYS,ASSAY_VALUES,""),"")</f>
        <v/>
      </c>
      <c r="BA84" t="str">
        <f ca="1">IFERROR(_xludf.XLOOKUP($T84&amp;"|P",ASSAY_KEYS,ASSAY_VALUES,""),"")</f>
        <v/>
      </c>
      <c r="BB84" t="str">
        <f ca="1">IFERROR(_xludf.XLOOKUP($T84&amp;"|S",ASSAY_KEYS,ASSAY_VALUES,""),"")</f>
        <v/>
      </c>
      <c r="BC84" t="str">
        <f ca="1">IFERROR(_xludf.XLOOKUP($T84&amp;"|LOI",ASSAY_KEYS,ASSAY_VALUES,""),"")</f>
        <v/>
      </c>
    </row>
    <row r="85" spans="5:55" x14ac:dyDescent="0.25">
      <c r="E85" t="str">
        <f t="shared" si="3"/>
        <v/>
      </c>
      <c r="G85" t="str">
        <f ca="1">IFERROR(_xludf.XLOOKUP(F85,Lists!$A:$A,Lists!$B:$B,"",0),"")</f>
        <v/>
      </c>
      <c r="S85" t="str">
        <f t="shared" si="4"/>
        <v/>
      </c>
      <c r="AQ85" t="str">
        <f t="shared" si="5"/>
        <v/>
      </c>
      <c r="AX85" t="str">
        <f ca="1">IFERROR(_xludf.XLOOKUP($T85&amp;"|Fe",ASSAY_KEYS,ASSAY_VALUES,""),"")</f>
        <v/>
      </c>
      <c r="AY85" t="str">
        <f ca="1">IFERROR(_xludf.XLOOKUP($T85&amp;"|SiO2",ASSAY_KEYS,ASSAY_VALUES,""),"")</f>
        <v/>
      </c>
      <c r="AZ85" t="str">
        <f ca="1">IFERROR(_xludf.XLOOKUP($T85&amp;"|Al2O3",ASSAY_KEYS,ASSAY_VALUES,""),"")</f>
        <v/>
      </c>
      <c r="BA85" t="str">
        <f ca="1">IFERROR(_xludf.XLOOKUP($T85&amp;"|P",ASSAY_KEYS,ASSAY_VALUES,""),"")</f>
        <v/>
      </c>
      <c r="BB85" t="str">
        <f ca="1">IFERROR(_xludf.XLOOKUP($T85&amp;"|S",ASSAY_KEYS,ASSAY_VALUES,""),"")</f>
        <v/>
      </c>
      <c r="BC85" t="str">
        <f ca="1">IFERROR(_xludf.XLOOKUP($T85&amp;"|LOI",ASSAY_KEYS,ASSAY_VALUES,""),"")</f>
        <v/>
      </c>
    </row>
    <row r="86" spans="5:55" x14ac:dyDescent="0.25">
      <c r="E86" t="str">
        <f t="shared" si="3"/>
        <v/>
      </c>
      <c r="G86" t="str">
        <f ca="1">IFERROR(_xludf.XLOOKUP(F86,Lists!$A:$A,Lists!$B:$B,"",0),"")</f>
        <v/>
      </c>
      <c r="S86" t="str">
        <f t="shared" si="4"/>
        <v/>
      </c>
      <c r="AQ86" t="str">
        <f t="shared" si="5"/>
        <v/>
      </c>
      <c r="AX86" t="str">
        <f ca="1">IFERROR(_xludf.XLOOKUP($T86&amp;"|Fe",ASSAY_KEYS,ASSAY_VALUES,""),"")</f>
        <v/>
      </c>
      <c r="AY86" t="str">
        <f ca="1">IFERROR(_xludf.XLOOKUP($T86&amp;"|SiO2",ASSAY_KEYS,ASSAY_VALUES,""),"")</f>
        <v/>
      </c>
      <c r="AZ86" t="str">
        <f ca="1">IFERROR(_xludf.XLOOKUP($T86&amp;"|Al2O3",ASSAY_KEYS,ASSAY_VALUES,""),"")</f>
        <v/>
      </c>
      <c r="BA86" t="str">
        <f ca="1">IFERROR(_xludf.XLOOKUP($T86&amp;"|P",ASSAY_KEYS,ASSAY_VALUES,""),"")</f>
        <v/>
      </c>
      <c r="BB86" t="str">
        <f ca="1">IFERROR(_xludf.XLOOKUP($T86&amp;"|S",ASSAY_KEYS,ASSAY_VALUES,""),"")</f>
        <v/>
      </c>
      <c r="BC86" t="str">
        <f ca="1">IFERROR(_xludf.XLOOKUP($T86&amp;"|LOI",ASSAY_KEYS,ASSAY_VALUES,""),"")</f>
        <v/>
      </c>
    </row>
    <row r="87" spans="5:55" x14ac:dyDescent="0.25">
      <c r="E87" t="str">
        <f t="shared" si="3"/>
        <v/>
      </c>
      <c r="G87" t="str">
        <f ca="1">IFERROR(_xludf.XLOOKUP(F87,Lists!$A:$A,Lists!$B:$B,"",0),"")</f>
        <v/>
      </c>
      <c r="S87" t="str">
        <f t="shared" si="4"/>
        <v/>
      </c>
      <c r="AQ87" t="str">
        <f t="shared" si="5"/>
        <v/>
      </c>
      <c r="AX87" t="str">
        <f ca="1">IFERROR(_xludf.XLOOKUP($T87&amp;"|Fe",ASSAY_KEYS,ASSAY_VALUES,""),"")</f>
        <v/>
      </c>
      <c r="AY87" t="str">
        <f ca="1">IFERROR(_xludf.XLOOKUP($T87&amp;"|SiO2",ASSAY_KEYS,ASSAY_VALUES,""),"")</f>
        <v/>
      </c>
      <c r="AZ87" t="str">
        <f ca="1">IFERROR(_xludf.XLOOKUP($T87&amp;"|Al2O3",ASSAY_KEYS,ASSAY_VALUES,""),"")</f>
        <v/>
      </c>
      <c r="BA87" t="str">
        <f ca="1">IFERROR(_xludf.XLOOKUP($T87&amp;"|P",ASSAY_KEYS,ASSAY_VALUES,""),"")</f>
        <v/>
      </c>
      <c r="BB87" t="str">
        <f ca="1">IFERROR(_xludf.XLOOKUP($T87&amp;"|S",ASSAY_KEYS,ASSAY_VALUES,""),"")</f>
        <v/>
      </c>
      <c r="BC87" t="str">
        <f ca="1">IFERROR(_xludf.XLOOKUP($T87&amp;"|LOI",ASSAY_KEYS,ASSAY_VALUES,""),"")</f>
        <v/>
      </c>
    </row>
    <row r="88" spans="5:55" x14ac:dyDescent="0.25">
      <c r="E88" t="str">
        <f t="shared" si="3"/>
        <v/>
      </c>
      <c r="G88" t="str">
        <f ca="1">IFERROR(_xludf.XLOOKUP(F88,Lists!$A:$A,Lists!$B:$B,"",0),"")</f>
        <v/>
      </c>
      <c r="S88" t="str">
        <f t="shared" si="4"/>
        <v/>
      </c>
      <c r="AQ88" t="str">
        <f t="shared" si="5"/>
        <v/>
      </c>
      <c r="AX88" t="str">
        <f ca="1">IFERROR(_xludf.XLOOKUP($T88&amp;"|Fe",ASSAY_KEYS,ASSAY_VALUES,""),"")</f>
        <v/>
      </c>
      <c r="AY88" t="str">
        <f ca="1">IFERROR(_xludf.XLOOKUP($T88&amp;"|SiO2",ASSAY_KEYS,ASSAY_VALUES,""),"")</f>
        <v/>
      </c>
      <c r="AZ88" t="str">
        <f ca="1">IFERROR(_xludf.XLOOKUP($T88&amp;"|Al2O3",ASSAY_KEYS,ASSAY_VALUES,""),"")</f>
        <v/>
      </c>
      <c r="BA88" t="str">
        <f ca="1">IFERROR(_xludf.XLOOKUP($T88&amp;"|P",ASSAY_KEYS,ASSAY_VALUES,""),"")</f>
        <v/>
      </c>
      <c r="BB88" t="str">
        <f ca="1">IFERROR(_xludf.XLOOKUP($T88&amp;"|S",ASSAY_KEYS,ASSAY_VALUES,""),"")</f>
        <v/>
      </c>
      <c r="BC88" t="str">
        <f ca="1">IFERROR(_xludf.XLOOKUP($T88&amp;"|LOI",ASSAY_KEYS,ASSAY_VALUES,""),"")</f>
        <v/>
      </c>
    </row>
    <row r="89" spans="5:55" x14ac:dyDescent="0.25">
      <c r="E89" t="str">
        <f t="shared" si="3"/>
        <v/>
      </c>
      <c r="G89" t="str">
        <f ca="1">IFERROR(_xludf.XLOOKUP(F89,Lists!$A:$A,Lists!$B:$B,"",0),"")</f>
        <v/>
      </c>
      <c r="S89" t="str">
        <f t="shared" si="4"/>
        <v/>
      </c>
      <c r="AQ89" t="str">
        <f t="shared" si="5"/>
        <v/>
      </c>
      <c r="AX89" t="str">
        <f ca="1">IFERROR(_xludf.XLOOKUP($T89&amp;"|Fe",ASSAY_KEYS,ASSAY_VALUES,""),"")</f>
        <v/>
      </c>
      <c r="AY89" t="str">
        <f ca="1">IFERROR(_xludf.XLOOKUP($T89&amp;"|SiO2",ASSAY_KEYS,ASSAY_VALUES,""),"")</f>
        <v/>
      </c>
      <c r="AZ89" t="str">
        <f ca="1">IFERROR(_xludf.XLOOKUP($T89&amp;"|Al2O3",ASSAY_KEYS,ASSAY_VALUES,""),"")</f>
        <v/>
      </c>
      <c r="BA89" t="str">
        <f ca="1">IFERROR(_xludf.XLOOKUP($T89&amp;"|P",ASSAY_KEYS,ASSAY_VALUES,""),"")</f>
        <v/>
      </c>
      <c r="BB89" t="str">
        <f ca="1">IFERROR(_xludf.XLOOKUP($T89&amp;"|S",ASSAY_KEYS,ASSAY_VALUES,""),"")</f>
        <v/>
      </c>
      <c r="BC89" t="str">
        <f ca="1">IFERROR(_xludf.XLOOKUP($T89&amp;"|LOI",ASSAY_KEYS,ASSAY_VALUES,""),"")</f>
        <v/>
      </c>
    </row>
    <row r="90" spans="5:55" x14ac:dyDescent="0.25">
      <c r="E90" t="str">
        <f t="shared" si="3"/>
        <v/>
      </c>
      <c r="G90" t="str">
        <f ca="1">IFERROR(_xludf.XLOOKUP(F90,Lists!$A:$A,Lists!$B:$B,"",0),"")</f>
        <v/>
      </c>
      <c r="S90" t="str">
        <f t="shared" si="4"/>
        <v/>
      </c>
      <c r="AQ90" t="str">
        <f t="shared" si="5"/>
        <v/>
      </c>
      <c r="AX90" t="str">
        <f ca="1">IFERROR(_xludf.XLOOKUP($T90&amp;"|Fe",ASSAY_KEYS,ASSAY_VALUES,""),"")</f>
        <v/>
      </c>
      <c r="AY90" t="str">
        <f ca="1">IFERROR(_xludf.XLOOKUP($T90&amp;"|SiO2",ASSAY_KEYS,ASSAY_VALUES,""),"")</f>
        <v/>
      </c>
      <c r="AZ90" t="str">
        <f ca="1">IFERROR(_xludf.XLOOKUP($T90&amp;"|Al2O3",ASSAY_KEYS,ASSAY_VALUES,""),"")</f>
        <v/>
      </c>
      <c r="BA90" t="str">
        <f ca="1">IFERROR(_xludf.XLOOKUP($T90&amp;"|P",ASSAY_KEYS,ASSAY_VALUES,""),"")</f>
        <v/>
      </c>
      <c r="BB90" t="str">
        <f ca="1">IFERROR(_xludf.XLOOKUP($T90&amp;"|S",ASSAY_KEYS,ASSAY_VALUES,""),"")</f>
        <v/>
      </c>
      <c r="BC90" t="str">
        <f ca="1">IFERROR(_xludf.XLOOKUP($T90&amp;"|LOI",ASSAY_KEYS,ASSAY_VALUES,""),"")</f>
        <v/>
      </c>
    </row>
    <row r="91" spans="5:55" x14ac:dyDescent="0.25">
      <c r="E91" t="str">
        <f t="shared" si="3"/>
        <v/>
      </c>
      <c r="G91" t="str">
        <f ca="1">IFERROR(_xludf.XLOOKUP(F91,Lists!$A:$A,Lists!$B:$B,"",0),"")</f>
        <v/>
      </c>
      <c r="S91" t="str">
        <f t="shared" si="4"/>
        <v/>
      </c>
      <c r="AQ91" t="str">
        <f t="shared" si="5"/>
        <v/>
      </c>
      <c r="AX91" t="str">
        <f ca="1">IFERROR(_xludf.XLOOKUP($T91&amp;"|Fe",ASSAY_KEYS,ASSAY_VALUES,""),"")</f>
        <v/>
      </c>
      <c r="AY91" t="str">
        <f ca="1">IFERROR(_xludf.XLOOKUP($T91&amp;"|SiO2",ASSAY_KEYS,ASSAY_VALUES,""),"")</f>
        <v/>
      </c>
      <c r="AZ91" t="str">
        <f ca="1">IFERROR(_xludf.XLOOKUP($T91&amp;"|Al2O3",ASSAY_KEYS,ASSAY_VALUES,""),"")</f>
        <v/>
      </c>
      <c r="BA91" t="str">
        <f ca="1">IFERROR(_xludf.XLOOKUP($T91&amp;"|P",ASSAY_KEYS,ASSAY_VALUES,""),"")</f>
        <v/>
      </c>
      <c r="BB91" t="str">
        <f ca="1">IFERROR(_xludf.XLOOKUP($T91&amp;"|S",ASSAY_KEYS,ASSAY_VALUES,""),"")</f>
        <v/>
      </c>
      <c r="BC91" t="str">
        <f ca="1">IFERROR(_xludf.XLOOKUP($T91&amp;"|LOI",ASSAY_KEYS,ASSAY_VALUES,""),"")</f>
        <v/>
      </c>
    </row>
    <row r="92" spans="5:55" x14ac:dyDescent="0.25">
      <c r="E92" t="str">
        <f t="shared" si="3"/>
        <v/>
      </c>
      <c r="G92" t="str">
        <f ca="1">IFERROR(_xludf.XLOOKUP(F92,Lists!$A:$A,Lists!$B:$B,"",0),"")</f>
        <v/>
      </c>
      <c r="S92" t="str">
        <f t="shared" si="4"/>
        <v/>
      </c>
      <c r="AQ92" t="str">
        <f t="shared" si="5"/>
        <v/>
      </c>
      <c r="AX92" t="str">
        <f ca="1">IFERROR(_xludf.XLOOKUP($T92&amp;"|Fe",ASSAY_KEYS,ASSAY_VALUES,""),"")</f>
        <v/>
      </c>
      <c r="AY92" t="str">
        <f ca="1">IFERROR(_xludf.XLOOKUP($T92&amp;"|SiO2",ASSAY_KEYS,ASSAY_VALUES,""),"")</f>
        <v/>
      </c>
      <c r="AZ92" t="str">
        <f ca="1">IFERROR(_xludf.XLOOKUP($T92&amp;"|Al2O3",ASSAY_KEYS,ASSAY_VALUES,""),"")</f>
        <v/>
      </c>
      <c r="BA92" t="str">
        <f ca="1">IFERROR(_xludf.XLOOKUP($T92&amp;"|P",ASSAY_KEYS,ASSAY_VALUES,""),"")</f>
        <v/>
      </c>
      <c r="BB92" t="str">
        <f ca="1">IFERROR(_xludf.XLOOKUP($T92&amp;"|S",ASSAY_KEYS,ASSAY_VALUES,""),"")</f>
        <v/>
      </c>
      <c r="BC92" t="str">
        <f ca="1">IFERROR(_xludf.XLOOKUP($T92&amp;"|LOI",ASSAY_KEYS,ASSAY_VALUES,""),"")</f>
        <v/>
      </c>
    </row>
    <row r="93" spans="5:55" x14ac:dyDescent="0.25">
      <c r="E93" t="str">
        <f t="shared" si="3"/>
        <v/>
      </c>
      <c r="G93" t="str">
        <f ca="1">IFERROR(_xludf.XLOOKUP(F93,Lists!$A:$A,Lists!$B:$B,"",0),"")</f>
        <v/>
      </c>
      <c r="S93" t="str">
        <f t="shared" si="4"/>
        <v/>
      </c>
      <c r="AQ93" t="str">
        <f t="shared" si="5"/>
        <v/>
      </c>
      <c r="AX93" t="str">
        <f ca="1">IFERROR(_xludf.XLOOKUP($T93&amp;"|Fe",ASSAY_KEYS,ASSAY_VALUES,""),"")</f>
        <v/>
      </c>
      <c r="AY93" t="str">
        <f ca="1">IFERROR(_xludf.XLOOKUP($T93&amp;"|SiO2",ASSAY_KEYS,ASSAY_VALUES,""),"")</f>
        <v/>
      </c>
      <c r="AZ93" t="str">
        <f ca="1">IFERROR(_xludf.XLOOKUP($T93&amp;"|Al2O3",ASSAY_KEYS,ASSAY_VALUES,""),"")</f>
        <v/>
      </c>
      <c r="BA93" t="str">
        <f ca="1">IFERROR(_xludf.XLOOKUP($T93&amp;"|P",ASSAY_KEYS,ASSAY_VALUES,""),"")</f>
        <v/>
      </c>
      <c r="BB93" t="str">
        <f ca="1">IFERROR(_xludf.XLOOKUP($T93&amp;"|S",ASSAY_KEYS,ASSAY_VALUES,""),"")</f>
        <v/>
      </c>
      <c r="BC93" t="str">
        <f ca="1">IFERROR(_xludf.XLOOKUP($T93&amp;"|LOI",ASSAY_KEYS,ASSAY_VALUES,""),"")</f>
        <v/>
      </c>
    </row>
    <row r="94" spans="5:55" x14ac:dyDescent="0.25">
      <c r="E94" t="str">
        <f t="shared" si="3"/>
        <v/>
      </c>
      <c r="G94" t="str">
        <f ca="1">IFERROR(_xludf.XLOOKUP(F94,Lists!$A:$A,Lists!$B:$B,"",0),"")</f>
        <v/>
      </c>
      <c r="S94" t="str">
        <f t="shared" si="4"/>
        <v/>
      </c>
      <c r="AQ94" t="str">
        <f t="shared" si="5"/>
        <v/>
      </c>
      <c r="AX94" t="str">
        <f ca="1">IFERROR(_xludf.XLOOKUP($T94&amp;"|Fe",ASSAY_KEYS,ASSAY_VALUES,""),"")</f>
        <v/>
      </c>
      <c r="AY94" t="str">
        <f ca="1">IFERROR(_xludf.XLOOKUP($T94&amp;"|SiO2",ASSAY_KEYS,ASSAY_VALUES,""),"")</f>
        <v/>
      </c>
      <c r="AZ94" t="str">
        <f ca="1">IFERROR(_xludf.XLOOKUP($T94&amp;"|Al2O3",ASSAY_KEYS,ASSAY_VALUES,""),"")</f>
        <v/>
      </c>
      <c r="BA94" t="str">
        <f ca="1">IFERROR(_xludf.XLOOKUP($T94&amp;"|P",ASSAY_KEYS,ASSAY_VALUES,""),"")</f>
        <v/>
      </c>
      <c r="BB94" t="str">
        <f ca="1">IFERROR(_xludf.XLOOKUP($T94&amp;"|S",ASSAY_KEYS,ASSAY_VALUES,""),"")</f>
        <v/>
      </c>
      <c r="BC94" t="str">
        <f ca="1">IFERROR(_xludf.XLOOKUP($T94&amp;"|LOI",ASSAY_KEYS,ASSAY_VALUES,""),"")</f>
        <v/>
      </c>
    </row>
    <row r="95" spans="5:55" x14ac:dyDescent="0.25">
      <c r="E95" t="str">
        <f t="shared" si="3"/>
        <v/>
      </c>
      <c r="G95" t="str">
        <f ca="1">IFERROR(_xludf.XLOOKUP(F95,Lists!$A:$A,Lists!$B:$B,"",0),"")</f>
        <v/>
      </c>
      <c r="S95" t="str">
        <f t="shared" si="4"/>
        <v/>
      </c>
      <c r="AQ95" t="str">
        <f t="shared" si="5"/>
        <v/>
      </c>
      <c r="AX95" t="str">
        <f ca="1">IFERROR(_xludf.XLOOKUP($T95&amp;"|Fe",ASSAY_KEYS,ASSAY_VALUES,""),"")</f>
        <v/>
      </c>
      <c r="AY95" t="str">
        <f ca="1">IFERROR(_xludf.XLOOKUP($T95&amp;"|SiO2",ASSAY_KEYS,ASSAY_VALUES,""),"")</f>
        <v/>
      </c>
      <c r="AZ95" t="str">
        <f ca="1">IFERROR(_xludf.XLOOKUP($T95&amp;"|Al2O3",ASSAY_KEYS,ASSAY_VALUES,""),"")</f>
        <v/>
      </c>
      <c r="BA95" t="str">
        <f ca="1">IFERROR(_xludf.XLOOKUP($T95&amp;"|P",ASSAY_KEYS,ASSAY_VALUES,""),"")</f>
        <v/>
      </c>
      <c r="BB95" t="str">
        <f ca="1">IFERROR(_xludf.XLOOKUP($T95&amp;"|S",ASSAY_KEYS,ASSAY_VALUES,""),"")</f>
        <v/>
      </c>
      <c r="BC95" t="str">
        <f ca="1">IFERROR(_xludf.XLOOKUP($T95&amp;"|LOI",ASSAY_KEYS,ASSAY_VALUES,""),"")</f>
        <v/>
      </c>
    </row>
    <row r="96" spans="5:55" x14ac:dyDescent="0.25">
      <c r="E96" t="str">
        <f t="shared" si="3"/>
        <v/>
      </c>
      <c r="G96" t="str">
        <f ca="1">IFERROR(_xludf.XLOOKUP(F96,Lists!$A:$A,Lists!$B:$B,"",0),"")</f>
        <v/>
      </c>
      <c r="S96" t="str">
        <f t="shared" si="4"/>
        <v/>
      </c>
      <c r="AQ96" t="str">
        <f t="shared" si="5"/>
        <v/>
      </c>
      <c r="AX96" t="str">
        <f ca="1">IFERROR(_xludf.XLOOKUP($T96&amp;"|Fe",ASSAY_KEYS,ASSAY_VALUES,""),"")</f>
        <v/>
      </c>
      <c r="AY96" t="str">
        <f ca="1">IFERROR(_xludf.XLOOKUP($T96&amp;"|SiO2",ASSAY_KEYS,ASSAY_VALUES,""),"")</f>
        <v/>
      </c>
      <c r="AZ96" t="str">
        <f ca="1">IFERROR(_xludf.XLOOKUP($T96&amp;"|Al2O3",ASSAY_KEYS,ASSAY_VALUES,""),"")</f>
        <v/>
      </c>
      <c r="BA96" t="str">
        <f ca="1">IFERROR(_xludf.XLOOKUP($T96&amp;"|P",ASSAY_KEYS,ASSAY_VALUES,""),"")</f>
        <v/>
      </c>
      <c r="BB96" t="str">
        <f ca="1">IFERROR(_xludf.XLOOKUP($T96&amp;"|S",ASSAY_KEYS,ASSAY_VALUES,""),"")</f>
        <v/>
      </c>
      <c r="BC96" t="str">
        <f ca="1">IFERROR(_xludf.XLOOKUP($T96&amp;"|LOI",ASSAY_KEYS,ASSAY_VALUES,""),"")</f>
        <v/>
      </c>
    </row>
    <row r="97" spans="5:55" x14ac:dyDescent="0.25">
      <c r="E97" t="str">
        <f t="shared" si="3"/>
        <v/>
      </c>
      <c r="G97" t="str">
        <f ca="1">IFERROR(_xludf.XLOOKUP(F97,Lists!$A:$A,Lists!$B:$B,"",0),"")</f>
        <v/>
      </c>
      <c r="S97" t="str">
        <f t="shared" si="4"/>
        <v/>
      </c>
      <c r="AQ97" t="str">
        <f t="shared" si="5"/>
        <v/>
      </c>
      <c r="AX97" t="str">
        <f ca="1">IFERROR(_xludf.XLOOKUP($T97&amp;"|Fe",ASSAY_KEYS,ASSAY_VALUES,""),"")</f>
        <v/>
      </c>
      <c r="AY97" t="str">
        <f ca="1">IFERROR(_xludf.XLOOKUP($T97&amp;"|SiO2",ASSAY_KEYS,ASSAY_VALUES,""),"")</f>
        <v/>
      </c>
      <c r="AZ97" t="str">
        <f ca="1">IFERROR(_xludf.XLOOKUP($T97&amp;"|Al2O3",ASSAY_KEYS,ASSAY_VALUES,""),"")</f>
        <v/>
      </c>
      <c r="BA97" t="str">
        <f ca="1">IFERROR(_xludf.XLOOKUP($T97&amp;"|P",ASSAY_KEYS,ASSAY_VALUES,""),"")</f>
        <v/>
      </c>
      <c r="BB97" t="str">
        <f ca="1">IFERROR(_xludf.XLOOKUP($T97&amp;"|S",ASSAY_KEYS,ASSAY_VALUES,""),"")</f>
        <v/>
      </c>
      <c r="BC97" t="str">
        <f ca="1">IFERROR(_xludf.XLOOKUP($T97&amp;"|LOI",ASSAY_KEYS,ASSAY_VALUES,""),"")</f>
        <v/>
      </c>
    </row>
    <row r="98" spans="5:55" x14ac:dyDescent="0.25">
      <c r="E98" t="str">
        <f t="shared" si="3"/>
        <v/>
      </c>
      <c r="G98" t="str">
        <f ca="1">IFERROR(_xludf.XLOOKUP(F98,Lists!$A:$A,Lists!$B:$B,"",0),"")</f>
        <v/>
      </c>
      <c r="S98" t="str">
        <f t="shared" si="4"/>
        <v/>
      </c>
      <c r="AQ98" t="str">
        <f t="shared" si="5"/>
        <v/>
      </c>
      <c r="AX98" t="str">
        <f ca="1">IFERROR(_xludf.XLOOKUP($T98&amp;"|Fe",ASSAY_KEYS,ASSAY_VALUES,""),"")</f>
        <v/>
      </c>
      <c r="AY98" t="str">
        <f ca="1">IFERROR(_xludf.XLOOKUP($T98&amp;"|SiO2",ASSAY_KEYS,ASSAY_VALUES,""),"")</f>
        <v/>
      </c>
      <c r="AZ98" t="str">
        <f ca="1">IFERROR(_xludf.XLOOKUP($T98&amp;"|Al2O3",ASSAY_KEYS,ASSAY_VALUES,""),"")</f>
        <v/>
      </c>
      <c r="BA98" t="str">
        <f ca="1">IFERROR(_xludf.XLOOKUP($T98&amp;"|P",ASSAY_KEYS,ASSAY_VALUES,""),"")</f>
        <v/>
      </c>
      <c r="BB98" t="str">
        <f ca="1">IFERROR(_xludf.XLOOKUP($T98&amp;"|S",ASSAY_KEYS,ASSAY_VALUES,""),"")</f>
        <v/>
      </c>
      <c r="BC98" t="str">
        <f ca="1">IFERROR(_xludf.XLOOKUP($T98&amp;"|LOI",ASSAY_KEYS,ASSAY_VALUES,""),"")</f>
        <v/>
      </c>
    </row>
    <row r="99" spans="5:55" x14ac:dyDescent="0.25">
      <c r="E99" t="str">
        <f t="shared" si="3"/>
        <v/>
      </c>
      <c r="G99" t="str">
        <f ca="1">IFERROR(_xludf.XLOOKUP(F99,Lists!$A:$A,Lists!$B:$B,"",0),"")</f>
        <v/>
      </c>
      <c r="S99" t="str">
        <f t="shared" si="4"/>
        <v/>
      </c>
      <c r="AQ99" t="str">
        <f t="shared" si="5"/>
        <v/>
      </c>
      <c r="AX99" t="str">
        <f ca="1">IFERROR(_xludf.XLOOKUP($T99&amp;"|Fe",ASSAY_KEYS,ASSAY_VALUES,""),"")</f>
        <v/>
      </c>
      <c r="AY99" t="str">
        <f ca="1">IFERROR(_xludf.XLOOKUP($T99&amp;"|SiO2",ASSAY_KEYS,ASSAY_VALUES,""),"")</f>
        <v/>
      </c>
      <c r="AZ99" t="str">
        <f ca="1">IFERROR(_xludf.XLOOKUP($T99&amp;"|Al2O3",ASSAY_KEYS,ASSAY_VALUES,""),"")</f>
        <v/>
      </c>
      <c r="BA99" t="str">
        <f ca="1">IFERROR(_xludf.XLOOKUP($T99&amp;"|P",ASSAY_KEYS,ASSAY_VALUES,""),"")</f>
        <v/>
      </c>
      <c r="BB99" t="str">
        <f ca="1">IFERROR(_xludf.XLOOKUP($T99&amp;"|S",ASSAY_KEYS,ASSAY_VALUES,""),"")</f>
        <v/>
      </c>
      <c r="BC99" t="str">
        <f ca="1">IFERROR(_xludf.XLOOKUP($T99&amp;"|LOI",ASSAY_KEYS,ASSAY_VALUES,""),"")</f>
        <v/>
      </c>
    </row>
    <row r="100" spans="5:55" x14ac:dyDescent="0.25">
      <c r="E100" t="str">
        <f t="shared" si="3"/>
        <v/>
      </c>
      <c r="G100" t="str">
        <f ca="1">IFERROR(_xludf.XLOOKUP(F100,Lists!$A:$A,Lists!$B:$B,"",0),"")</f>
        <v/>
      </c>
      <c r="S100" t="str">
        <f t="shared" si="4"/>
        <v/>
      </c>
      <c r="AQ100" t="str">
        <f t="shared" si="5"/>
        <v/>
      </c>
      <c r="AX100" t="str">
        <f ca="1">IFERROR(_xludf.XLOOKUP($T100&amp;"|Fe",ASSAY_KEYS,ASSAY_VALUES,""),"")</f>
        <v/>
      </c>
      <c r="AY100" t="str">
        <f ca="1">IFERROR(_xludf.XLOOKUP($T100&amp;"|SiO2",ASSAY_KEYS,ASSAY_VALUES,""),"")</f>
        <v/>
      </c>
      <c r="AZ100" t="str">
        <f ca="1">IFERROR(_xludf.XLOOKUP($T100&amp;"|Al2O3",ASSAY_KEYS,ASSAY_VALUES,""),"")</f>
        <v/>
      </c>
      <c r="BA100" t="str">
        <f ca="1">IFERROR(_xludf.XLOOKUP($T100&amp;"|P",ASSAY_KEYS,ASSAY_VALUES,""),"")</f>
        <v/>
      </c>
      <c r="BB100" t="str">
        <f ca="1">IFERROR(_xludf.XLOOKUP($T100&amp;"|S",ASSAY_KEYS,ASSAY_VALUES,""),"")</f>
        <v/>
      </c>
      <c r="BC100" t="str">
        <f ca="1">IFERROR(_xludf.XLOOKUP($T100&amp;"|LOI",ASSAY_KEYS,ASSAY_VALUES,""),"")</f>
        <v/>
      </c>
    </row>
    <row r="101" spans="5:55" x14ac:dyDescent="0.25">
      <c r="E101" t="str">
        <f t="shared" si="3"/>
        <v/>
      </c>
      <c r="G101" t="str">
        <f ca="1">IFERROR(_xludf.XLOOKUP(F101,Lists!$A:$A,Lists!$B:$B,"",0),"")</f>
        <v/>
      </c>
      <c r="S101" t="str">
        <f t="shared" si="4"/>
        <v/>
      </c>
      <c r="AQ101" t="str">
        <f t="shared" si="5"/>
        <v/>
      </c>
      <c r="AX101" t="str">
        <f ca="1">IFERROR(_xludf.XLOOKUP($T101&amp;"|Fe",ASSAY_KEYS,ASSAY_VALUES,""),"")</f>
        <v/>
      </c>
      <c r="AY101" t="str">
        <f ca="1">IFERROR(_xludf.XLOOKUP($T101&amp;"|SiO2",ASSAY_KEYS,ASSAY_VALUES,""),"")</f>
        <v/>
      </c>
      <c r="AZ101" t="str">
        <f ca="1">IFERROR(_xludf.XLOOKUP($T101&amp;"|Al2O3",ASSAY_KEYS,ASSAY_VALUES,""),"")</f>
        <v/>
      </c>
      <c r="BA101" t="str">
        <f ca="1">IFERROR(_xludf.XLOOKUP($T101&amp;"|P",ASSAY_KEYS,ASSAY_VALUES,""),"")</f>
        <v/>
      </c>
      <c r="BB101" t="str">
        <f ca="1">IFERROR(_xludf.XLOOKUP($T101&amp;"|S",ASSAY_KEYS,ASSAY_VALUES,""),"")</f>
        <v/>
      </c>
      <c r="BC101" t="str">
        <f ca="1">IFERROR(_xludf.XLOOKUP($T101&amp;"|LOI",ASSAY_KEYS,ASSAY_VALUES,""),"")</f>
        <v/>
      </c>
    </row>
    <row r="102" spans="5:55" x14ac:dyDescent="0.25">
      <c r="E102" t="str">
        <f t="shared" si="3"/>
        <v/>
      </c>
      <c r="G102" t="str">
        <f ca="1">IFERROR(_xludf.XLOOKUP(F102,Lists!$A:$A,Lists!$B:$B,"",0),"")</f>
        <v/>
      </c>
      <c r="S102" t="str">
        <f t="shared" si="4"/>
        <v/>
      </c>
      <c r="AQ102" t="str">
        <f t="shared" si="5"/>
        <v/>
      </c>
      <c r="AX102" t="str">
        <f ca="1">IFERROR(_xludf.XLOOKUP($T102&amp;"|Fe",ASSAY_KEYS,ASSAY_VALUES,""),"")</f>
        <v/>
      </c>
      <c r="AY102" t="str">
        <f ca="1">IFERROR(_xludf.XLOOKUP($T102&amp;"|SiO2",ASSAY_KEYS,ASSAY_VALUES,""),"")</f>
        <v/>
      </c>
      <c r="AZ102" t="str">
        <f ca="1">IFERROR(_xludf.XLOOKUP($T102&amp;"|Al2O3",ASSAY_KEYS,ASSAY_VALUES,""),"")</f>
        <v/>
      </c>
      <c r="BA102" t="str">
        <f ca="1">IFERROR(_xludf.XLOOKUP($T102&amp;"|P",ASSAY_KEYS,ASSAY_VALUES,""),"")</f>
        <v/>
      </c>
      <c r="BB102" t="str">
        <f ca="1">IFERROR(_xludf.XLOOKUP($T102&amp;"|S",ASSAY_KEYS,ASSAY_VALUES,""),"")</f>
        <v/>
      </c>
      <c r="BC102" t="str">
        <f ca="1">IFERROR(_xludf.XLOOKUP($T102&amp;"|LOI",ASSAY_KEYS,ASSAY_VALUES,""),"")</f>
        <v/>
      </c>
    </row>
    <row r="103" spans="5:55" x14ac:dyDescent="0.25">
      <c r="E103" t="str">
        <f t="shared" si="3"/>
        <v/>
      </c>
      <c r="G103" t="str">
        <f ca="1">IFERROR(_xludf.XLOOKUP(F103,Lists!$A:$A,Lists!$B:$B,"",0),"")</f>
        <v/>
      </c>
      <c r="S103" t="str">
        <f t="shared" si="4"/>
        <v/>
      </c>
      <c r="AQ103" t="str">
        <f t="shared" si="5"/>
        <v/>
      </c>
      <c r="AX103" t="str">
        <f ca="1">IFERROR(_xludf.XLOOKUP($T103&amp;"|Fe",ASSAY_KEYS,ASSAY_VALUES,""),"")</f>
        <v/>
      </c>
      <c r="AY103" t="str">
        <f ca="1">IFERROR(_xludf.XLOOKUP($T103&amp;"|SiO2",ASSAY_KEYS,ASSAY_VALUES,""),"")</f>
        <v/>
      </c>
      <c r="AZ103" t="str">
        <f ca="1">IFERROR(_xludf.XLOOKUP($T103&amp;"|Al2O3",ASSAY_KEYS,ASSAY_VALUES,""),"")</f>
        <v/>
      </c>
      <c r="BA103" t="str">
        <f ca="1">IFERROR(_xludf.XLOOKUP($T103&amp;"|P",ASSAY_KEYS,ASSAY_VALUES,""),"")</f>
        <v/>
      </c>
      <c r="BB103" t="str">
        <f ca="1">IFERROR(_xludf.XLOOKUP($T103&amp;"|S",ASSAY_KEYS,ASSAY_VALUES,""),"")</f>
        <v/>
      </c>
      <c r="BC103" t="str">
        <f ca="1">IFERROR(_xludf.XLOOKUP($T103&amp;"|LOI",ASSAY_KEYS,ASSAY_VALUES,""),"")</f>
        <v/>
      </c>
    </row>
    <row r="104" spans="5:55" x14ac:dyDescent="0.25">
      <c r="E104" t="str">
        <f t="shared" si="3"/>
        <v/>
      </c>
      <c r="G104" t="str">
        <f ca="1">IFERROR(_xludf.XLOOKUP(F104,Lists!$A:$A,Lists!$B:$B,"",0),"")</f>
        <v/>
      </c>
      <c r="S104" t="str">
        <f t="shared" si="4"/>
        <v/>
      </c>
      <c r="AQ104" t="str">
        <f t="shared" si="5"/>
        <v/>
      </c>
      <c r="AX104" t="str">
        <f ca="1">IFERROR(_xludf.XLOOKUP($T104&amp;"|Fe",ASSAY_KEYS,ASSAY_VALUES,""),"")</f>
        <v/>
      </c>
      <c r="AY104" t="str">
        <f ca="1">IFERROR(_xludf.XLOOKUP($T104&amp;"|SiO2",ASSAY_KEYS,ASSAY_VALUES,""),"")</f>
        <v/>
      </c>
      <c r="AZ104" t="str">
        <f ca="1">IFERROR(_xludf.XLOOKUP($T104&amp;"|Al2O3",ASSAY_KEYS,ASSAY_VALUES,""),"")</f>
        <v/>
      </c>
      <c r="BA104" t="str">
        <f ca="1">IFERROR(_xludf.XLOOKUP($T104&amp;"|P",ASSAY_KEYS,ASSAY_VALUES,""),"")</f>
        <v/>
      </c>
      <c r="BB104" t="str">
        <f ca="1">IFERROR(_xludf.XLOOKUP($T104&amp;"|S",ASSAY_KEYS,ASSAY_VALUES,""),"")</f>
        <v/>
      </c>
      <c r="BC104" t="str">
        <f ca="1">IFERROR(_xludf.XLOOKUP($T104&amp;"|LOI",ASSAY_KEYS,ASSAY_VALUES,""),"")</f>
        <v/>
      </c>
    </row>
    <row r="105" spans="5:55" x14ac:dyDescent="0.25">
      <c r="E105" t="str">
        <f t="shared" si="3"/>
        <v/>
      </c>
      <c r="G105" t="str">
        <f ca="1">IFERROR(_xludf.XLOOKUP(F105,Lists!$A:$A,Lists!$B:$B,"",0),"")</f>
        <v/>
      </c>
      <c r="S105" t="str">
        <f t="shared" si="4"/>
        <v/>
      </c>
      <c r="AQ105" t="str">
        <f t="shared" si="5"/>
        <v/>
      </c>
      <c r="AX105" t="str">
        <f ca="1">IFERROR(_xludf.XLOOKUP($T105&amp;"|Fe",ASSAY_KEYS,ASSAY_VALUES,""),"")</f>
        <v/>
      </c>
      <c r="AY105" t="str">
        <f ca="1">IFERROR(_xludf.XLOOKUP($T105&amp;"|SiO2",ASSAY_KEYS,ASSAY_VALUES,""),"")</f>
        <v/>
      </c>
      <c r="AZ105" t="str">
        <f ca="1">IFERROR(_xludf.XLOOKUP($T105&amp;"|Al2O3",ASSAY_KEYS,ASSAY_VALUES,""),"")</f>
        <v/>
      </c>
      <c r="BA105" t="str">
        <f ca="1">IFERROR(_xludf.XLOOKUP($T105&amp;"|P",ASSAY_KEYS,ASSAY_VALUES,""),"")</f>
        <v/>
      </c>
      <c r="BB105" t="str">
        <f ca="1">IFERROR(_xludf.XLOOKUP($T105&amp;"|S",ASSAY_KEYS,ASSAY_VALUES,""),"")</f>
        <v/>
      </c>
      <c r="BC105" t="str">
        <f ca="1">IFERROR(_xludf.XLOOKUP($T105&amp;"|LOI",ASSAY_KEYS,ASSAY_VALUES,""),"")</f>
        <v/>
      </c>
    </row>
    <row r="106" spans="5:55" x14ac:dyDescent="0.25">
      <c r="E106" t="str">
        <f t="shared" si="3"/>
        <v/>
      </c>
      <c r="G106" t="str">
        <f ca="1">IFERROR(_xludf.XLOOKUP(F106,Lists!$A:$A,Lists!$B:$B,"",0),"")</f>
        <v/>
      </c>
      <c r="S106" t="str">
        <f t="shared" si="4"/>
        <v/>
      </c>
      <c r="AQ106" t="str">
        <f t="shared" si="5"/>
        <v/>
      </c>
      <c r="AX106" t="str">
        <f ca="1">IFERROR(_xludf.XLOOKUP($T106&amp;"|Fe",ASSAY_KEYS,ASSAY_VALUES,""),"")</f>
        <v/>
      </c>
      <c r="AY106" t="str">
        <f ca="1">IFERROR(_xludf.XLOOKUP($T106&amp;"|SiO2",ASSAY_KEYS,ASSAY_VALUES,""),"")</f>
        <v/>
      </c>
      <c r="AZ106" t="str">
        <f ca="1">IFERROR(_xludf.XLOOKUP($T106&amp;"|Al2O3",ASSAY_KEYS,ASSAY_VALUES,""),"")</f>
        <v/>
      </c>
      <c r="BA106" t="str">
        <f ca="1">IFERROR(_xludf.XLOOKUP($T106&amp;"|P",ASSAY_KEYS,ASSAY_VALUES,""),"")</f>
        <v/>
      </c>
      <c r="BB106" t="str">
        <f ca="1">IFERROR(_xludf.XLOOKUP($T106&amp;"|S",ASSAY_KEYS,ASSAY_VALUES,""),"")</f>
        <v/>
      </c>
      <c r="BC106" t="str">
        <f ca="1">IFERROR(_xludf.XLOOKUP($T106&amp;"|LOI",ASSAY_KEYS,ASSAY_VALUES,""),"")</f>
        <v/>
      </c>
    </row>
    <row r="107" spans="5:55" x14ac:dyDescent="0.25">
      <c r="E107" t="str">
        <f t="shared" si="3"/>
        <v/>
      </c>
      <c r="G107" t="str">
        <f ca="1">IFERROR(_xludf.XLOOKUP(F107,Lists!$A:$A,Lists!$B:$B,"",0),"")</f>
        <v/>
      </c>
      <c r="S107" t="str">
        <f t="shared" si="4"/>
        <v/>
      </c>
      <c r="AQ107" t="str">
        <f t="shared" si="5"/>
        <v/>
      </c>
      <c r="AX107" t="str">
        <f ca="1">IFERROR(_xludf.XLOOKUP($T107&amp;"|Fe",ASSAY_KEYS,ASSAY_VALUES,""),"")</f>
        <v/>
      </c>
      <c r="AY107" t="str">
        <f ca="1">IFERROR(_xludf.XLOOKUP($T107&amp;"|SiO2",ASSAY_KEYS,ASSAY_VALUES,""),"")</f>
        <v/>
      </c>
      <c r="AZ107" t="str">
        <f ca="1">IFERROR(_xludf.XLOOKUP($T107&amp;"|Al2O3",ASSAY_KEYS,ASSAY_VALUES,""),"")</f>
        <v/>
      </c>
      <c r="BA107" t="str">
        <f ca="1">IFERROR(_xludf.XLOOKUP($T107&amp;"|P",ASSAY_KEYS,ASSAY_VALUES,""),"")</f>
        <v/>
      </c>
      <c r="BB107" t="str">
        <f ca="1">IFERROR(_xludf.XLOOKUP($T107&amp;"|S",ASSAY_KEYS,ASSAY_VALUES,""),"")</f>
        <v/>
      </c>
      <c r="BC107" t="str">
        <f ca="1">IFERROR(_xludf.XLOOKUP($T107&amp;"|LOI",ASSAY_KEYS,ASSAY_VALUES,""),"")</f>
        <v/>
      </c>
    </row>
    <row r="108" spans="5:55" x14ac:dyDescent="0.25">
      <c r="E108" t="str">
        <f t="shared" si="3"/>
        <v/>
      </c>
      <c r="G108" t="str">
        <f ca="1">IFERROR(_xludf.XLOOKUP(F108,Lists!$A:$A,Lists!$B:$B,"",0),"")</f>
        <v/>
      </c>
      <c r="S108" t="str">
        <f t="shared" si="4"/>
        <v/>
      </c>
      <c r="AQ108" t="str">
        <f t="shared" si="5"/>
        <v/>
      </c>
      <c r="AX108" t="str">
        <f ca="1">IFERROR(_xludf.XLOOKUP($T108&amp;"|Fe",ASSAY_KEYS,ASSAY_VALUES,""),"")</f>
        <v/>
      </c>
      <c r="AY108" t="str">
        <f ca="1">IFERROR(_xludf.XLOOKUP($T108&amp;"|SiO2",ASSAY_KEYS,ASSAY_VALUES,""),"")</f>
        <v/>
      </c>
      <c r="AZ108" t="str">
        <f ca="1">IFERROR(_xludf.XLOOKUP($T108&amp;"|Al2O3",ASSAY_KEYS,ASSAY_VALUES,""),"")</f>
        <v/>
      </c>
      <c r="BA108" t="str">
        <f ca="1">IFERROR(_xludf.XLOOKUP($T108&amp;"|P",ASSAY_KEYS,ASSAY_VALUES,""),"")</f>
        <v/>
      </c>
      <c r="BB108" t="str">
        <f ca="1">IFERROR(_xludf.XLOOKUP($T108&amp;"|S",ASSAY_KEYS,ASSAY_VALUES,""),"")</f>
        <v/>
      </c>
      <c r="BC108" t="str">
        <f ca="1">IFERROR(_xludf.XLOOKUP($T108&amp;"|LOI",ASSAY_KEYS,ASSAY_VALUES,""),"")</f>
        <v/>
      </c>
    </row>
    <row r="109" spans="5:55" x14ac:dyDescent="0.25">
      <c r="E109" t="str">
        <f t="shared" si="3"/>
        <v/>
      </c>
      <c r="G109" t="str">
        <f ca="1">IFERROR(_xludf.XLOOKUP(F109,Lists!$A:$A,Lists!$B:$B,"",0),"")</f>
        <v/>
      </c>
      <c r="S109" t="str">
        <f t="shared" si="4"/>
        <v/>
      </c>
      <c r="AQ109" t="str">
        <f t="shared" si="5"/>
        <v/>
      </c>
      <c r="AX109" t="str">
        <f ca="1">IFERROR(_xludf.XLOOKUP($T109&amp;"|Fe",ASSAY_KEYS,ASSAY_VALUES,""),"")</f>
        <v/>
      </c>
      <c r="AY109" t="str">
        <f ca="1">IFERROR(_xludf.XLOOKUP($T109&amp;"|SiO2",ASSAY_KEYS,ASSAY_VALUES,""),"")</f>
        <v/>
      </c>
      <c r="AZ109" t="str">
        <f ca="1">IFERROR(_xludf.XLOOKUP($T109&amp;"|Al2O3",ASSAY_KEYS,ASSAY_VALUES,""),"")</f>
        <v/>
      </c>
      <c r="BA109" t="str">
        <f ca="1">IFERROR(_xludf.XLOOKUP($T109&amp;"|P",ASSAY_KEYS,ASSAY_VALUES,""),"")</f>
        <v/>
      </c>
      <c r="BB109" t="str">
        <f ca="1">IFERROR(_xludf.XLOOKUP($T109&amp;"|S",ASSAY_KEYS,ASSAY_VALUES,""),"")</f>
        <v/>
      </c>
      <c r="BC109" t="str">
        <f ca="1">IFERROR(_xludf.XLOOKUP($T109&amp;"|LOI",ASSAY_KEYS,ASSAY_VALUES,""),"")</f>
        <v/>
      </c>
    </row>
    <row r="110" spans="5:55" x14ac:dyDescent="0.25">
      <c r="E110" t="str">
        <f t="shared" si="3"/>
        <v/>
      </c>
      <c r="G110" t="str">
        <f ca="1">IFERROR(_xludf.XLOOKUP(F110,Lists!$A:$A,Lists!$B:$B,"",0),"")</f>
        <v/>
      </c>
      <c r="S110" t="str">
        <f t="shared" si="4"/>
        <v/>
      </c>
      <c r="AQ110" t="str">
        <f t="shared" si="5"/>
        <v/>
      </c>
      <c r="AX110" t="str">
        <f ca="1">IFERROR(_xludf.XLOOKUP($T110&amp;"|Fe",ASSAY_KEYS,ASSAY_VALUES,""),"")</f>
        <v/>
      </c>
      <c r="AY110" t="str">
        <f ca="1">IFERROR(_xludf.XLOOKUP($T110&amp;"|SiO2",ASSAY_KEYS,ASSAY_VALUES,""),"")</f>
        <v/>
      </c>
      <c r="AZ110" t="str">
        <f ca="1">IFERROR(_xludf.XLOOKUP($T110&amp;"|Al2O3",ASSAY_KEYS,ASSAY_VALUES,""),"")</f>
        <v/>
      </c>
      <c r="BA110" t="str">
        <f ca="1">IFERROR(_xludf.XLOOKUP($T110&amp;"|P",ASSAY_KEYS,ASSAY_VALUES,""),"")</f>
        <v/>
      </c>
      <c r="BB110" t="str">
        <f ca="1">IFERROR(_xludf.XLOOKUP($T110&amp;"|S",ASSAY_KEYS,ASSAY_VALUES,""),"")</f>
        <v/>
      </c>
      <c r="BC110" t="str">
        <f ca="1">IFERROR(_xludf.XLOOKUP($T110&amp;"|LOI",ASSAY_KEYS,ASSAY_VALUES,""),"")</f>
        <v/>
      </c>
    </row>
    <row r="111" spans="5:55" x14ac:dyDescent="0.25">
      <c r="E111" t="str">
        <f t="shared" si="3"/>
        <v/>
      </c>
      <c r="G111" t="str">
        <f ca="1">IFERROR(_xludf.XLOOKUP(F111,Lists!$A:$A,Lists!$B:$B,"",0),"")</f>
        <v/>
      </c>
      <c r="S111" t="str">
        <f t="shared" si="4"/>
        <v/>
      </c>
      <c r="AQ111" t="str">
        <f t="shared" si="5"/>
        <v/>
      </c>
      <c r="AX111" t="str">
        <f ca="1">IFERROR(_xludf.XLOOKUP($T111&amp;"|Fe",ASSAY_KEYS,ASSAY_VALUES,""),"")</f>
        <v/>
      </c>
      <c r="AY111" t="str">
        <f ca="1">IFERROR(_xludf.XLOOKUP($T111&amp;"|SiO2",ASSAY_KEYS,ASSAY_VALUES,""),"")</f>
        <v/>
      </c>
      <c r="AZ111" t="str">
        <f ca="1">IFERROR(_xludf.XLOOKUP($T111&amp;"|Al2O3",ASSAY_KEYS,ASSAY_VALUES,""),"")</f>
        <v/>
      </c>
      <c r="BA111" t="str">
        <f ca="1">IFERROR(_xludf.XLOOKUP($T111&amp;"|P",ASSAY_KEYS,ASSAY_VALUES,""),"")</f>
        <v/>
      </c>
      <c r="BB111" t="str">
        <f ca="1">IFERROR(_xludf.XLOOKUP($T111&amp;"|S",ASSAY_KEYS,ASSAY_VALUES,""),"")</f>
        <v/>
      </c>
      <c r="BC111" t="str">
        <f ca="1">IFERROR(_xludf.XLOOKUP($T111&amp;"|LOI",ASSAY_KEYS,ASSAY_VALUES,""),"")</f>
        <v/>
      </c>
    </row>
    <row r="112" spans="5:55" x14ac:dyDescent="0.25">
      <c r="E112" t="str">
        <f t="shared" si="3"/>
        <v/>
      </c>
      <c r="G112" t="str">
        <f ca="1">IFERROR(_xludf.XLOOKUP(F112,Lists!$A:$A,Lists!$B:$B,"",0),"")</f>
        <v/>
      </c>
      <c r="S112" t="str">
        <f t="shared" si="4"/>
        <v/>
      </c>
      <c r="AQ112" t="str">
        <f t="shared" si="5"/>
        <v/>
      </c>
      <c r="AX112" t="str">
        <f ca="1">IFERROR(_xludf.XLOOKUP($T112&amp;"|Fe",ASSAY_KEYS,ASSAY_VALUES,""),"")</f>
        <v/>
      </c>
      <c r="AY112" t="str">
        <f ca="1">IFERROR(_xludf.XLOOKUP($T112&amp;"|SiO2",ASSAY_KEYS,ASSAY_VALUES,""),"")</f>
        <v/>
      </c>
      <c r="AZ112" t="str">
        <f ca="1">IFERROR(_xludf.XLOOKUP($T112&amp;"|Al2O3",ASSAY_KEYS,ASSAY_VALUES,""),"")</f>
        <v/>
      </c>
      <c r="BA112" t="str">
        <f ca="1">IFERROR(_xludf.XLOOKUP($T112&amp;"|P",ASSAY_KEYS,ASSAY_VALUES,""),"")</f>
        <v/>
      </c>
      <c r="BB112" t="str">
        <f ca="1">IFERROR(_xludf.XLOOKUP($T112&amp;"|S",ASSAY_KEYS,ASSAY_VALUES,""),"")</f>
        <v/>
      </c>
      <c r="BC112" t="str">
        <f ca="1">IFERROR(_xludf.XLOOKUP($T112&amp;"|LOI",ASSAY_KEYS,ASSAY_VALUES,""),"")</f>
        <v/>
      </c>
    </row>
    <row r="113" spans="5:55" x14ac:dyDescent="0.25">
      <c r="E113" t="str">
        <f t="shared" si="3"/>
        <v/>
      </c>
      <c r="G113" t="str">
        <f ca="1">IFERROR(_xludf.XLOOKUP(F113,Lists!$A:$A,Lists!$B:$B,"",0),"")</f>
        <v/>
      </c>
      <c r="S113" t="str">
        <f t="shared" si="4"/>
        <v/>
      </c>
      <c r="AQ113" t="str">
        <f t="shared" si="5"/>
        <v/>
      </c>
      <c r="AX113" t="str">
        <f ca="1">IFERROR(_xludf.XLOOKUP($T113&amp;"|Fe",ASSAY_KEYS,ASSAY_VALUES,""),"")</f>
        <v/>
      </c>
      <c r="AY113" t="str">
        <f ca="1">IFERROR(_xludf.XLOOKUP($T113&amp;"|SiO2",ASSAY_KEYS,ASSAY_VALUES,""),"")</f>
        <v/>
      </c>
      <c r="AZ113" t="str">
        <f ca="1">IFERROR(_xludf.XLOOKUP($T113&amp;"|Al2O3",ASSAY_KEYS,ASSAY_VALUES,""),"")</f>
        <v/>
      </c>
      <c r="BA113" t="str">
        <f ca="1">IFERROR(_xludf.XLOOKUP($T113&amp;"|P",ASSAY_KEYS,ASSAY_VALUES,""),"")</f>
        <v/>
      </c>
      <c r="BB113" t="str">
        <f ca="1">IFERROR(_xludf.XLOOKUP($T113&amp;"|S",ASSAY_KEYS,ASSAY_VALUES,""),"")</f>
        <v/>
      </c>
      <c r="BC113" t="str">
        <f ca="1">IFERROR(_xludf.XLOOKUP($T113&amp;"|LOI",ASSAY_KEYS,ASSAY_VALUES,""),"")</f>
        <v/>
      </c>
    </row>
    <row r="114" spans="5:55" x14ac:dyDescent="0.25">
      <c r="E114" t="str">
        <f t="shared" si="3"/>
        <v/>
      </c>
      <c r="G114" t="str">
        <f ca="1">IFERROR(_xludf.XLOOKUP(F114,Lists!$A:$A,Lists!$B:$B,"",0),"")</f>
        <v/>
      </c>
      <c r="S114" t="str">
        <f t="shared" si="4"/>
        <v/>
      </c>
      <c r="AQ114" t="str">
        <f t="shared" si="5"/>
        <v/>
      </c>
      <c r="AX114" t="str">
        <f ca="1">IFERROR(_xludf.XLOOKUP($T114&amp;"|Fe",ASSAY_KEYS,ASSAY_VALUES,""),"")</f>
        <v/>
      </c>
      <c r="AY114" t="str">
        <f ca="1">IFERROR(_xludf.XLOOKUP($T114&amp;"|SiO2",ASSAY_KEYS,ASSAY_VALUES,""),"")</f>
        <v/>
      </c>
      <c r="AZ114" t="str">
        <f ca="1">IFERROR(_xludf.XLOOKUP($T114&amp;"|Al2O3",ASSAY_KEYS,ASSAY_VALUES,""),"")</f>
        <v/>
      </c>
      <c r="BA114" t="str">
        <f ca="1">IFERROR(_xludf.XLOOKUP($T114&amp;"|P",ASSAY_KEYS,ASSAY_VALUES,""),"")</f>
        <v/>
      </c>
      <c r="BB114" t="str">
        <f ca="1">IFERROR(_xludf.XLOOKUP($T114&amp;"|S",ASSAY_KEYS,ASSAY_VALUES,""),"")</f>
        <v/>
      </c>
      <c r="BC114" t="str">
        <f ca="1">IFERROR(_xludf.XLOOKUP($T114&amp;"|LOI",ASSAY_KEYS,ASSAY_VALUES,""),"")</f>
        <v/>
      </c>
    </row>
    <row r="115" spans="5:55" x14ac:dyDescent="0.25">
      <c r="E115" t="str">
        <f t="shared" si="3"/>
        <v/>
      </c>
      <c r="G115" t="str">
        <f ca="1">IFERROR(_xludf.XLOOKUP(F115,Lists!$A:$A,Lists!$B:$B,"",0),"")</f>
        <v/>
      </c>
      <c r="S115" t="str">
        <f t="shared" si="4"/>
        <v/>
      </c>
      <c r="AQ115" t="str">
        <f t="shared" si="5"/>
        <v/>
      </c>
      <c r="AX115" t="str">
        <f ca="1">IFERROR(_xludf.XLOOKUP($T115&amp;"|Fe",ASSAY_KEYS,ASSAY_VALUES,""),"")</f>
        <v/>
      </c>
      <c r="AY115" t="str">
        <f ca="1">IFERROR(_xludf.XLOOKUP($T115&amp;"|SiO2",ASSAY_KEYS,ASSAY_VALUES,""),"")</f>
        <v/>
      </c>
      <c r="AZ115" t="str">
        <f ca="1">IFERROR(_xludf.XLOOKUP($T115&amp;"|Al2O3",ASSAY_KEYS,ASSAY_VALUES,""),"")</f>
        <v/>
      </c>
      <c r="BA115" t="str">
        <f ca="1">IFERROR(_xludf.XLOOKUP($T115&amp;"|P",ASSAY_KEYS,ASSAY_VALUES,""),"")</f>
        <v/>
      </c>
      <c r="BB115" t="str">
        <f ca="1">IFERROR(_xludf.XLOOKUP($T115&amp;"|S",ASSAY_KEYS,ASSAY_VALUES,""),"")</f>
        <v/>
      </c>
      <c r="BC115" t="str">
        <f ca="1">IFERROR(_xludf.XLOOKUP($T115&amp;"|LOI",ASSAY_KEYS,ASSAY_VALUES,""),"")</f>
        <v/>
      </c>
    </row>
    <row r="116" spans="5:55" x14ac:dyDescent="0.25">
      <c r="E116" t="str">
        <f t="shared" si="3"/>
        <v/>
      </c>
      <c r="G116" t="str">
        <f ca="1">IFERROR(_xludf.XLOOKUP(F116,Lists!$A:$A,Lists!$B:$B,"",0),"")</f>
        <v/>
      </c>
      <c r="S116" t="str">
        <f t="shared" si="4"/>
        <v/>
      </c>
      <c r="AQ116" t="str">
        <f t="shared" si="5"/>
        <v/>
      </c>
      <c r="AX116" t="str">
        <f ca="1">IFERROR(_xludf.XLOOKUP($T116&amp;"|Fe",ASSAY_KEYS,ASSAY_VALUES,""),"")</f>
        <v/>
      </c>
      <c r="AY116" t="str">
        <f ca="1">IFERROR(_xludf.XLOOKUP($T116&amp;"|SiO2",ASSAY_KEYS,ASSAY_VALUES,""),"")</f>
        <v/>
      </c>
      <c r="AZ116" t="str">
        <f ca="1">IFERROR(_xludf.XLOOKUP($T116&amp;"|Al2O3",ASSAY_KEYS,ASSAY_VALUES,""),"")</f>
        <v/>
      </c>
      <c r="BA116" t="str">
        <f ca="1">IFERROR(_xludf.XLOOKUP($T116&amp;"|P",ASSAY_KEYS,ASSAY_VALUES,""),"")</f>
        <v/>
      </c>
      <c r="BB116" t="str">
        <f ca="1">IFERROR(_xludf.XLOOKUP($T116&amp;"|S",ASSAY_KEYS,ASSAY_VALUES,""),"")</f>
        <v/>
      </c>
      <c r="BC116" t="str">
        <f ca="1">IFERROR(_xludf.XLOOKUP($T116&amp;"|LOI",ASSAY_KEYS,ASSAY_VALUES,""),"")</f>
        <v/>
      </c>
    </row>
    <row r="117" spans="5:55" x14ac:dyDescent="0.25">
      <c r="E117" t="str">
        <f t="shared" si="3"/>
        <v/>
      </c>
      <c r="G117" t="str">
        <f ca="1">IFERROR(_xludf.XLOOKUP(F117,Lists!$A:$A,Lists!$B:$B,"",0),"")</f>
        <v/>
      </c>
      <c r="S117" t="str">
        <f t="shared" si="4"/>
        <v/>
      </c>
      <c r="AQ117" t="str">
        <f t="shared" si="5"/>
        <v/>
      </c>
      <c r="AX117" t="str">
        <f ca="1">IFERROR(_xludf.XLOOKUP($T117&amp;"|Fe",ASSAY_KEYS,ASSAY_VALUES,""),"")</f>
        <v/>
      </c>
      <c r="AY117" t="str">
        <f ca="1">IFERROR(_xludf.XLOOKUP($T117&amp;"|SiO2",ASSAY_KEYS,ASSAY_VALUES,""),"")</f>
        <v/>
      </c>
      <c r="AZ117" t="str">
        <f ca="1">IFERROR(_xludf.XLOOKUP($T117&amp;"|Al2O3",ASSAY_KEYS,ASSAY_VALUES,""),"")</f>
        <v/>
      </c>
      <c r="BA117" t="str">
        <f ca="1">IFERROR(_xludf.XLOOKUP($T117&amp;"|P",ASSAY_KEYS,ASSAY_VALUES,""),"")</f>
        <v/>
      </c>
      <c r="BB117" t="str">
        <f ca="1">IFERROR(_xludf.XLOOKUP($T117&amp;"|S",ASSAY_KEYS,ASSAY_VALUES,""),"")</f>
        <v/>
      </c>
      <c r="BC117" t="str">
        <f ca="1">IFERROR(_xludf.XLOOKUP($T117&amp;"|LOI",ASSAY_KEYS,ASSAY_VALUES,""),"")</f>
        <v/>
      </c>
    </row>
    <row r="118" spans="5:55" x14ac:dyDescent="0.25">
      <c r="E118" t="str">
        <f t="shared" si="3"/>
        <v/>
      </c>
      <c r="G118" t="str">
        <f ca="1">IFERROR(_xludf.XLOOKUP(F118,Lists!$A:$A,Lists!$B:$B,"",0),"")</f>
        <v/>
      </c>
      <c r="S118" t="str">
        <f t="shared" si="4"/>
        <v/>
      </c>
      <c r="AQ118" t="str">
        <f t="shared" si="5"/>
        <v/>
      </c>
      <c r="AX118" t="str">
        <f ca="1">IFERROR(_xludf.XLOOKUP($T118&amp;"|Fe",ASSAY_KEYS,ASSAY_VALUES,""),"")</f>
        <v/>
      </c>
      <c r="AY118" t="str">
        <f ca="1">IFERROR(_xludf.XLOOKUP($T118&amp;"|SiO2",ASSAY_KEYS,ASSAY_VALUES,""),"")</f>
        <v/>
      </c>
      <c r="AZ118" t="str">
        <f ca="1">IFERROR(_xludf.XLOOKUP($T118&amp;"|Al2O3",ASSAY_KEYS,ASSAY_VALUES,""),"")</f>
        <v/>
      </c>
      <c r="BA118" t="str">
        <f ca="1">IFERROR(_xludf.XLOOKUP($T118&amp;"|P",ASSAY_KEYS,ASSAY_VALUES,""),"")</f>
        <v/>
      </c>
      <c r="BB118" t="str">
        <f ca="1">IFERROR(_xludf.XLOOKUP($T118&amp;"|S",ASSAY_KEYS,ASSAY_VALUES,""),"")</f>
        <v/>
      </c>
      <c r="BC118" t="str">
        <f ca="1">IFERROR(_xludf.XLOOKUP($T118&amp;"|LOI",ASSAY_KEYS,ASSAY_VALUES,""),"")</f>
        <v/>
      </c>
    </row>
    <row r="119" spans="5:55" x14ac:dyDescent="0.25">
      <c r="E119" t="str">
        <f t="shared" si="3"/>
        <v/>
      </c>
      <c r="G119" t="str">
        <f ca="1">IFERROR(_xludf.XLOOKUP(F119,Lists!$A:$A,Lists!$B:$B,"",0),"")</f>
        <v/>
      </c>
      <c r="S119" t="str">
        <f t="shared" si="4"/>
        <v/>
      </c>
      <c r="AQ119" t="str">
        <f t="shared" si="5"/>
        <v/>
      </c>
      <c r="AX119" t="str">
        <f ca="1">IFERROR(_xludf.XLOOKUP($T119&amp;"|Fe",ASSAY_KEYS,ASSAY_VALUES,""),"")</f>
        <v/>
      </c>
      <c r="AY119" t="str">
        <f ca="1">IFERROR(_xludf.XLOOKUP($T119&amp;"|SiO2",ASSAY_KEYS,ASSAY_VALUES,""),"")</f>
        <v/>
      </c>
      <c r="AZ119" t="str">
        <f ca="1">IFERROR(_xludf.XLOOKUP($T119&amp;"|Al2O3",ASSAY_KEYS,ASSAY_VALUES,""),"")</f>
        <v/>
      </c>
      <c r="BA119" t="str">
        <f ca="1">IFERROR(_xludf.XLOOKUP($T119&amp;"|P",ASSAY_KEYS,ASSAY_VALUES,""),"")</f>
        <v/>
      </c>
      <c r="BB119" t="str">
        <f ca="1">IFERROR(_xludf.XLOOKUP($T119&amp;"|S",ASSAY_KEYS,ASSAY_VALUES,""),"")</f>
        <v/>
      </c>
      <c r="BC119" t="str">
        <f ca="1">IFERROR(_xludf.XLOOKUP($T119&amp;"|LOI",ASSAY_KEYS,ASSAY_VALUES,""),"")</f>
        <v/>
      </c>
    </row>
    <row r="120" spans="5:55" x14ac:dyDescent="0.25">
      <c r="E120" t="str">
        <f t="shared" si="3"/>
        <v/>
      </c>
      <c r="G120" t="str">
        <f ca="1">IFERROR(_xludf.XLOOKUP(F120,Lists!$A:$A,Lists!$B:$B,"",0),"")</f>
        <v/>
      </c>
      <c r="S120" t="str">
        <f t="shared" si="4"/>
        <v/>
      </c>
      <c r="AQ120" t="str">
        <f t="shared" si="5"/>
        <v/>
      </c>
      <c r="AX120" t="str">
        <f ca="1">IFERROR(_xludf.XLOOKUP($T120&amp;"|Fe",ASSAY_KEYS,ASSAY_VALUES,""),"")</f>
        <v/>
      </c>
      <c r="AY120" t="str">
        <f ca="1">IFERROR(_xludf.XLOOKUP($T120&amp;"|SiO2",ASSAY_KEYS,ASSAY_VALUES,""),"")</f>
        <v/>
      </c>
      <c r="AZ120" t="str">
        <f ca="1">IFERROR(_xludf.XLOOKUP($T120&amp;"|Al2O3",ASSAY_KEYS,ASSAY_VALUES,""),"")</f>
        <v/>
      </c>
      <c r="BA120" t="str">
        <f ca="1">IFERROR(_xludf.XLOOKUP($T120&amp;"|P",ASSAY_KEYS,ASSAY_VALUES,""),"")</f>
        <v/>
      </c>
      <c r="BB120" t="str">
        <f ca="1">IFERROR(_xludf.XLOOKUP($T120&amp;"|S",ASSAY_KEYS,ASSAY_VALUES,""),"")</f>
        <v/>
      </c>
      <c r="BC120" t="str">
        <f ca="1">IFERROR(_xludf.XLOOKUP($T120&amp;"|LOI",ASSAY_KEYS,ASSAY_VALUES,""),"")</f>
        <v/>
      </c>
    </row>
    <row r="121" spans="5:55" x14ac:dyDescent="0.25">
      <c r="E121" t="str">
        <f t="shared" si="3"/>
        <v/>
      </c>
      <c r="G121" t="str">
        <f ca="1">IFERROR(_xludf.XLOOKUP(F121,Lists!$A:$A,Lists!$B:$B,"",0),"")</f>
        <v/>
      </c>
      <c r="S121" t="str">
        <f t="shared" si="4"/>
        <v/>
      </c>
      <c r="AQ121" t="str">
        <f t="shared" si="5"/>
        <v/>
      </c>
      <c r="AX121" t="str">
        <f ca="1">IFERROR(_xludf.XLOOKUP($T121&amp;"|Fe",ASSAY_KEYS,ASSAY_VALUES,""),"")</f>
        <v/>
      </c>
      <c r="AY121" t="str">
        <f ca="1">IFERROR(_xludf.XLOOKUP($T121&amp;"|SiO2",ASSAY_KEYS,ASSAY_VALUES,""),"")</f>
        <v/>
      </c>
      <c r="AZ121" t="str">
        <f ca="1">IFERROR(_xludf.XLOOKUP($T121&amp;"|Al2O3",ASSAY_KEYS,ASSAY_VALUES,""),"")</f>
        <v/>
      </c>
      <c r="BA121" t="str">
        <f ca="1">IFERROR(_xludf.XLOOKUP($T121&amp;"|P",ASSAY_KEYS,ASSAY_VALUES,""),"")</f>
        <v/>
      </c>
      <c r="BB121" t="str">
        <f ca="1">IFERROR(_xludf.XLOOKUP($T121&amp;"|S",ASSAY_KEYS,ASSAY_VALUES,""),"")</f>
        <v/>
      </c>
      <c r="BC121" t="str">
        <f ca="1">IFERROR(_xludf.XLOOKUP($T121&amp;"|LOI",ASSAY_KEYS,ASSAY_VALUES,""),"")</f>
        <v/>
      </c>
    </row>
    <row r="122" spans="5:55" x14ac:dyDescent="0.25">
      <c r="E122" t="str">
        <f t="shared" si="3"/>
        <v/>
      </c>
      <c r="G122" t="str">
        <f ca="1">IFERROR(_xludf.XLOOKUP(F122,Lists!$A:$A,Lists!$B:$B,"",0),"")</f>
        <v/>
      </c>
      <c r="S122" t="str">
        <f t="shared" si="4"/>
        <v/>
      </c>
      <c r="AQ122" t="str">
        <f t="shared" si="5"/>
        <v/>
      </c>
      <c r="AX122" t="str">
        <f ca="1">IFERROR(_xludf.XLOOKUP($T122&amp;"|Fe",ASSAY_KEYS,ASSAY_VALUES,""),"")</f>
        <v/>
      </c>
      <c r="AY122" t="str">
        <f ca="1">IFERROR(_xludf.XLOOKUP($T122&amp;"|SiO2",ASSAY_KEYS,ASSAY_VALUES,""),"")</f>
        <v/>
      </c>
      <c r="AZ122" t="str">
        <f ca="1">IFERROR(_xludf.XLOOKUP($T122&amp;"|Al2O3",ASSAY_KEYS,ASSAY_VALUES,""),"")</f>
        <v/>
      </c>
      <c r="BA122" t="str">
        <f ca="1">IFERROR(_xludf.XLOOKUP($T122&amp;"|P",ASSAY_KEYS,ASSAY_VALUES,""),"")</f>
        <v/>
      </c>
      <c r="BB122" t="str">
        <f ca="1">IFERROR(_xludf.XLOOKUP($T122&amp;"|S",ASSAY_KEYS,ASSAY_VALUES,""),"")</f>
        <v/>
      </c>
      <c r="BC122" t="str">
        <f ca="1">IFERROR(_xludf.XLOOKUP($T122&amp;"|LOI",ASSAY_KEYS,ASSAY_VALUES,""),"")</f>
        <v/>
      </c>
    </row>
    <row r="123" spans="5:55" x14ac:dyDescent="0.25">
      <c r="E123" t="str">
        <f t="shared" si="3"/>
        <v/>
      </c>
      <c r="G123" t="str">
        <f ca="1">IFERROR(_xludf.XLOOKUP(F123,Lists!$A:$A,Lists!$B:$B,"",0),"")</f>
        <v/>
      </c>
      <c r="S123" t="str">
        <f t="shared" si="4"/>
        <v/>
      </c>
      <c r="AQ123" t="str">
        <f t="shared" si="5"/>
        <v/>
      </c>
      <c r="AX123" t="str">
        <f ca="1">IFERROR(_xludf.XLOOKUP($T123&amp;"|Fe",ASSAY_KEYS,ASSAY_VALUES,""),"")</f>
        <v/>
      </c>
      <c r="AY123" t="str">
        <f ca="1">IFERROR(_xludf.XLOOKUP($T123&amp;"|SiO2",ASSAY_KEYS,ASSAY_VALUES,""),"")</f>
        <v/>
      </c>
      <c r="AZ123" t="str">
        <f ca="1">IFERROR(_xludf.XLOOKUP($T123&amp;"|Al2O3",ASSAY_KEYS,ASSAY_VALUES,""),"")</f>
        <v/>
      </c>
      <c r="BA123" t="str">
        <f ca="1">IFERROR(_xludf.XLOOKUP($T123&amp;"|P",ASSAY_KEYS,ASSAY_VALUES,""),"")</f>
        <v/>
      </c>
      <c r="BB123" t="str">
        <f ca="1">IFERROR(_xludf.XLOOKUP($T123&amp;"|S",ASSAY_KEYS,ASSAY_VALUES,""),"")</f>
        <v/>
      </c>
      <c r="BC123" t="str">
        <f ca="1">IFERROR(_xludf.XLOOKUP($T123&amp;"|LOI",ASSAY_KEYS,ASSAY_VALUES,""),"")</f>
        <v/>
      </c>
    </row>
    <row r="124" spans="5:55" x14ac:dyDescent="0.25">
      <c r="E124" t="str">
        <f t="shared" si="3"/>
        <v/>
      </c>
      <c r="G124" t="str">
        <f ca="1">IFERROR(_xludf.XLOOKUP(F124,Lists!$A:$A,Lists!$B:$B,"",0),"")</f>
        <v/>
      </c>
      <c r="S124" t="str">
        <f t="shared" si="4"/>
        <v/>
      </c>
      <c r="AQ124" t="str">
        <f t="shared" si="5"/>
        <v/>
      </c>
      <c r="AX124" t="str">
        <f ca="1">IFERROR(_xludf.XLOOKUP($T124&amp;"|Fe",ASSAY_KEYS,ASSAY_VALUES,""),"")</f>
        <v/>
      </c>
      <c r="AY124" t="str">
        <f ca="1">IFERROR(_xludf.XLOOKUP($T124&amp;"|SiO2",ASSAY_KEYS,ASSAY_VALUES,""),"")</f>
        <v/>
      </c>
      <c r="AZ124" t="str">
        <f ca="1">IFERROR(_xludf.XLOOKUP($T124&amp;"|Al2O3",ASSAY_KEYS,ASSAY_VALUES,""),"")</f>
        <v/>
      </c>
      <c r="BA124" t="str">
        <f ca="1">IFERROR(_xludf.XLOOKUP($T124&amp;"|P",ASSAY_KEYS,ASSAY_VALUES,""),"")</f>
        <v/>
      </c>
      <c r="BB124" t="str">
        <f ca="1">IFERROR(_xludf.XLOOKUP($T124&amp;"|S",ASSAY_KEYS,ASSAY_VALUES,""),"")</f>
        <v/>
      </c>
      <c r="BC124" t="str">
        <f ca="1">IFERROR(_xludf.XLOOKUP($T124&amp;"|LOI",ASSAY_KEYS,ASSAY_VALUES,""),"")</f>
        <v/>
      </c>
    </row>
    <row r="125" spans="5:55" x14ac:dyDescent="0.25">
      <c r="E125" t="str">
        <f t="shared" si="3"/>
        <v/>
      </c>
      <c r="G125" t="str">
        <f ca="1">IFERROR(_xludf.XLOOKUP(F125,Lists!$A:$A,Lists!$B:$B,"",0),"")</f>
        <v/>
      </c>
      <c r="S125" t="str">
        <f t="shared" si="4"/>
        <v/>
      </c>
      <c r="AQ125" t="str">
        <f t="shared" si="5"/>
        <v/>
      </c>
      <c r="AX125" t="str">
        <f ca="1">IFERROR(_xludf.XLOOKUP($T125&amp;"|Fe",ASSAY_KEYS,ASSAY_VALUES,""),"")</f>
        <v/>
      </c>
      <c r="AY125" t="str">
        <f ca="1">IFERROR(_xludf.XLOOKUP($T125&amp;"|SiO2",ASSAY_KEYS,ASSAY_VALUES,""),"")</f>
        <v/>
      </c>
      <c r="AZ125" t="str">
        <f ca="1">IFERROR(_xludf.XLOOKUP($T125&amp;"|Al2O3",ASSAY_KEYS,ASSAY_VALUES,""),"")</f>
        <v/>
      </c>
      <c r="BA125" t="str">
        <f ca="1">IFERROR(_xludf.XLOOKUP($T125&amp;"|P",ASSAY_KEYS,ASSAY_VALUES,""),"")</f>
        <v/>
      </c>
      <c r="BB125" t="str">
        <f ca="1">IFERROR(_xludf.XLOOKUP($T125&amp;"|S",ASSAY_KEYS,ASSAY_VALUES,""),"")</f>
        <v/>
      </c>
      <c r="BC125" t="str">
        <f ca="1">IFERROR(_xludf.XLOOKUP($T125&amp;"|LOI",ASSAY_KEYS,ASSAY_VALUES,""),"")</f>
        <v/>
      </c>
    </row>
    <row r="126" spans="5:55" x14ac:dyDescent="0.25">
      <c r="E126" t="str">
        <f t="shared" si="3"/>
        <v/>
      </c>
      <c r="G126" t="str">
        <f ca="1">IFERROR(_xludf.XLOOKUP(F126,Lists!$A:$A,Lists!$B:$B,"",0),"")</f>
        <v/>
      </c>
      <c r="S126" t="str">
        <f t="shared" si="4"/>
        <v/>
      </c>
      <c r="AQ126" t="str">
        <f t="shared" si="5"/>
        <v/>
      </c>
      <c r="AX126" t="str">
        <f ca="1">IFERROR(_xludf.XLOOKUP($T126&amp;"|Fe",ASSAY_KEYS,ASSAY_VALUES,""),"")</f>
        <v/>
      </c>
      <c r="AY126" t="str">
        <f ca="1">IFERROR(_xludf.XLOOKUP($T126&amp;"|SiO2",ASSAY_KEYS,ASSAY_VALUES,""),"")</f>
        <v/>
      </c>
      <c r="AZ126" t="str">
        <f ca="1">IFERROR(_xludf.XLOOKUP($T126&amp;"|Al2O3",ASSAY_KEYS,ASSAY_VALUES,""),"")</f>
        <v/>
      </c>
      <c r="BA126" t="str">
        <f ca="1">IFERROR(_xludf.XLOOKUP($T126&amp;"|P",ASSAY_KEYS,ASSAY_VALUES,""),"")</f>
        <v/>
      </c>
      <c r="BB126" t="str">
        <f ca="1">IFERROR(_xludf.XLOOKUP($T126&amp;"|S",ASSAY_KEYS,ASSAY_VALUES,""),"")</f>
        <v/>
      </c>
      <c r="BC126" t="str">
        <f ca="1">IFERROR(_xludf.XLOOKUP($T126&amp;"|LOI",ASSAY_KEYS,ASSAY_VALUES,""),"")</f>
        <v/>
      </c>
    </row>
    <row r="127" spans="5:55" x14ac:dyDescent="0.25">
      <c r="E127" t="str">
        <f t="shared" si="3"/>
        <v/>
      </c>
      <c r="G127" t="str">
        <f ca="1">IFERROR(_xludf.XLOOKUP(F127,Lists!$A:$A,Lists!$B:$B,"",0),"")</f>
        <v/>
      </c>
      <c r="S127" t="str">
        <f t="shared" si="4"/>
        <v/>
      </c>
      <c r="AQ127" t="str">
        <f t="shared" si="5"/>
        <v/>
      </c>
      <c r="AX127" t="str">
        <f ca="1">IFERROR(_xludf.XLOOKUP($T127&amp;"|Fe",ASSAY_KEYS,ASSAY_VALUES,""),"")</f>
        <v/>
      </c>
      <c r="AY127" t="str">
        <f ca="1">IFERROR(_xludf.XLOOKUP($T127&amp;"|SiO2",ASSAY_KEYS,ASSAY_VALUES,""),"")</f>
        <v/>
      </c>
      <c r="AZ127" t="str">
        <f ca="1">IFERROR(_xludf.XLOOKUP($T127&amp;"|Al2O3",ASSAY_KEYS,ASSAY_VALUES,""),"")</f>
        <v/>
      </c>
      <c r="BA127" t="str">
        <f ca="1">IFERROR(_xludf.XLOOKUP($T127&amp;"|P",ASSAY_KEYS,ASSAY_VALUES,""),"")</f>
        <v/>
      </c>
      <c r="BB127" t="str">
        <f ca="1">IFERROR(_xludf.XLOOKUP($T127&amp;"|S",ASSAY_KEYS,ASSAY_VALUES,""),"")</f>
        <v/>
      </c>
      <c r="BC127" t="str">
        <f ca="1">IFERROR(_xludf.XLOOKUP($T127&amp;"|LOI",ASSAY_KEYS,ASSAY_VALUES,""),"")</f>
        <v/>
      </c>
    </row>
    <row r="128" spans="5:55" x14ac:dyDescent="0.25">
      <c r="E128" t="str">
        <f t="shared" si="3"/>
        <v/>
      </c>
      <c r="G128" t="str">
        <f ca="1">IFERROR(_xludf.XLOOKUP(F128,Lists!$A:$A,Lists!$B:$B,"",0),"")</f>
        <v/>
      </c>
      <c r="S128" t="str">
        <f t="shared" si="4"/>
        <v/>
      </c>
      <c r="AQ128" t="str">
        <f t="shared" si="5"/>
        <v/>
      </c>
      <c r="AX128" t="str">
        <f ca="1">IFERROR(_xludf.XLOOKUP($T128&amp;"|Fe",ASSAY_KEYS,ASSAY_VALUES,""),"")</f>
        <v/>
      </c>
      <c r="AY128" t="str">
        <f ca="1">IFERROR(_xludf.XLOOKUP($T128&amp;"|SiO2",ASSAY_KEYS,ASSAY_VALUES,""),"")</f>
        <v/>
      </c>
      <c r="AZ128" t="str">
        <f ca="1">IFERROR(_xludf.XLOOKUP($T128&amp;"|Al2O3",ASSAY_KEYS,ASSAY_VALUES,""),"")</f>
        <v/>
      </c>
      <c r="BA128" t="str">
        <f ca="1">IFERROR(_xludf.XLOOKUP($T128&amp;"|P",ASSAY_KEYS,ASSAY_VALUES,""),"")</f>
        <v/>
      </c>
      <c r="BB128" t="str">
        <f ca="1">IFERROR(_xludf.XLOOKUP($T128&amp;"|S",ASSAY_KEYS,ASSAY_VALUES,""),"")</f>
        <v/>
      </c>
      <c r="BC128" t="str">
        <f ca="1">IFERROR(_xludf.XLOOKUP($T128&amp;"|LOI",ASSAY_KEYS,ASSAY_VALUES,""),"")</f>
        <v/>
      </c>
    </row>
    <row r="129" spans="5:55" x14ac:dyDescent="0.25">
      <c r="E129" t="str">
        <f t="shared" si="3"/>
        <v/>
      </c>
      <c r="G129" t="str">
        <f ca="1">IFERROR(_xludf.XLOOKUP(F129,Lists!$A:$A,Lists!$B:$B,"",0),"")</f>
        <v/>
      </c>
      <c r="S129" t="str">
        <f t="shared" si="4"/>
        <v/>
      </c>
      <c r="AQ129" t="str">
        <f t="shared" si="5"/>
        <v/>
      </c>
      <c r="AX129" t="str">
        <f ca="1">IFERROR(_xludf.XLOOKUP($T129&amp;"|Fe",ASSAY_KEYS,ASSAY_VALUES,""),"")</f>
        <v/>
      </c>
      <c r="AY129" t="str">
        <f ca="1">IFERROR(_xludf.XLOOKUP($T129&amp;"|SiO2",ASSAY_KEYS,ASSAY_VALUES,""),"")</f>
        <v/>
      </c>
      <c r="AZ129" t="str">
        <f ca="1">IFERROR(_xludf.XLOOKUP($T129&amp;"|Al2O3",ASSAY_KEYS,ASSAY_VALUES,""),"")</f>
        <v/>
      </c>
      <c r="BA129" t="str">
        <f ca="1">IFERROR(_xludf.XLOOKUP($T129&amp;"|P",ASSAY_KEYS,ASSAY_VALUES,""),"")</f>
        <v/>
      </c>
      <c r="BB129" t="str">
        <f ca="1">IFERROR(_xludf.XLOOKUP($T129&amp;"|S",ASSAY_KEYS,ASSAY_VALUES,""),"")</f>
        <v/>
      </c>
      <c r="BC129" t="str">
        <f ca="1">IFERROR(_xludf.XLOOKUP($T129&amp;"|LOI",ASSAY_KEYS,ASSAY_VALUES,""),"")</f>
        <v/>
      </c>
    </row>
    <row r="130" spans="5:55" x14ac:dyDescent="0.25">
      <c r="E130" t="str">
        <f t="shared" ref="E130:E193" si="6">IF(AND(C130&lt;&gt;"",D130&lt;&gt;""),D130-C130,"")</f>
        <v/>
      </c>
      <c r="G130" t="str">
        <f ca="1">IFERROR(_xludf.XLOOKUP(F130,Lists!$A:$A,Lists!$B:$B,"",0),"")</f>
        <v/>
      </c>
      <c r="S130" t="str">
        <f t="shared" ref="S130:S193" si="7">IF(COUNTA(N130:P130)=3,N130+O130+P130,"")</f>
        <v/>
      </c>
      <c r="AQ130" t="str">
        <f t="shared" ref="AQ130:AQ193" si="8">IF(AND(AN130&lt;&gt;"",AO130&lt;&gt;"",AP130&lt;&gt;""),AP130/(AO130-AN130)*100,"")</f>
        <v/>
      </c>
      <c r="AX130" t="str">
        <f ca="1">IFERROR(_xludf.XLOOKUP($T130&amp;"|Fe",ASSAY_KEYS,ASSAY_VALUES,""),"")</f>
        <v/>
      </c>
      <c r="AY130" t="str">
        <f ca="1">IFERROR(_xludf.XLOOKUP($T130&amp;"|SiO2",ASSAY_KEYS,ASSAY_VALUES,""),"")</f>
        <v/>
      </c>
      <c r="AZ130" t="str">
        <f ca="1">IFERROR(_xludf.XLOOKUP($T130&amp;"|Al2O3",ASSAY_KEYS,ASSAY_VALUES,""),"")</f>
        <v/>
      </c>
      <c r="BA130" t="str">
        <f ca="1">IFERROR(_xludf.XLOOKUP($T130&amp;"|P",ASSAY_KEYS,ASSAY_VALUES,""),"")</f>
        <v/>
      </c>
      <c r="BB130" t="str">
        <f ca="1">IFERROR(_xludf.XLOOKUP($T130&amp;"|S",ASSAY_KEYS,ASSAY_VALUES,""),"")</f>
        <v/>
      </c>
      <c r="BC130" t="str">
        <f ca="1">IFERROR(_xludf.XLOOKUP($T130&amp;"|LOI",ASSAY_KEYS,ASSAY_VALUES,""),"")</f>
        <v/>
      </c>
    </row>
    <row r="131" spans="5:55" x14ac:dyDescent="0.25">
      <c r="E131" t="str">
        <f t="shared" si="6"/>
        <v/>
      </c>
      <c r="G131" t="str">
        <f ca="1">IFERROR(_xludf.XLOOKUP(F131,Lists!$A:$A,Lists!$B:$B,"",0),"")</f>
        <v/>
      </c>
      <c r="S131" t="str">
        <f t="shared" si="7"/>
        <v/>
      </c>
      <c r="AQ131" t="str">
        <f t="shared" si="8"/>
        <v/>
      </c>
      <c r="AX131" t="str">
        <f ca="1">IFERROR(_xludf.XLOOKUP($T131&amp;"|Fe",ASSAY_KEYS,ASSAY_VALUES,""),"")</f>
        <v/>
      </c>
      <c r="AY131" t="str">
        <f ca="1">IFERROR(_xludf.XLOOKUP($T131&amp;"|SiO2",ASSAY_KEYS,ASSAY_VALUES,""),"")</f>
        <v/>
      </c>
      <c r="AZ131" t="str">
        <f ca="1">IFERROR(_xludf.XLOOKUP($T131&amp;"|Al2O3",ASSAY_KEYS,ASSAY_VALUES,""),"")</f>
        <v/>
      </c>
      <c r="BA131" t="str">
        <f ca="1">IFERROR(_xludf.XLOOKUP($T131&amp;"|P",ASSAY_KEYS,ASSAY_VALUES,""),"")</f>
        <v/>
      </c>
      <c r="BB131" t="str">
        <f ca="1">IFERROR(_xludf.XLOOKUP($T131&amp;"|S",ASSAY_KEYS,ASSAY_VALUES,""),"")</f>
        <v/>
      </c>
      <c r="BC131" t="str">
        <f ca="1">IFERROR(_xludf.XLOOKUP($T131&amp;"|LOI",ASSAY_KEYS,ASSAY_VALUES,""),"")</f>
        <v/>
      </c>
    </row>
    <row r="132" spans="5:55" x14ac:dyDescent="0.25">
      <c r="E132" t="str">
        <f t="shared" si="6"/>
        <v/>
      </c>
      <c r="G132" t="str">
        <f ca="1">IFERROR(_xludf.XLOOKUP(F132,Lists!$A:$A,Lists!$B:$B,"",0),"")</f>
        <v/>
      </c>
      <c r="S132" t="str">
        <f t="shared" si="7"/>
        <v/>
      </c>
      <c r="AQ132" t="str">
        <f t="shared" si="8"/>
        <v/>
      </c>
      <c r="AX132" t="str">
        <f ca="1">IFERROR(_xludf.XLOOKUP($T132&amp;"|Fe",ASSAY_KEYS,ASSAY_VALUES,""),"")</f>
        <v/>
      </c>
      <c r="AY132" t="str">
        <f ca="1">IFERROR(_xludf.XLOOKUP($T132&amp;"|SiO2",ASSAY_KEYS,ASSAY_VALUES,""),"")</f>
        <v/>
      </c>
      <c r="AZ132" t="str">
        <f ca="1">IFERROR(_xludf.XLOOKUP($T132&amp;"|Al2O3",ASSAY_KEYS,ASSAY_VALUES,""),"")</f>
        <v/>
      </c>
      <c r="BA132" t="str">
        <f ca="1">IFERROR(_xludf.XLOOKUP($T132&amp;"|P",ASSAY_KEYS,ASSAY_VALUES,""),"")</f>
        <v/>
      </c>
      <c r="BB132" t="str">
        <f ca="1">IFERROR(_xludf.XLOOKUP($T132&amp;"|S",ASSAY_KEYS,ASSAY_VALUES,""),"")</f>
        <v/>
      </c>
      <c r="BC132" t="str">
        <f ca="1">IFERROR(_xludf.XLOOKUP($T132&amp;"|LOI",ASSAY_KEYS,ASSAY_VALUES,""),"")</f>
        <v/>
      </c>
    </row>
    <row r="133" spans="5:55" x14ac:dyDescent="0.25">
      <c r="E133" t="str">
        <f t="shared" si="6"/>
        <v/>
      </c>
      <c r="G133" t="str">
        <f ca="1">IFERROR(_xludf.XLOOKUP(F133,Lists!$A:$A,Lists!$B:$B,"",0),"")</f>
        <v/>
      </c>
      <c r="S133" t="str">
        <f t="shared" si="7"/>
        <v/>
      </c>
      <c r="AQ133" t="str">
        <f t="shared" si="8"/>
        <v/>
      </c>
      <c r="AX133" t="str">
        <f ca="1">IFERROR(_xludf.XLOOKUP($T133&amp;"|Fe",ASSAY_KEYS,ASSAY_VALUES,""),"")</f>
        <v/>
      </c>
      <c r="AY133" t="str">
        <f ca="1">IFERROR(_xludf.XLOOKUP($T133&amp;"|SiO2",ASSAY_KEYS,ASSAY_VALUES,""),"")</f>
        <v/>
      </c>
      <c r="AZ133" t="str">
        <f ca="1">IFERROR(_xludf.XLOOKUP($T133&amp;"|Al2O3",ASSAY_KEYS,ASSAY_VALUES,""),"")</f>
        <v/>
      </c>
      <c r="BA133" t="str">
        <f ca="1">IFERROR(_xludf.XLOOKUP($T133&amp;"|P",ASSAY_KEYS,ASSAY_VALUES,""),"")</f>
        <v/>
      </c>
      <c r="BB133" t="str">
        <f ca="1">IFERROR(_xludf.XLOOKUP($T133&amp;"|S",ASSAY_KEYS,ASSAY_VALUES,""),"")</f>
        <v/>
      </c>
      <c r="BC133" t="str">
        <f ca="1">IFERROR(_xludf.XLOOKUP($T133&amp;"|LOI",ASSAY_KEYS,ASSAY_VALUES,""),"")</f>
        <v/>
      </c>
    </row>
    <row r="134" spans="5:55" x14ac:dyDescent="0.25">
      <c r="E134" t="str">
        <f t="shared" si="6"/>
        <v/>
      </c>
      <c r="G134" t="str">
        <f ca="1">IFERROR(_xludf.XLOOKUP(F134,Lists!$A:$A,Lists!$B:$B,"",0),"")</f>
        <v/>
      </c>
      <c r="S134" t="str">
        <f t="shared" si="7"/>
        <v/>
      </c>
      <c r="AQ134" t="str">
        <f t="shared" si="8"/>
        <v/>
      </c>
      <c r="AX134" t="str">
        <f ca="1">IFERROR(_xludf.XLOOKUP($T134&amp;"|Fe",ASSAY_KEYS,ASSAY_VALUES,""),"")</f>
        <v/>
      </c>
      <c r="AY134" t="str">
        <f ca="1">IFERROR(_xludf.XLOOKUP($T134&amp;"|SiO2",ASSAY_KEYS,ASSAY_VALUES,""),"")</f>
        <v/>
      </c>
      <c r="AZ134" t="str">
        <f ca="1">IFERROR(_xludf.XLOOKUP($T134&amp;"|Al2O3",ASSAY_KEYS,ASSAY_VALUES,""),"")</f>
        <v/>
      </c>
      <c r="BA134" t="str">
        <f ca="1">IFERROR(_xludf.XLOOKUP($T134&amp;"|P",ASSAY_KEYS,ASSAY_VALUES,""),"")</f>
        <v/>
      </c>
      <c r="BB134" t="str">
        <f ca="1">IFERROR(_xludf.XLOOKUP($T134&amp;"|S",ASSAY_KEYS,ASSAY_VALUES,""),"")</f>
        <v/>
      </c>
      <c r="BC134" t="str">
        <f ca="1">IFERROR(_xludf.XLOOKUP($T134&amp;"|LOI",ASSAY_KEYS,ASSAY_VALUES,""),"")</f>
        <v/>
      </c>
    </row>
    <row r="135" spans="5:55" x14ac:dyDescent="0.25">
      <c r="E135" t="str">
        <f t="shared" si="6"/>
        <v/>
      </c>
      <c r="G135" t="str">
        <f ca="1">IFERROR(_xludf.XLOOKUP(F135,Lists!$A:$A,Lists!$B:$B,"",0),"")</f>
        <v/>
      </c>
      <c r="S135" t="str">
        <f t="shared" si="7"/>
        <v/>
      </c>
      <c r="AQ135" t="str">
        <f t="shared" si="8"/>
        <v/>
      </c>
      <c r="AX135" t="str">
        <f ca="1">IFERROR(_xludf.XLOOKUP($T135&amp;"|Fe",ASSAY_KEYS,ASSAY_VALUES,""),"")</f>
        <v/>
      </c>
      <c r="AY135" t="str">
        <f ca="1">IFERROR(_xludf.XLOOKUP($T135&amp;"|SiO2",ASSAY_KEYS,ASSAY_VALUES,""),"")</f>
        <v/>
      </c>
      <c r="AZ135" t="str">
        <f ca="1">IFERROR(_xludf.XLOOKUP($T135&amp;"|Al2O3",ASSAY_KEYS,ASSAY_VALUES,""),"")</f>
        <v/>
      </c>
      <c r="BA135" t="str">
        <f ca="1">IFERROR(_xludf.XLOOKUP($T135&amp;"|P",ASSAY_KEYS,ASSAY_VALUES,""),"")</f>
        <v/>
      </c>
      <c r="BB135" t="str">
        <f ca="1">IFERROR(_xludf.XLOOKUP($T135&amp;"|S",ASSAY_KEYS,ASSAY_VALUES,""),"")</f>
        <v/>
      </c>
      <c r="BC135" t="str">
        <f ca="1">IFERROR(_xludf.XLOOKUP($T135&amp;"|LOI",ASSAY_KEYS,ASSAY_VALUES,""),"")</f>
        <v/>
      </c>
    </row>
    <row r="136" spans="5:55" x14ac:dyDescent="0.25">
      <c r="E136" t="str">
        <f t="shared" si="6"/>
        <v/>
      </c>
      <c r="G136" t="str">
        <f ca="1">IFERROR(_xludf.XLOOKUP(F136,Lists!$A:$A,Lists!$B:$B,"",0),"")</f>
        <v/>
      </c>
      <c r="S136" t="str">
        <f t="shared" si="7"/>
        <v/>
      </c>
      <c r="AQ136" t="str">
        <f t="shared" si="8"/>
        <v/>
      </c>
      <c r="AX136" t="str">
        <f ca="1">IFERROR(_xludf.XLOOKUP($T136&amp;"|Fe",ASSAY_KEYS,ASSAY_VALUES,""),"")</f>
        <v/>
      </c>
      <c r="AY136" t="str">
        <f ca="1">IFERROR(_xludf.XLOOKUP($T136&amp;"|SiO2",ASSAY_KEYS,ASSAY_VALUES,""),"")</f>
        <v/>
      </c>
      <c r="AZ136" t="str">
        <f ca="1">IFERROR(_xludf.XLOOKUP($T136&amp;"|Al2O3",ASSAY_KEYS,ASSAY_VALUES,""),"")</f>
        <v/>
      </c>
      <c r="BA136" t="str">
        <f ca="1">IFERROR(_xludf.XLOOKUP($T136&amp;"|P",ASSAY_KEYS,ASSAY_VALUES,""),"")</f>
        <v/>
      </c>
      <c r="BB136" t="str">
        <f ca="1">IFERROR(_xludf.XLOOKUP($T136&amp;"|S",ASSAY_KEYS,ASSAY_VALUES,""),"")</f>
        <v/>
      </c>
      <c r="BC136" t="str">
        <f ca="1">IFERROR(_xludf.XLOOKUP($T136&amp;"|LOI",ASSAY_KEYS,ASSAY_VALUES,""),"")</f>
        <v/>
      </c>
    </row>
    <row r="137" spans="5:55" x14ac:dyDescent="0.25">
      <c r="E137" t="str">
        <f t="shared" si="6"/>
        <v/>
      </c>
      <c r="G137" t="str">
        <f ca="1">IFERROR(_xludf.XLOOKUP(F137,Lists!$A:$A,Lists!$B:$B,"",0),"")</f>
        <v/>
      </c>
      <c r="S137" t="str">
        <f t="shared" si="7"/>
        <v/>
      </c>
      <c r="AQ137" t="str">
        <f t="shared" si="8"/>
        <v/>
      </c>
      <c r="AX137" t="str">
        <f ca="1">IFERROR(_xludf.XLOOKUP($T137&amp;"|Fe",ASSAY_KEYS,ASSAY_VALUES,""),"")</f>
        <v/>
      </c>
      <c r="AY137" t="str">
        <f ca="1">IFERROR(_xludf.XLOOKUP($T137&amp;"|SiO2",ASSAY_KEYS,ASSAY_VALUES,""),"")</f>
        <v/>
      </c>
      <c r="AZ137" t="str">
        <f ca="1">IFERROR(_xludf.XLOOKUP($T137&amp;"|Al2O3",ASSAY_KEYS,ASSAY_VALUES,""),"")</f>
        <v/>
      </c>
      <c r="BA137" t="str">
        <f ca="1">IFERROR(_xludf.XLOOKUP($T137&amp;"|P",ASSAY_KEYS,ASSAY_VALUES,""),"")</f>
        <v/>
      </c>
      <c r="BB137" t="str">
        <f ca="1">IFERROR(_xludf.XLOOKUP($T137&amp;"|S",ASSAY_KEYS,ASSAY_VALUES,""),"")</f>
        <v/>
      </c>
      <c r="BC137" t="str">
        <f ca="1">IFERROR(_xludf.XLOOKUP($T137&amp;"|LOI",ASSAY_KEYS,ASSAY_VALUES,""),"")</f>
        <v/>
      </c>
    </row>
    <row r="138" spans="5:55" x14ac:dyDescent="0.25">
      <c r="E138" t="str">
        <f t="shared" si="6"/>
        <v/>
      </c>
      <c r="G138" t="str">
        <f ca="1">IFERROR(_xludf.XLOOKUP(F138,Lists!$A:$A,Lists!$B:$B,"",0),"")</f>
        <v/>
      </c>
      <c r="S138" t="str">
        <f t="shared" si="7"/>
        <v/>
      </c>
      <c r="AQ138" t="str">
        <f t="shared" si="8"/>
        <v/>
      </c>
      <c r="AX138" t="str">
        <f ca="1">IFERROR(_xludf.XLOOKUP($T138&amp;"|Fe",ASSAY_KEYS,ASSAY_VALUES,""),"")</f>
        <v/>
      </c>
      <c r="AY138" t="str">
        <f ca="1">IFERROR(_xludf.XLOOKUP($T138&amp;"|SiO2",ASSAY_KEYS,ASSAY_VALUES,""),"")</f>
        <v/>
      </c>
      <c r="AZ138" t="str">
        <f ca="1">IFERROR(_xludf.XLOOKUP($T138&amp;"|Al2O3",ASSAY_KEYS,ASSAY_VALUES,""),"")</f>
        <v/>
      </c>
      <c r="BA138" t="str">
        <f ca="1">IFERROR(_xludf.XLOOKUP($T138&amp;"|P",ASSAY_KEYS,ASSAY_VALUES,""),"")</f>
        <v/>
      </c>
      <c r="BB138" t="str">
        <f ca="1">IFERROR(_xludf.XLOOKUP($T138&amp;"|S",ASSAY_KEYS,ASSAY_VALUES,""),"")</f>
        <v/>
      </c>
      <c r="BC138" t="str">
        <f ca="1">IFERROR(_xludf.XLOOKUP($T138&amp;"|LOI",ASSAY_KEYS,ASSAY_VALUES,""),"")</f>
        <v/>
      </c>
    </row>
    <row r="139" spans="5:55" x14ac:dyDescent="0.25">
      <c r="E139" t="str">
        <f t="shared" si="6"/>
        <v/>
      </c>
      <c r="G139" t="str">
        <f ca="1">IFERROR(_xludf.XLOOKUP(F139,Lists!$A:$A,Lists!$B:$B,"",0),"")</f>
        <v/>
      </c>
      <c r="S139" t="str">
        <f t="shared" si="7"/>
        <v/>
      </c>
      <c r="AQ139" t="str">
        <f t="shared" si="8"/>
        <v/>
      </c>
      <c r="AX139" t="str">
        <f ca="1">IFERROR(_xludf.XLOOKUP($T139&amp;"|Fe",ASSAY_KEYS,ASSAY_VALUES,""),"")</f>
        <v/>
      </c>
      <c r="AY139" t="str">
        <f ca="1">IFERROR(_xludf.XLOOKUP($T139&amp;"|SiO2",ASSAY_KEYS,ASSAY_VALUES,""),"")</f>
        <v/>
      </c>
      <c r="AZ139" t="str">
        <f ca="1">IFERROR(_xludf.XLOOKUP($T139&amp;"|Al2O3",ASSAY_KEYS,ASSAY_VALUES,""),"")</f>
        <v/>
      </c>
      <c r="BA139" t="str">
        <f ca="1">IFERROR(_xludf.XLOOKUP($T139&amp;"|P",ASSAY_KEYS,ASSAY_VALUES,""),"")</f>
        <v/>
      </c>
      <c r="BB139" t="str">
        <f ca="1">IFERROR(_xludf.XLOOKUP($T139&amp;"|S",ASSAY_KEYS,ASSAY_VALUES,""),"")</f>
        <v/>
      </c>
      <c r="BC139" t="str">
        <f ca="1">IFERROR(_xludf.XLOOKUP($T139&amp;"|LOI",ASSAY_KEYS,ASSAY_VALUES,""),"")</f>
        <v/>
      </c>
    </row>
    <row r="140" spans="5:55" x14ac:dyDescent="0.25">
      <c r="E140" t="str">
        <f t="shared" si="6"/>
        <v/>
      </c>
      <c r="G140" t="str">
        <f ca="1">IFERROR(_xludf.XLOOKUP(F140,Lists!$A:$A,Lists!$B:$B,"",0),"")</f>
        <v/>
      </c>
      <c r="S140" t="str">
        <f t="shared" si="7"/>
        <v/>
      </c>
      <c r="AQ140" t="str">
        <f t="shared" si="8"/>
        <v/>
      </c>
      <c r="AX140" t="str">
        <f ca="1">IFERROR(_xludf.XLOOKUP($T140&amp;"|Fe",ASSAY_KEYS,ASSAY_VALUES,""),"")</f>
        <v/>
      </c>
      <c r="AY140" t="str">
        <f ca="1">IFERROR(_xludf.XLOOKUP($T140&amp;"|SiO2",ASSAY_KEYS,ASSAY_VALUES,""),"")</f>
        <v/>
      </c>
      <c r="AZ140" t="str">
        <f ca="1">IFERROR(_xludf.XLOOKUP($T140&amp;"|Al2O3",ASSAY_KEYS,ASSAY_VALUES,""),"")</f>
        <v/>
      </c>
      <c r="BA140" t="str">
        <f ca="1">IFERROR(_xludf.XLOOKUP($T140&amp;"|P",ASSAY_KEYS,ASSAY_VALUES,""),"")</f>
        <v/>
      </c>
      <c r="BB140" t="str">
        <f ca="1">IFERROR(_xludf.XLOOKUP($T140&amp;"|S",ASSAY_KEYS,ASSAY_VALUES,""),"")</f>
        <v/>
      </c>
      <c r="BC140" t="str">
        <f ca="1">IFERROR(_xludf.XLOOKUP($T140&amp;"|LOI",ASSAY_KEYS,ASSAY_VALUES,""),"")</f>
        <v/>
      </c>
    </row>
    <row r="141" spans="5:55" x14ac:dyDescent="0.25">
      <c r="E141" t="str">
        <f t="shared" si="6"/>
        <v/>
      </c>
      <c r="G141" t="str">
        <f ca="1">IFERROR(_xludf.XLOOKUP(F141,Lists!$A:$A,Lists!$B:$B,"",0),"")</f>
        <v/>
      </c>
      <c r="S141" t="str">
        <f t="shared" si="7"/>
        <v/>
      </c>
      <c r="AQ141" t="str">
        <f t="shared" si="8"/>
        <v/>
      </c>
      <c r="AX141" t="str">
        <f ca="1">IFERROR(_xludf.XLOOKUP($T141&amp;"|Fe",ASSAY_KEYS,ASSAY_VALUES,""),"")</f>
        <v/>
      </c>
      <c r="AY141" t="str">
        <f ca="1">IFERROR(_xludf.XLOOKUP($T141&amp;"|SiO2",ASSAY_KEYS,ASSAY_VALUES,""),"")</f>
        <v/>
      </c>
      <c r="AZ141" t="str">
        <f ca="1">IFERROR(_xludf.XLOOKUP($T141&amp;"|Al2O3",ASSAY_KEYS,ASSAY_VALUES,""),"")</f>
        <v/>
      </c>
      <c r="BA141" t="str">
        <f ca="1">IFERROR(_xludf.XLOOKUP($T141&amp;"|P",ASSAY_KEYS,ASSAY_VALUES,""),"")</f>
        <v/>
      </c>
      <c r="BB141" t="str">
        <f ca="1">IFERROR(_xludf.XLOOKUP($T141&amp;"|S",ASSAY_KEYS,ASSAY_VALUES,""),"")</f>
        <v/>
      </c>
      <c r="BC141" t="str">
        <f ca="1">IFERROR(_xludf.XLOOKUP($T141&amp;"|LOI",ASSAY_KEYS,ASSAY_VALUES,""),"")</f>
        <v/>
      </c>
    </row>
    <row r="142" spans="5:55" x14ac:dyDescent="0.25">
      <c r="E142" t="str">
        <f t="shared" si="6"/>
        <v/>
      </c>
      <c r="G142" t="str">
        <f ca="1">IFERROR(_xludf.XLOOKUP(F142,Lists!$A:$A,Lists!$B:$B,"",0),"")</f>
        <v/>
      </c>
      <c r="S142" t="str">
        <f t="shared" si="7"/>
        <v/>
      </c>
      <c r="AQ142" t="str">
        <f t="shared" si="8"/>
        <v/>
      </c>
      <c r="AX142" t="str">
        <f ca="1">IFERROR(_xludf.XLOOKUP($T142&amp;"|Fe",ASSAY_KEYS,ASSAY_VALUES,""),"")</f>
        <v/>
      </c>
      <c r="AY142" t="str">
        <f ca="1">IFERROR(_xludf.XLOOKUP($T142&amp;"|SiO2",ASSAY_KEYS,ASSAY_VALUES,""),"")</f>
        <v/>
      </c>
      <c r="AZ142" t="str">
        <f ca="1">IFERROR(_xludf.XLOOKUP($T142&amp;"|Al2O3",ASSAY_KEYS,ASSAY_VALUES,""),"")</f>
        <v/>
      </c>
      <c r="BA142" t="str">
        <f ca="1">IFERROR(_xludf.XLOOKUP($T142&amp;"|P",ASSAY_KEYS,ASSAY_VALUES,""),"")</f>
        <v/>
      </c>
      <c r="BB142" t="str">
        <f ca="1">IFERROR(_xludf.XLOOKUP($T142&amp;"|S",ASSAY_KEYS,ASSAY_VALUES,""),"")</f>
        <v/>
      </c>
      <c r="BC142" t="str">
        <f ca="1">IFERROR(_xludf.XLOOKUP($T142&amp;"|LOI",ASSAY_KEYS,ASSAY_VALUES,""),"")</f>
        <v/>
      </c>
    </row>
    <row r="143" spans="5:55" x14ac:dyDescent="0.25">
      <c r="E143" t="str">
        <f t="shared" si="6"/>
        <v/>
      </c>
      <c r="G143" t="str">
        <f ca="1">IFERROR(_xludf.XLOOKUP(F143,Lists!$A:$A,Lists!$B:$B,"",0),"")</f>
        <v/>
      </c>
      <c r="S143" t="str">
        <f t="shared" si="7"/>
        <v/>
      </c>
      <c r="AQ143" t="str">
        <f t="shared" si="8"/>
        <v/>
      </c>
      <c r="AX143" t="str">
        <f ca="1">IFERROR(_xludf.XLOOKUP($T143&amp;"|Fe",ASSAY_KEYS,ASSAY_VALUES,""),"")</f>
        <v/>
      </c>
      <c r="AY143" t="str">
        <f ca="1">IFERROR(_xludf.XLOOKUP($T143&amp;"|SiO2",ASSAY_KEYS,ASSAY_VALUES,""),"")</f>
        <v/>
      </c>
      <c r="AZ143" t="str">
        <f ca="1">IFERROR(_xludf.XLOOKUP($T143&amp;"|Al2O3",ASSAY_KEYS,ASSAY_VALUES,""),"")</f>
        <v/>
      </c>
      <c r="BA143" t="str">
        <f ca="1">IFERROR(_xludf.XLOOKUP($T143&amp;"|P",ASSAY_KEYS,ASSAY_VALUES,""),"")</f>
        <v/>
      </c>
      <c r="BB143" t="str">
        <f ca="1">IFERROR(_xludf.XLOOKUP($T143&amp;"|S",ASSAY_KEYS,ASSAY_VALUES,""),"")</f>
        <v/>
      </c>
      <c r="BC143" t="str">
        <f ca="1">IFERROR(_xludf.XLOOKUP($T143&amp;"|LOI",ASSAY_KEYS,ASSAY_VALUES,""),"")</f>
        <v/>
      </c>
    </row>
    <row r="144" spans="5:55" x14ac:dyDescent="0.25">
      <c r="E144" t="str">
        <f t="shared" si="6"/>
        <v/>
      </c>
      <c r="G144" t="str">
        <f ca="1">IFERROR(_xludf.XLOOKUP(F144,Lists!$A:$A,Lists!$B:$B,"",0),"")</f>
        <v/>
      </c>
      <c r="S144" t="str">
        <f t="shared" si="7"/>
        <v/>
      </c>
      <c r="AQ144" t="str">
        <f t="shared" si="8"/>
        <v/>
      </c>
      <c r="AX144" t="str">
        <f ca="1">IFERROR(_xludf.XLOOKUP($T144&amp;"|Fe",ASSAY_KEYS,ASSAY_VALUES,""),"")</f>
        <v/>
      </c>
      <c r="AY144" t="str">
        <f ca="1">IFERROR(_xludf.XLOOKUP($T144&amp;"|SiO2",ASSAY_KEYS,ASSAY_VALUES,""),"")</f>
        <v/>
      </c>
      <c r="AZ144" t="str">
        <f ca="1">IFERROR(_xludf.XLOOKUP($T144&amp;"|Al2O3",ASSAY_KEYS,ASSAY_VALUES,""),"")</f>
        <v/>
      </c>
      <c r="BA144" t="str">
        <f ca="1">IFERROR(_xludf.XLOOKUP($T144&amp;"|P",ASSAY_KEYS,ASSAY_VALUES,""),"")</f>
        <v/>
      </c>
      <c r="BB144" t="str">
        <f ca="1">IFERROR(_xludf.XLOOKUP($T144&amp;"|S",ASSAY_KEYS,ASSAY_VALUES,""),"")</f>
        <v/>
      </c>
      <c r="BC144" t="str">
        <f ca="1">IFERROR(_xludf.XLOOKUP($T144&amp;"|LOI",ASSAY_KEYS,ASSAY_VALUES,""),"")</f>
        <v/>
      </c>
    </row>
    <row r="145" spans="5:55" x14ac:dyDescent="0.25">
      <c r="E145" t="str">
        <f t="shared" si="6"/>
        <v/>
      </c>
      <c r="G145" t="str">
        <f ca="1">IFERROR(_xludf.XLOOKUP(F145,Lists!$A:$A,Lists!$B:$B,"",0),"")</f>
        <v/>
      </c>
      <c r="S145" t="str">
        <f t="shared" si="7"/>
        <v/>
      </c>
      <c r="AQ145" t="str">
        <f t="shared" si="8"/>
        <v/>
      </c>
      <c r="AX145" t="str">
        <f ca="1">IFERROR(_xludf.XLOOKUP($T145&amp;"|Fe",ASSAY_KEYS,ASSAY_VALUES,""),"")</f>
        <v/>
      </c>
      <c r="AY145" t="str">
        <f ca="1">IFERROR(_xludf.XLOOKUP($T145&amp;"|SiO2",ASSAY_KEYS,ASSAY_VALUES,""),"")</f>
        <v/>
      </c>
      <c r="AZ145" t="str">
        <f ca="1">IFERROR(_xludf.XLOOKUP($T145&amp;"|Al2O3",ASSAY_KEYS,ASSAY_VALUES,""),"")</f>
        <v/>
      </c>
      <c r="BA145" t="str">
        <f ca="1">IFERROR(_xludf.XLOOKUP($T145&amp;"|P",ASSAY_KEYS,ASSAY_VALUES,""),"")</f>
        <v/>
      </c>
      <c r="BB145" t="str">
        <f ca="1">IFERROR(_xludf.XLOOKUP($T145&amp;"|S",ASSAY_KEYS,ASSAY_VALUES,""),"")</f>
        <v/>
      </c>
      <c r="BC145" t="str">
        <f ca="1">IFERROR(_xludf.XLOOKUP($T145&amp;"|LOI",ASSAY_KEYS,ASSAY_VALUES,""),"")</f>
        <v/>
      </c>
    </row>
    <row r="146" spans="5:55" x14ac:dyDescent="0.25">
      <c r="E146" t="str">
        <f t="shared" si="6"/>
        <v/>
      </c>
      <c r="G146" t="str">
        <f ca="1">IFERROR(_xludf.XLOOKUP(F146,Lists!$A:$A,Lists!$B:$B,"",0),"")</f>
        <v/>
      </c>
      <c r="S146" t="str">
        <f t="shared" si="7"/>
        <v/>
      </c>
      <c r="AQ146" t="str">
        <f t="shared" si="8"/>
        <v/>
      </c>
      <c r="AX146" t="str">
        <f ca="1">IFERROR(_xludf.XLOOKUP($T146&amp;"|Fe",ASSAY_KEYS,ASSAY_VALUES,""),"")</f>
        <v/>
      </c>
      <c r="AY146" t="str">
        <f ca="1">IFERROR(_xludf.XLOOKUP($T146&amp;"|SiO2",ASSAY_KEYS,ASSAY_VALUES,""),"")</f>
        <v/>
      </c>
      <c r="AZ146" t="str">
        <f ca="1">IFERROR(_xludf.XLOOKUP($T146&amp;"|Al2O3",ASSAY_KEYS,ASSAY_VALUES,""),"")</f>
        <v/>
      </c>
      <c r="BA146" t="str">
        <f ca="1">IFERROR(_xludf.XLOOKUP($T146&amp;"|P",ASSAY_KEYS,ASSAY_VALUES,""),"")</f>
        <v/>
      </c>
      <c r="BB146" t="str">
        <f ca="1">IFERROR(_xludf.XLOOKUP($T146&amp;"|S",ASSAY_KEYS,ASSAY_VALUES,""),"")</f>
        <v/>
      </c>
      <c r="BC146" t="str">
        <f ca="1">IFERROR(_xludf.XLOOKUP($T146&amp;"|LOI",ASSAY_KEYS,ASSAY_VALUES,""),"")</f>
        <v/>
      </c>
    </row>
    <row r="147" spans="5:55" x14ac:dyDescent="0.25">
      <c r="E147" t="str">
        <f t="shared" si="6"/>
        <v/>
      </c>
      <c r="G147" t="str">
        <f ca="1">IFERROR(_xludf.XLOOKUP(F147,Lists!$A:$A,Lists!$B:$B,"",0),"")</f>
        <v/>
      </c>
      <c r="S147" t="str">
        <f t="shared" si="7"/>
        <v/>
      </c>
      <c r="AQ147" t="str">
        <f t="shared" si="8"/>
        <v/>
      </c>
      <c r="AX147" t="str">
        <f ca="1">IFERROR(_xludf.XLOOKUP($T147&amp;"|Fe",ASSAY_KEYS,ASSAY_VALUES,""),"")</f>
        <v/>
      </c>
      <c r="AY147" t="str">
        <f ca="1">IFERROR(_xludf.XLOOKUP($T147&amp;"|SiO2",ASSAY_KEYS,ASSAY_VALUES,""),"")</f>
        <v/>
      </c>
      <c r="AZ147" t="str">
        <f ca="1">IFERROR(_xludf.XLOOKUP($T147&amp;"|Al2O3",ASSAY_KEYS,ASSAY_VALUES,""),"")</f>
        <v/>
      </c>
      <c r="BA147" t="str">
        <f ca="1">IFERROR(_xludf.XLOOKUP($T147&amp;"|P",ASSAY_KEYS,ASSAY_VALUES,""),"")</f>
        <v/>
      </c>
      <c r="BB147" t="str">
        <f ca="1">IFERROR(_xludf.XLOOKUP($T147&amp;"|S",ASSAY_KEYS,ASSAY_VALUES,""),"")</f>
        <v/>
      </c>
      <c r="BC147" t="str">
        <f ca="1">IFERROR(_xludf.XLOOKUP($T147&amp;"|LOI",ASSAY_KEYS,ASSAY_VALUES,""),"")</f>
        <v/>
      </c>
    </row>
    <row r="148" spans="5:55" x14ac:dyDescent="0.25">
      <c r="E148" t="str">
        <f t="shared" si="6"/>
        <v/>
      </c>
      <c r="G148" t="str">
        <f ca="1">IFERROR(_xludf.XLOOKUP(F148,Lists!$A:$A,Lists!$B:$B,"",0),"")</f>
        <v/>
      </c>
      <c r="S148" t="str">
        <f t="shared" si="7"/>
        <v/>
      </c>
      <c r="AQ148" t="str">
        <f t="shared" si="8"/>
        <v/>
      </c>
      <c r="AX148" t="str">
        <f ca="1">IFERROR(_xludf.XLOOKUP($T148&amp;"|Fe",ASSAY_KEYS,ASSAY_VALUES,""),"")</f>
        <v/>
      </c>
      <c r="AY148" t="str">
        <f ca="1">IFERROR(_xludf.XLOOKUP($T148&amp;"|SiO2",ASSAY_KEYS,ASSAY_VALUES,""),"")</f>
        <v/>
      </c>
      <c r="AZ148" t="str">
        <f ca="1">IFERROR(_xludf.XLOOKUP($T148&amp;"|Al2O3",ASSAY_KEYS,ASSAY_VALUES,""),"")</f>
        <v/>
      </c>
      <c r="BA148" t="str">
        <f ca="1">IFERROR(_xludf.XLOOKUP($T148&amp;"|P",ASSAY_KEYS,ASSAY_VALUES,""),"")</f>
        <v/>
      </c>
      <c r="BB148" t="str">
        <f ca="1">IFERROR(_xludf.XLOOKUP($T148&amp;"|S",ASSAY_KEYS,ASSAY_VALUES,""),"")</f>
        <v/>
      </c>
      <c r="BC148" t="str">
        <f ca="1">IFERROR(_xludf.XLOOKUP($T148&amp;"|LOI",ASSAY_KEYS,ASSAY_VALUES,""),"")</f>
        <v/>
      </c>
    </row>
    <row r="149" spans="5:55" x14ac:dyDescent="0.25">
      <c r="E149" t="str">
        <f t="shared" si="6"/>
        <v/>
      </c>
      <c r="G149" t="str">
        <f ca="1">IFERROR(_xludf.XLOOKUP(F149,Lists!$A:$A,Lists!$B:$B,"",0),"")</f>
        <v/>
      </c>
      <c r="S149" t="str">
        <f t="shared" si="7"/>
        <v/>
      </c>
      <c r="AQ149" t="str">
        <f t="shared" si="8"/>
        <v/>
      </c>
      <c r="AX149" t="str">
        <f ca="1">IFERROR(_xludf.XLOOKUP($T149&amp;"|Fe",ASSAY_KEYS,ASSAY_VALUES,""),"")</f>
        <v/>
      </c>
      <c r="AY149" t="str">
        <f ca="1">IFERROR(_xludf.XLOOKUP($T149&amp;"|SiO2",ASSAY_KEYS,ASSAY_VALUES,""),"")</f>
        <v/>
      </c>
      <c r="AZ149" t="str">
        <f ca="1">IFERROR(_xludf.XLOOKUP($T149&amp;"|Al2O3",ASSAY_KEYS,ASSAY_VALUES,""),"")</f>
        <v/>
      </c>
      <c r="BA149" t="str">
        <f ca="1">IFERROR(_xludf.XLOOKUP($T149&amp;"|P",ASSAY_KEYS,ASSAY_VALUES,""),"")</f>
        <v/>
      </c>
      <c r="BB149" t="str">
        <f ca="1">IFERROR(_xludf.XLOOKUP($T149&amp;"|S",ASSAY_KEYS,ASSAY_VALUES,""),"")</f>
        <v/>
      </c>
      <c r="BC149" t="str">
        <f ca="1">IFERROR(_xludf.XLOOKUP($T149&amp;"|LOI",ASSAY_KEYS,ASSAY_VALUES,""),"")</f>
        <v/>
      </c>
    </row>
    <row r="150" spans="5:55" x14ac:dyDescent="0.25">
      <c r="E150" t="str">
        <f t="shared" si="6"/>
        <v/>
      </c>
      <c r="G150" t="str">
        <f ca="1">IFERROR(_xludf.XLOOKUP(F150,Lists!$A:$A,Lists!$B:$B,"",0),"")</f>
        <v/>
      </c>
      <c r="S150" t="str">
        <f t="shared" si="7"/>
        <v/>
      </c>
      <c r="AQ150" t="str">
        <f t="shared" si="8"/>
        <v/>
      </c>
      <c r="AX150" t="str">
        <f ca="1">IFERROR(_xludf.XLOOKUP($T150&amp;"|Fe",ASSAY_KEYS,ASSAY_VALUES,""),"")</f>
        <v/>
      </c>
      <c r="AY150" t="str">
        <f ca="1">IFERROR(_xludf.XLOOKUP($T150&amp;"|SiO2",ASSAY_KEYS,ASSAY_VALUES,""),"")</f>
        <v/>
      </c>
      <c r="AZ150" t="str">
        <f ca="1">IFERROR(_xludf.XLOOKUP($T150&amp;"|Al2O3",ASSAY_KEYS,ASSAY_VALUES,""),"")</f>
        <v/>
      </c>
      <c r="BA150" t="str">
        <f ca="1">IFERROR(_xludf.XLOOKUP($T150&amp;"|P",ASSAY_KEYS,ASSAY_VALUES,""),"")</f>
        <v/>
      </c>
      <c r="BB150" t="str">
        <f ca="1">IFERROR(_xludf.XLOOKUP($T150&amp;"|S",ASSAY_KEYS,ASSAY_VALUES,""),"")</f>
        <v/>
      </c>
      <c r="BC150" t="str">
        <f ca="1">IFERROR(_xludf.XLOOKUP($T150&amp;"|LOI",ASSAY_KEYS,ASSAY_VALUES,""),"")</f>
        <v/>
      </c>
    </row>
    <row r="151" spans="5:55" x14ac:dyDescent="0.25">
      <c r="E151" t="str">
        <f t="shared" si="6"/>
        <v/>
      </c>
      <c r="G151" t="str">
        <f ca="1">IFERROR(_xludf.XLOOKUP(F151,Lists!$A:$A,Lists!$B:$B,"",0),"")</f>
        <v/>
      </c>
      <c r="S151" t="str">
        <f t="shared" si="7"/>
        <v/>
      </c>
      <c r="AQ151" t="str">
        <f t="shared" si="8"/>
        <v/>
      </c>
      <c r="AX151" t="str">
        <f ca="1">IFERROR(_xludf.XLOOKUP($T151&amp;"|Fe",ASSAY_KEYS,ASSAY_VALUES,""),"")</f>
        <v/>
      </c>
      <c r="AY151" t="str">
        <f ca="1">IFERROR(_xludf.XLOOKUP($T151&amp;"|SiO2",ASSAY_KEYS,ASSAY_VALUES,""),"")</f>
        <v/>
      </c>
      <c r="AZ151" t="str">
        <f ca="1">IFERROR(_xludf.XLOOKUP($T151&amp;"|Al2O3",ASSAY_KEYS,ASSAY_VALUES,""),"")</f>
        <v/>
      </c>
      <c r="BA151" t="str">
        <f ca="1">IFERROR(_xludf.XLOOKUP($T151&amp;"|P",ASSAY_KEYS,ASSAY_VALUES,""),"")</f>
        <v/>
      </c>
      <c r="BB151" t="str">
        <f ca="1">IFERROR(_xludf.XLOOKUP($T151&amp;"|S",ASSAY_KEYS,ASSAY_VALUES,""),"")</f>
        <v/>
      </c>
      <c r="BC151" t="str">
        <f ca="1">IFERROR(_xludf.XLOOKUP($T151&amp;"|LOI",ASSAY_KEYS,ASSAY_VALUES,""),"")</f>
        <v/>
      </c>
    </row>
    <row r="152" spans="5:55" x14ac:dyDescent="0.25">
      <c r="E152" t="str">
        <f t="shared" si="6"/>
        <v/>
      </c>
      <c r="G152" t="str">
        <f ca="1">IFERROR(_xludf.XLOOKUP(F152,Lists!$A:$A,Lists!$B:$B,"",0),"")</f>
        <v/>
      </c>
      <c r="S152" t="str">
        <f t="shared" si="7"/>
        <v/>
      </c>
      <c r="AQ152" t="str">
        <f t="shared" si="8"/>
        <v/>
      </c>
      <c r="AX152" t="str">
        <f ca="1">IFERROR(_xludf.XLOOKUP($T152&amp;"|Fe",ASSAY_KEYS,ASSAY_VALUES,""),"")</f>
        <v/>
      </c>
      <c r="AY152" t="str">
        <f ca="1">IFERROR(_xludf.XLOOKUP($T152&amp;"|SiO2",ASSAY_KEYS,ASSAY_VALUES,""),"")</f>
        <v/>
      </c>
      <c r="AZ152" t="str">
        <f ca="1">IFERROR(_xludf.XLOOKUP($T152&amp;"|Al2O3",ASSAY_KEYS,ASSAY_VALUES,""),"")</f>
        <v/>
      </c>
      <c r="BA152" t="str">
        <f ca="1">IFERROR(_xludf.XLOOKUP($T152&amp;"|P",ASSAY_KEYS,ASSAY_VALUES,""),"")</f>
        <v/>
      </c>
      <c r="BB152" t="str">
        <f ca="1">IFERROR(_xludf.XLOOKUP($T152&amp;"|S",ASSAY_KEYS,ASSAY_VALUES,""),"")</f>
        <v/>
      </c>
      <c r="BC152" t="str">
        <f ca="1">IFERROR(_xludf.XLOOKUP($T152&amp;"|LOI",ASSAY_KEYS,ASSAY_VALUES,""),"")</f>
        <v/>
      </c>
    </row>
    <row r="153" spans="5:55" x14ac:dyDescent="0.25">
      <c r="E153" t="str">
        <f t="shared" si="6"/>
        <v/>
      </c>
      <c r="G153" t="str">
        <f ca="1">IFERROR(_xludf.XLOOKUP(F153,Lists!$A:$A,Lists!$B:$B,"",0),"")</f>
        <v/>
      </c>
      <c r="S153" t="str">
        <f t="shared" si="7"/>
        <v/>
      </c>
      <c r="AQ153" t="str">
        <f t="shared" si="8"/>
        <v/>
      </c>
      <c r="AX153" t="str">
        <f ca="1">IFERROR(_xludf.XLOOKUP($T153&amp;"|Fe",ASSAY_KEYS,ASSAY_VALUES,""),"")</f>
        <v/>
      </c>
      <c r="AY153" t="str">
        <f ca="1">IFERROR(_xludf.XLOOKUP($T153&amp;"|SiO2",ASSAY_KEYS,ASSAY_VALUES,""),"")</f>
        <v/>
      </c>
      <c r="AZ153" t="str">
        <f ca="1">IFERROR(_xludf.XLOOKUP($T153&amp;"|Al2O3",ASSAY_KEYS,ASSAY_VALUES,""),"")</f>
        <v/>
      </c>
      <c r="BA153" t="str">
        <f ca="1">IFERROR(_xludf.XLOOKUP($T153&amp;"|P",ASSAY_KEYS,ASSAY_VALUES,""),"")</f>
        <v/>
      </c>
      <c r="BB153" t="str">
        <f ca="1">IFERROR(_xludf.XLOOKUP($T153&amp;"|S",ASSAY_KEYS,ASSAY_VALUES,""),"")</f>
        <v/>
      </c>
      <c r="BC153" t="str">
        <f ca="1">IFERROR(_xludf.XLOOKUP($T153&amp;"|LOI",ASSAY_KEYS,ASSAY_VALUES,""),"")</f>
        <v/>
      </c>
    </row>
    <row r="154" spans="5:55" x14ac:dyDescent="0.25">
      <c r="E154" t="str">
        <f t="shared" si="6"/>
        <v/>
      </c>
      <c r="G154" t="str">
        <f ca="1">IFERROR(_xludf.XLOOKUP(F154,Lists!$A:$A,Lists!$B:$B,"",0),"")</f>
        <v/>
      </c>
      <c r="S154" t="str">
        <f t="shared" si="7"/>
        <v/>
      </c>
      <c r="AQ154" t="str">
        <f t="shared" si="8"/>
        <v/>
      </c>
      <c r="AX154" t="str">
        <f ca="1">IFERROR(_xludf.XLOOKUP($T154&amp;"|Fe",ASSAY_KEYS,ASSAY_VALUES,""),"")</f>
        <v/>
      </c>
      <c r="AY154" t="str">
        <f ca="1">IFERROR(_xludf.XLOOKUP($T154&amp;"|SiO2",ASSAY_KEYS,ASSAY_VALUES,""),"")</f>
        <v/>
      </c>
      <c r="AZ154" t="str">
        <f ca="1">IFERROR(_xludf.XLOOKUP($T154&amp;"|Al2O3",ASSAY_KEYS,ASSAY_VALUES,""),"")</f>
        <v/>
      </c>
      <c r="BA154" t="str">
        <f ca="1">IFERROR(_xludf.XLOOKUP($T154&amp;"|P",ASSAY_KEYS,ASSAY_VALUES,""),"")</f>
        <v/>
      </c>
      <c r="BB154" t="str">
        <f ca="1">IFERROR(_xludf.XLOOKUP($T154&amp;"|S",ASSAY_KEYS,ASSAY_VALUES,""),"")</f>
        <v/>
      </c>
      <c r="BC154" t="str">
        <f ca="1">IFERROR(_xludf.XLOOKUP($T154&amp;"|LOI",ASSAY_KEYS,ASSAY_VALUES,""),"")</f>
        <v/>
      </c>
    </row>
    <row r="155" spans="5:55" x14ac:dyDescent="0.25">
      <c r="E155" t="str">
        <f t="shared" si="6"/>
        <v/>
      </c>
      <c r="G155" t="str">
        <f ca="1">IFERROR(_xludf.XLOOKUP(F155,Lists!$A:$A,Lists!$B:$B,"",0),"")</f>
        <v/>
      </c>
      <c r="S155" t="str">
        <f t="shared" si="7"/>
        <v/>
      </c>
      <c r="AQ155" t="str">
        <f t="shared" si="8"/>
        <v/>
      </c>
      <c r="AX155" t="str">
        <f ca="1">IFERROR(_xludf.XLOOKUP($T155&amp;"|Fe",ASSAY_KEYS,ASSAY_VALUES,""),"")</f>
        <v/>
      </c>
      <c r="AY155" t="str">
        <f ca="1">IFERROR(_xludf.XLOOKUP($T155&amp;"|SiO2",ASSAY_KEYS,ASSAY_VALUES,""),"")</f>
        <v/>
      </c>
      <c r="AZ155" t="str">
        <f ca="1">IFERROR(_xludf.XLOOKUP($T155&amp;"|Al2O3",ASSAY_KEYS,ASSAY_VALUES,""),"")</f>
        <v/>
      </c>
      <c r="BA155" t="str">
        <f ca="1">IFERROR(_xludf.XLOOKUP($T155&amp;"|P",ASSAY_KEYS,ASSAY_VALUES,""),"")</f>
        <v/>
      </c>
      <c r="BB155" t="str">
        <f ca="1">IFERROR(_xludf.XLOOKUP($T155&amp;"|S",ASSAY_KEYS,ASSAY_VALUES,""),"")</f>
        <v/>
      </c>
      <c r="BC155" t="str">
        <f ca="1">IFERROR(_xludf.XLOOKUP($T155&amp;"|LOI",ASSAY_KEYS,ASSAY_VALUES,""),"")</f>
        <v/>
      </c>
    </row>
    <row r="156" spans="5:55" x14ac:dyDescent="0.25">
      <c r="E156" t="str">
        <f t="shared" si="6"/>
        <v/>
      </c>
      <c r="G156" t="str">
        <f ca="1">IFERROR(_xludf.XLOOKUP(F156,Lists!$A:$A,Lists!$B:$B,"",0),"")</f>
        <v/>
      </c>
      <c r="S156" t="str">
        <f t="shared" si="7"/>
        <v/>
      </c>
      <c r="AQ156" t="str">
        <f t="shared" si="8"/>
        <v/>
      </c>
      <c r="AX156" t="str">
        <f ca="1">IFERROR(_xludf.XLOOKUP($T156&amp;"|Fe",ASSAY_KEYS,ASSAY_VALUES,""),"")</f>
        <v/>
      </c>
      <c r="AY156" t="str">
        <f ca="1">IFERROR(_xludf.XLOOKUP($T156&amp;"|SiO2",ASSAY_KEYS,ASSAY_VALUES,""),"")</f>
        <v/>
      </c>
      <c r="AZ156" t="str">
        <f ca="1">IFERROR(_xludf.XLOOKUP($T156&amp;"|Al2O3",ASSAY_KEYS,ASSAY_VALUES,""),"")</f>
        <v/>
      </c>
      <c r="BA156" t="str">
        <f ca="1">IFERROR(_xludf.XLOOKUP($T156&amp;"|P",ASSAY_KEYS,ASSAY_VALUES,""),"")</f>
        <v/>
      </c>
      <c r="BB156" t="str">
        <f ca="1">IFERROR(_xludf.XLOOKUP($T156&amp;"|S",ASSAY_KEYS,ASSAY_VALUES,""),"")</f>
        <v/>
      </c>
      <c r="BC156" t="str">
        <f ca="1">IFERROR(_xludf.XLOOKUP($T156&amp;"|LOI",ASSAY_KEYS,ASSAY_VALUES,""),"")</f>
        <v/>
      </c>
    </row>
    <row r="157" spans="5:55" x14ac:dyDescent="0.25">
      <c r="E157" t="str">
        <f t="shared" si="6"/>
        <v/>
      </c>
      <c r="G157" t="str">
        <f ca="1">IFERROR(_xludf.XLOOKUP(F157,Lists!$A:$A,Lists!$B:$B,"",0),"")</f>
        <v/>
      </c>
      <c r="S157" t="str">
        <f t="shared" si="7"/>
        <v/>
      </c>
      <c r="AQ157" t="str">
        <f t="shared" si="8"/>
        <v/>
      </c>
      <c r="AX157" t="str">
        <f ca="1">IFERROR(_xludf.XLOOKUP($T157&amp;"|Fe",ASSAY_KEYS,ASSAY_VALUES,""),"")</f>
        <v/>
      </c>
      <c r="AY157" t="str">
        <f ca="1">IFERROR(_xludf.XLOOKUP($T157&amp;"|SiO2",ASSAY_KEYS,ASSAY_VALUES,""),"")</f>
        <v/>
      </c>
      <c r="AZ157" t="str">
        <f ca="1">IFERROR(_xludf.XLOOKUP($T157&amp;"|Al2O3",ASSAY_KEYS,ASSAY_VALUES,""),"")</f>
        <v/>
      </c>
      <c r="BA157" t="str">
        <f ca="1">IFERROR(_xludf.XLOOKUP($T157&amp;"|P",ASSAY_KEYS,ASSAY_VALUES,""),"")</f>
        <v/>
      </c>
      <c r="BB157" t="str">
        <f ca="1">IFERROR(_xludf.XLOOKUP($T157&amp;"|S",ASSAY_KEYS,ASSAY_VALUES,""),"")</f>
        <v/>
      </c>
      <c r="BC157" t="str">
        <f ca="1">IFERROR(_xludf.XLOOKUP($T157&amp;"|LOI",ASSAY_KEYS,ASSAY_VALUES,""),"")</f>
        <v/>
      </c>
    </row>
    <row r="158" spans="5:55" x14ac:dyDescent="0.25">
      <c r="E158" t="str">
        <f t="shared" si="6"/>
        <v/>
      </c>
      <c r="G158" t="str">
        <f ca="1">IFERROR(_xludf.XLOOKUP(F158,Lists!$A:$A,Lists!$B:$B,"",0),"")</f>
        <v/>
      </c>
      <c r="S158" t="str">
        <f t="shared" si="7"/>
        <v/>
      </c>
      <c r="AQ158" t="str">
        <f t="shared" si="8"/>
        <v/>
      </c>
      <c r="AX158" t="str">
        <f ca="1">IFERROR(_xludf.XLOOKUP($T158&amp;"|Fe",ASSAY_KEYS,ASSAY_VALUES,""),"")</f>
        <v/>
      </c>
      <c r="AY158" t="str">
        <f ca="1">IFERROR(_xludf.XLOOKUP($T158&amp;"|SiO2",ASSAY_KEYS,ASSAY_VALUES,""),"")</f>
        <v/>
      </c>
      <c r="AZ158" t="str">
        <f ca="1">IFERROR(_xludf.XLOOKUP($T158&amp;"|Al2O3",ASSAY_KEYS,ASSAY_VALUES,""),"")</f>
        <v/>
      </c>
      <c r="BA158" t="str">
        <f ca="1">IFERROR(_xludf.XLOOKUP($T158&amp;"|P",ASSAY_KEYS,ASSAY_VALUES,""),"")</f>
        <v/>
      </c>
      <c r="BB158" t="str">
        <f ca="1">IFERROR(_xludf.XLOOKUP($T158&amp;"|S",ASSAY_KEYS,ASSAY_VALUES,""),"")</f>
        <v/>
      </c>
      <c r="BC158" t="str">
        <f ca="1">IFERROR(_xludf.XLOOKUP($T158&amp;"|LOI",ASSAY_KEYS,ASSAY_VALUES,""),"")</f>
        <v/>
      </c>
    </row>
    <row r="159" spans="5:55" x14ac:dyDescent="0.25">
      <c r="E159" t="str">
        <f t="shared" si="6"/>
        <v/>
      </c>
      <c r="G159" t="str">
        <f ca="1">IFERROR(_xludf.XLOOKUP(F159,Lists!$A:$A,Lists!$B:$B,"",0),"")</f>
        <v/>
      </c>
      <c r="S159" t="str">
        <f t="shared" si="7"/>
        <v/>
      </c>
      <c r="AQ159" t="str">
        <f t="shared" si="8"/>
        <v/>
      </c>
      <c r="AX159" t="str">
        <f ca="1">IFERROR(_xludf.XLOOKUP($T159&amp;"|Fe",ASSAY_KEYS,ASSAY_VALUES,""),"")</f>
        <v/>
      </c>
      <c r="AY159" t="str">
        <f ca="1">IFERROR(_xludf.XLOOKUP($T159&amp;"|SiO2",ASSAY_KEYS,ASSAY_VALUES,""),"")</f>
        <v/>
      </c>
      <c r="AZ159" t="str">
        <f ca="1">IFERROR(_xludf.XLOOKUP($T159&amp;"|Al2O3",ASSAY_KEYS,ASSAY_VALUES,""),"")</f>
        <v/>
      </c>
      <c r="BA159" t="str">
        <f ca="1">IFERROR(_xludf.XLOOKUP($T159&amp;"|P",ASSAY_KEYS,ASSAY_VALUES,""),"")</f>
        <v/>
      </c>
      <c r="BB159" t="str">
        <f ca="1">IFERROR(_xludf.XLOOKUP($T159&amp;"|S",ASSAY_KEYS,ASSAY_VALUES,""),"")</f>
        <v/>
      </c>
      <c r="BC159" t="str">
        <f ca="1">IFERROR(_xludf.XLOOKUP($T159&amp;"|LOI",ASSAY_KEYS,ASSAY_VALUES,""),"")</f>
        <v/>
      </c>
    </row>
    <row r="160" spans="5:55" x14ac:dyDescent="0.25">
      <c r="E160" t="str">
        <f t="shared" si="6"/>
        <v/>
      </c>
      <c r="G160" t="str">
        <f ca="1">IFERROR(_xludf.XLOOKUP(F160,Lists!$A:$A,Lists!$B:$B,"",0),"")</f>
        <v/>
      </c>
      <c r="S160" t="str">
        <f t="shared" si="7"/>
        <v/>
      </c>
      <c r="AQ160" t="str">
        <f t="shared" si="8"/>
        <v/>
      </c>
      <c r="AX160" t="str">
        <f ca="1">IFERROR(_xludf.XLOOKUP($T160&amp;"|Fe",ASSAY_KEYS,ASSAY_VALUES,""),"")</f>
        <v/>
      </c>
      <c r="AY160" t="str">
        <f ca="1">IFERROR(_xludf.XLOOKUP($T160&amp;"|SiO2",ASSAY_KEYS,ASSAY_VALUES,""),"")</f>
        <v/>
      </c>
      <c r="AZ160" t="str">
        <f ca="1">IFERROR(_xludf.XLOOKUP($T160&amp;"|Al2O3",ASSAY_KEYS,ASSAY_VALUES,""),"")</f>
        <v/>
      </c>
      <c r="BA160" t="str">
        <f ca="1">IFERROR(_xludf.XLOOKUP($T160&amp;"|P",ASSAY_KEYS,ASSAY_VALUES,""),"")</f>
        <v/>
      </c>
      <c r="BB160" t="str">
        <f ca="1">IFERROR(_xludf.XLOOKUP($T160&amp;"|S",ASSAY_KEYS,ASSAY_VALUES,""),"")</f>
        <v/>
      </c>
      <c r="BC160" t="str">
        <f ca="1">IFERROR(_xludf.XLOOKUP($T160&amp;"|LOI",ASSAY_KEYS,ASSAY_VALUES,""),"")</f>
        <v/>
      </c>
    </row>
    <row r="161" spans="5:55" x14ac:dyDescent="0.25">
      <c r="E161" t="str">
        <f t="shared" si="6"/>
        <v/>
      </c>
      <c r="G161" t="str">
        <f ca="1">IFERROR(_xludf.XLOOKUP(F161,Lists!$A:$A,Lists!$B:$B,"",0),"")</f>
        <v/>
      </c>
      <c r="S161" t="str">
        <f t="shared" si="7"/>
        <v/>
      </c>
      <c r="AQ161" t="str">
        <f t="shared" si="8"/>
        <v/>
      </c>
      <c r="AX161" t="str">
        <f ca="1">IFERROR(_xludf.XLOOKUP($T161&amp;"|Fe",ASSAY_KEYS,ASSAY_VALUES,""),"")</f>
        <v/>
      </c>
      <c r="AY161" t="str">
        <f ca="1">IFERROR(_xludf.XLOOKUP($T161&amp;"|SiO2",ASSAY_KEYS,ASSAY_VALUES,""),"")</f>
        <v/>
      </c>
      <c r="AZ161" t="str">
        <f ca="1">IFERROR(_xludf.XLOOKUP($T161&amp;"|Al2O3",ASSAY_KEYS,ASSAY_VALUES,""),"")</f>
        <v/>
      </c>
      <c r="BA161" t="str">
        <f ca="1">IFERROR(_xludf.XLOOKUP($T161&amp;"|P",ASSAY_KEYS,ASSAY_VALUES,""),"")</f>
        <v/>
      </c>
      <c r="BB161" t="str">
        <f ca="1">IFERROR(_xludf.XLOOKUP($T161&amp;"|S",ASSAY_KEYS,ASSAY_VALUES,""),"")</f>
        <v/>
      </c>
      <c r="BC161" t="str">
        <f ca="1">IFERROR(_xludf.XLOOKUP($T161&amp;"|LOI",ASSAY_KEYS,ASSAY_VALUES,""),"")</f>
        <v/>
      </c>
    </row>
    <row r="162" spans="5:55" x14ac:dyDescent="0.25">
      <c r="E162" t="str">
        <f t="shared" si="6"/>
        <v/>
      </c>
      <c r="G162" t="str">
        <f ca="1">IFERROR(_xludf.XLOOKUP(F162,Lists!$A:$A,Lists!$B:$B,"",0),"")</f>
        <v/>
      </c>
      <c r="S162" t="str">
        <f t="shared" si="7"/>
        <v/>
      </c>
      <c r="AQ162" t="str">
        <f t="shared" si="8"/>
        <v/>
      </c>
      <c r="AX162" t="str">
        <f ca="1">IFERROR(_xludf.XLOOKUP($T162&amp;"|Fe",ASSAY_KEYS,ASSAY_VALUES,""),"")</f>
        <v/>
      </c>
      <c r="AY162" t="str">
        <f ca="1">IFERROR(_xludf.XLOOKUP($T162&amp;"|SiO2",ASSAY_KEYS,ASSAY_VALUES,""),"")</f>
        <v/>
      </c>
      <c r="AZ162" t="str">
        <f ca="1">IFERROR(_xludf.XLOOKUP($T162&amp;"|Al2O3",ASSAY_KEYS,ASSAY_VALUES,""),"")</f>
        <v/>
      </c>
      <c r="BA162" t="str">
        <f ca="1">IFERROR(_xludf.XLOOKUP($T162&amp;"|P",ASSAY_KEYS,ASSAY_VALUES,""),"")</f>
        <v/>
      </c>
      <c r="BB162" t="str">
        <f ca="1">IFERROR(_xludf.XLOOKUP($T162&amp;"|S",ASSAY_KEYS,ASSAY_VALUES,""),"")</f>
        <v/>
      </c>
      <c r="BC162" t="str">
        <f ca="1">IFERROR(_xludf.XLOOKUP($T162&amp;"|LOI",ASSAY_KEYS,ASSAY_VALUES,""),"")</f>
        <v/>
      </c>
    </row>
    <row r="163" spans="5:55" x14ac:dyDescent="0.25">
      <c r="E163" t="str">
        <f t="shared" si="6"/>
        <v/>
      </c>
      <c r="G163" t="str">
        <f ca="1">IFERROR(_xludf.XLOOKUP(F163,Lists!$A:$A,Lists!$B:$B,"",0),"")</f>
        <v/>
      </c>
      <c r="S163" t="str">
        <f t="shared" si="7"/>
        <v/>
      </c>
      <c r="AQ163" t="str">
        <f t="shared" si="8"/>
        <v/>
      </c>
      <c r="AX163" t="str">
        <f ca="1">IFERROR(_xludf.XLOOKUP($T163&amp;"|Fe",ASSAY_KEYS,ASSAY_VALUES,""),"")</f>
        <v/>
      </c>
      <c r="AY163" t="str">
        <f ca="1">IFERROR(_xludf.XLOOKUP($T163&amp;"|SiO2",ASSAY_KEYS,ASSAY_VALUES,""),"")</f>
        <v/>
      </c>
      <c r="AZ163" t="str">
        <f ca="1">IFERROR(_xludf.XLOOKUP($T163&amp;"|Al2O3",ASSAY_KEYS,ASSAY_VALUES,""),"")</f>
        <v/>
      </c>
      <c r="BA163" t="str">
        <f ca="1">IFERROR(_xludf.XLOOKUP($T163&amp;"|P",ASSAY_KEYS,ASSAY_VALUES,""),"")</f>
        <v/>
      </c>
      <c r="BB163" t="str">
        <f ca="1">IFERROR(_xludf.XLOOKUP($T163&amp;"|S",ASSAY_KEYS,ASSAY_VALUES,""),"")</f>
        <v/>
      </c>
      <c r="BC163" t="str">
        <f ca="1">IFERROR(_xludf.XLOOKUP($T163&amp;"|LOI",ASSAY_KEYS,ASSAY_VALUES,""),"")</f>
        <v/>
      </c>
    </row>
    <row r="164" spans="5:55" x14ac:dyDescent="0.25">
      <c r="E164" t="str">
        <f t="shared" si="6"/>
        <v/>
      </c>
      <c r="G164" t="str">
        <f ca="1">IFERROR(_xludf.XLOOKUP(F164,Lists!$A:$A,Lists!$B:$B,"",0),"")</f>
        <v/>
      </c>
      <c r="S164" t="str">
        <f t="shared" si="7"/>
        <v/>
      </c>
      <c r="AQ164" t="str">
        <f t="shared" si="8"/>
        <v/>
      </c>
      <c r="AX164" t="str">
        <f ca="1">IFERROR(_xludf.XLOOKUP($T164&amp;"|Fe",ASSAY_KEYS,ASSAY_VALUES,""),"")</f>
        <v/>
      </c>
      <c r="AY164" t="str">
        <f ca="1">IFERROR(_xludf.XLOOKUP($T164&amp;"|SiO2",ASSAY_KEYS,ASSAY_VALUES,""),"")</f>
        <v/>
      </c>
      <c r="AZ164" t="str">
        <f ca="1">IFERROR(_xludf.XLOOKUP($T164&amp;"|Al2O3",ASSAY_KEYS,ASSAY_VALUES,""),"")</f>
        <v/>
      </c>
      <c r="BA164" t="str">
        <f ca="1">IFERROR(_xludf.XLOOKUP($T164&amp;"|P",ASSAY_KEYS,ASSAY_VALUES,""),"")</f>
        <v/>
      </c>
      <c r="BB164" t="str">
        <f ca="1">IFERROR(_xludf.XLOOKUP($T164&amp;"|S",ASSAY_KEYS,ASSAY_VALUES,""),"")</f>
        <v/>
      </c>
      <c r="BC164" t="str">
        <f ca="1">IFERROR(_xludf.XLOOKUP($T164&amp;"|LOI",ASSAY_KEYS,ASSAY_VALUES,""),"")</f>
        <v/>
      </c>
    </row>
    <row r="165" spans="5:55" x14ac:dyDescent="0.25">
      <c r="E165" t="str">
        <f t="shared" si="6"/>
        <v/>
      </c>
      <c r="G165" t="str">
        <f ca="1">IFERROR(_xludf.XLOOKUP(F165,Lists!$A:$A,Lists!$B:$B,"",0),"")</f>
        <v/>
      </c>
      <c r="S165" t="str">
        <f t="shared" si="7"/>
        <v/>
      </c>
      <c r="AQ165" t="str">
        <f t="shared" si="8"/>
        <v/>
      </c>
      <c r="AX165" t="str">
        <f ca="1">IFERROR(_xludf.XLOOKUP($T165&amp;"|Fe",ASSAY_KEYS,ASSAY_VALUES,""),"")</f>
        <v/>
      </c>
      <c r="AY165" t="str">
        <f ca="1">IFERROR(_xludf.XLOOKUP($T165&amp;"|SiO2",ASSAY_KEYS,ASSAY_VALUES,""),"")</f>
        <v/>
      </c>
      <c r="AZ165" t="str">
        <f ca="1">IFERROR(_xludf.XLOOKUP($T165&amp;"|Al2O3",ASSAY_KEYS,ASSAY_VALUES,""),"")</f>
        <v/>
      </c>
      <c r="BA165" t="str">
        <f ca="1">IFERROR(_xludf.XLOOKUP($T165&amp;"|P",ASSAY_KEYS,ASSAY_VALUES,""),"")</f>
        <v/>
      </c>
      <c r="BB165" t="str">
        <f ca="1">IFERROR(_xludf.XLOOKUP($T165&amp;"|S",ASSAY_KEYS,ASSAY_VALUES,""),"")</f>
        <v/>
      </c>
      <c r="BC165" t="str">
        <f ca="1">IFERROR(_xludf.XLOOKUP($T165&amp;"|LOI",ASSAY_KEYS,ASSAY_VALUES,""),"")</f>
        <v/>
      </c>
    </row>
    <row r="166" spans="5:55" x14ac:dyDescent="0.25">
      <c r="E166" t="str">
        <f t="shared" si="6"/>
        <v/>
      </c>
      <c r="G166" t="str">
        <f ca="1">IFERROR(_xludf.XLOOKUP(F166,Lists!$A:$A,Lists!$B:$B,"",0),"")</f>
        <v/>
      </c>
      <c r="S166" t="str">
        <f t="shared" si="7"/>
        <v/>
      </c>
      <c r="AQ166" t="str">
        <f t="shared" si="8"/>
        <v/>
      </c>
      <c r="AX166" t="str">
        <f ca="1">IFERROR(_xludf.XLOOKUP($T166&amp;"|Fe",ASSAY_KEYS,ASSAY_VALUES,""),"")</f>
        <v/>
      </c>
      <c r="AY166" t="str">
        <f ca="1">IFERROR(_xludf.XLOOKUP($T166&amp;"|SiO2",ASSAY_KEYS,ASSAY_VALUES,""),"")</f>
        <v/>
      </c>
      <c r="AZ166" t="str">
        <f ca="1">IFERROR(_xludf.XLOOKUP($T166&amp;"|Al2O3",ASSAY_KEYS,ASSAY_VALUES,""),"")</f>
        <v/>
      </c>
      <c r="BA166" t="str">
        <f ca="1">IFERROR(_xludf.XLOOKUP($T166&amp;"|P",ASSAY_KEYS,ASSAY_VALUES,""),"")</f>
        <v/>
      </c>
      <c r="BB166" t="str">
        <f ca="1">IFERROR(_xludf.XLOOKUP($T166&amp;"|S",ASSAY_KEYS,ASSAY_VALUES,""),"")</f>
        <v/>
      </c>
      <c r="BC166" t="str">
        <f ca="1">IFERROR(_xludf.XLOOKUP($T166&amp;"|LOI",ASSAY_KEYS,ASSAY_VALUES,""),"")</f>
        <v/>
      </c>
    </row>
    <row r="167" spans="5:55" x14ac:dyDescent="0.25">
      <c r="E167" t="str">
        <f t="shared" si="6"/>
        <v/>
      </c>
      <c r="G167" t="str">
        <f ca="1">IFERROR(_xludf.XLOOKUP(F167,Lists!$A:$A,Lists!$B:$B,"",0),"")</f>
        <v/>
      </c>
      <c r="S167" t="str">
        <f t="shared" si="7"/>
        <v/>
      </c>
      <c r="AQ167" t="str">
        <f t="shared" si="8"/>
        <v/>
      </c>
      <c r="AX167" t="str">
        <f ca="1">IFERROR(_xludf.XLOOKUP($T167&amp;"|Fe",ASSAY_KEYS,ASSAY_VALUES,""),"")</f>
        <v/>
      </c>
      <c r="AY167" t="str">
        <f ca="1">IFERROR(_xludf.XLOOKUP($T167&amp;"|SiO2",ASSAY_KEYS,ASSAY_VALUES,""),"")</f>
        <v/>
      </c>
      <c r="AZ167" t="str">
        <f ca="1">IFERROR(_xludf.XLOOKUP($T167&amp;"|Al2O3",ASSAY_KEYS,ASSAY_VALUES,""),"")</f>
        <v/>
      </c>
      <c r="BA167" t="str">
        <f ca="1">IFERROR(_xludf.XLOOKUP($T167&amp;"|P",ASSAY_KEYS,ASSAY_VALUES,""),"")</f>
        <v/>
      </c>
      <c r="BB167" t="str">
        <f ca="1">IFERROR(_xludf.XLOOKUP($T167&amp;"|S",ASSAY_KEYS,ASSAY_VALUES,""),"")</f>
        <v/>
      </c>
      <c r="BC167" t="str">
        <f ca="1">IFERROR(_xludf.XLOOKUP($T167&amp;"|LOI",ASSAY_KEYS,ASSAY_VALUES,""),"")</f>
        <v/>
      </c>
    </row>
    <row r="168" spans="5:55" x14ac:dyDescent="0.25">
      <c r="E168" t="str">
        <f t="shared" si="6"/>
        <v/>
      </c>
      <c r="G168" t="str">
        <f ca="1">IFERROR(_xludf.XLOOKUP(F168,Lists!$A:$A,Lists!$B:$B,"",0),"")</f>
        <v/>
      </c>
      <c r="S168" t="str">
        <f t="shared" si="7"/>
        <v/>
      </c>
      <c r="AQ168" t="str">
        <f t="shared" si="8"/>
        <v/>
      </c>
      <c r="AX168" t="str">
        <f ca="1">IFERROR(_xludf.XLOOKUP($T168&amp;"|Fe",ASSAY_KEYS,ASSAY_VALUES,""),"")</f>
        <v/>
      </c>
      <c r="AY168" t="str">
        <f ca="1">IFERROR(_xludf.XLOOKUP($T168&amp;"|SiO2",ASSAY_KEYS,ASSAY_VALUES,""),"")</f>
        <v/>
      </c>
      <c r="AZ168" t="str">
        <f ca="1">IFERROR(_xludf.XLOOKUP($T168&amp;"|Al2O3",ASSAY_KEYS,ASSAY_VALUES,""),"")</f>
        <v/>
      </c>
      <c r="BA168" t="str">
        <f ca="1">IFERROR(_xludf.XLOOKUP($T168&amp;"|P",ASSAY_KEYS,ASSAY_VALUES,""),"")</f>
        <v/>
      </c>
      <c r="BB168" t="str">
        <f ca="1">IFERROR(_xludf.XLOOKUP($T168&amp;"|S",ASSAY_KEYS,ASSAY_VALUES,""),"")</f>
        <v/>
      </c>
      <c r="BC168" t="str">
        <f ca="1">IFERROR(_xludf.XLOOKUP($T168&amp;"|LOI",ASSAY_KEYS,ASSAY_VALUES,""),"")</f>
        <v/>
      </c>
    </row>
    <row r="169" spans="5:55" x14ac:dyDescent="0.25">
      <c r="E169" t="str">
        <f t="shared" si="6"/>
        <v/>
      </c>
      <c r="G169" t="str">
        <f ca="1">IFERROR(_xludf.XLOOKUP(F169,Lists!$A:$A,Lists!$B:$B,"",0),"")</f>
        <v/>
      </c>
      <c r="S169" t="str">
        <f t="shared" si="7"/>
        <v/>
      </c>
      <c r="AQ169" t="str">
        <f t="shared" si="8"/>
        <v/>
      </c>
      <c r="AX169" t="str">
        <f ca="1">IFERROR(_xludf.XLOOKUP($T169&amp;"|Fe",ASSAY_KEYS,ASSAY_VALUES,""),"")</f>
        <v/>
      </c>
      <c r="AY169" t="str">
        <f ca="1">IFERROR(_xludf.XLOOKUP($T169&amp;"|SiO2",ASSAY_KEYS,ASSAY_VALUES,""),"")</f>
        <v/>
      </c>
      <c r="AZ169" t="str">
        <f ca="1">IFERROR(_xludf.XLOOKUP($T169&amp;"|Al2O3",ASSAY_KEYS,ASSAY_VALUES,""),"")</f>
        <v/>
      </c>
      <c r="BA169" t="str">
        <f ca="1">IFERROR(_xludf.XLOOKUP($T169&amp;"|P",ASSAY_KEYS,ASSAY_VALUES,""),"")</f>
        <v/>
      </c>
      <c r="BB169" t="str">
        <f ca="1">IFERROR(_xludf.XLOOKUP($T169&amp;"|S",ASSAY_KEYS,ASSAY_VALUES,""),"")</f>
        <v/>
      </c>
      <c r="BC169" t="str">
        <f ca="1">IFERROR(_xludf.XLOOKUP($T169&amp;"|LOI",ASSAY_KEYS,ASSAY_VALUES,""),"")</f>
        <v/>
      </c>
    </row>
    <row r="170" spans="5:55" x14ac:dyDescent="0.25">
      <c r="E170" t="str">
        <f t="shared" si="6"/>
        <v/>
      </c>
      <c r="G170" t="str">
        <f ca="1">IFERROR(_xludf.XLOOKUP(F170,Lists!$A:$A,Lists!$B:$B,"",0),"")</f>
        <v/>
      </c>
      <c r="S170" t="str">
        <f t="shared" si="7"/>
        <v/>
      </c>
      <c r="AQ170" t="str">
        <f t="shared" si="8"/>
        <v/>
      </c>
      <c r="AX170" t="str">
        <f ca="1">IFERROR(_xludf.XLOOKUP($T170&amp;"|Fe",ASSAY_KEYS,ASSAY_VALUES,""),"")</f>
        <v/>
      </c>
      <c r="AY170" t="str">
        <f ca="1">IFERROR(_xludf.XLOOKUP($T170&amp;"|SiO2",ASSAY_KEYS,ASSAY_VALUES,""),"")</f>
        <v/>
      </c>
      <c r="AZ170" t="str">
        <f ca="1">IFERROR(_xludf.XLOOKUP($T170&amp;"|Al2O3",ASSAY_KEYS,ASSAY_VALUES,""),"")</f>
        <v/>
      </c>
      <c r="BA170" t="str">
        <f ca="1">IFERROR(_xludf.XLOOKUP($T170&amp;"|P",ASSAY_KEYS,ASSAY_VALUES,""),"")</f>
        <v/>
      </c>
      <c r="BB170" t="str">
        <f ca="1">IFERROR(_xludf.XLOOKUP($T170&amp;"|S",ASSAY_KEYS,ASSAY_VALUES,""),"")</f>
        <v/>
      </c>
      <c r="BC170" t="str">
        <f ca="1">IFERROR(_xludf.XLOOKUP($T170&amp;"|LOI",ASSAY_KEYS,ASSAY_VALUES,""),"")</f>
        <v/>
      </c>
    </row>
    <row r="171" spans="5:55" x14ac:dyDescent="0.25">
      <c r="E171" t="str">
        <f t="shared" si="6"/>
        <v/>
      </c>
      <c r="G171" t="str">
        <f ca="1">IFERROR(_xludf.XLOOKUP(F171,Lists!$A:$A,Lists!$B:$B,"",0),"")</f>
        <v/>
      </c>
      <c r="S171" t="str">
        <f t="shared" si="7"/>
        <v/>
      </c>
      <c r="AQ171" t="str">
        <f t="shared" si="8"/>
        <v/>
      </c>
      <c r="AX171" t="str">
        <f ca="1">IFERROR(_xludf.XLOOKUP($T171&amp;"|Fe",ASSAY_KEYS,ASSAY_VALUES,""),"")</f>
        <v/>
      </c>
      <c r="AY171" t="str">
        <f ca="1">IFERROR(_xludf.XLOOKUP($T171&amp;"|SiO2",ASSAY_KEYS,ASSAY_VALUES,""),"")</f>
        <v/>
      </c>
      <c r="AZ171" t="str">
        <f ca="1">IFERROR(_xludf.XLOOKUP($T171&amp;"|Al2O3",ASSAY_KEYS,ASSAY_VALUES,""),"")</f>
        <v/>
      </c>
      <c r="BA171" t="str">
        <f ca="1">IFERROR(_xludf.XLOOKUP($T171&amp;"|P",ASSAY_KEYS,ASSAY_VALUES,""),"")</f>
        <v/>
      </c>
      <c r="BB171" t="str">
        <f ca="1">IFERROR(_xludf.XLOOKUP($T171&amp;"|S",ASSAY_KEYS,ASSAY_VALUES,""),"")</f>
        <v/>
      </c>
      <c r="BC171" t="str">
        <f ca="1">IFERROR(_xludf.XLOOKUP($T171&amp;"|LOI",ASSAY_KEYS,ASSAY_VALUES,""),"")</f>
        <v/>
      </c>
    </row>
    <row r="172" spans="5:55" x14ac:dyDescent="0.25">
      <c r="E172" t="str">
        <f t="shared" si="6"/>
        <v/>
      </c>
      <c r="G172" t="str">
        <f ca="1">IFERROR(_xludf.XLOOKUP(F172,Lists!$A:$A,Lists!$B:$B,"",0),"")</f>
        <v/>
      </c>
      <c r="S172" t="str">
        <f t="shared" si="7"/>
        <v/>
      </c>
      <c r="AQ172" t="str">
        <f t="shared" si="8"/>
        <v/>
      </c>
      <c r="AX172" t="str">
        <f ca="1">IFERROR(_xludf.XLOOKUP($T172&amp;"|Fe",ASSAY_KEYS,ASSAY_VALUES,""),"")</f>
        <v/>
      </c>
      <c r="AY172" t="str">
        <f ca="1">IFERROR(_xludf.XLOOKUP($T172&amp;"|SiO2",ASSAY_KEYS,ASSAY_VALUES,""),"")</f>
        <v/>
      </c>
      <c r="AZ172" t="str">
        <f ca="1">IFERROR(_xludf.XLOOKUP($T172&amp;"|Al2O3",ASSAY_KEYS,ASSAY_VALUES,""),"")</f>
        <v/>
      </c>
      <c r="BA172" t="str">
        <f ca="1">IFERROR(_xludf.XLOOKUP($T172&amp;"|P",ASSAY_KEYS,ASSAY_VALUES,""),"")</f>
        <v/>
      </c>
      <c r="BB172" t="str">
        <f ca="1">IFERROR(_xludf.XLOOKUP($T172&amp;"|S",ASSAY_KEYS,ASSAY_VALUES,""),"")</f>
        <v/>
      </c>
      <c r="BC172" t="str">
        <f ca="1">IFERROR(_xludf.XLOOKUP($T172&amp;"|LOI",ASSAY_KEYS,ASSAY_VALUES,""),"")</f>
        <v/>
      </c>
    </row>
    <row r="173" spans="5:55" x14ac:dyDescent="0.25">
      <c r="E173" t="str">
        <f t="shared" si="6"/>
        <v/>
      </c>
      <c r="G173" t="str">
        <f ca="1">IFERROR(_xludf.XLOOKUP(F173,Lists!$A:$A,Lists!$B:$B,"",0),"")</f>
        <v/>
      </c>
      <c r="S173" t="str">
        <f t="shared" si="7"/>
        <v/>
      </c>
      <c r="AQ173" t="str">
        <f t="shared" si="8"/>
        <v/>
      </c>
      <c r="AX173" t="str">
        <f ca="1">IFERROR(_xludf.XLOOKUP($T173&amp;"|Fe",ASSAY_KEYS,ASSAY_VALUES,""),"")</f>
        <v/>
      </c>
      <c r="AY173" t="str">
        <f ca="1">IFERROR(_xludf.XLOOKUP($T173&amp;"|SiO2",ASSAY_KEYS,ASSAY_VALUES,""),"")</f>
        <v/>
      </c>
      <c r="AZ173" t="str">
        <f ca="1">IFERROR(_xludf.XLOOKUP($T173&amp;"|Al2O3",ASSAY_KEYS,ASSAY_VALUES,""),"")</f>
        <v/>
      </c>
      <c r="BA173" t="str">
        <f ca="1">IFERROR(_xludf.XLOOKUP($T173&amp;"|P",ASSAY_KEYS,ASSAY_VALUES,""),"")</f>
        <v/>
      </c>
      <c r="BB173" t="str">
        <f ca="1">IFERROR(_xludf.XLOOKUP($T173&amp;"|S",ASSAY_KEYS,ASSAY_VALUES,""),"")</f>
        <v/>
      </c>
      <c r="BC173" t="str">
        <f ca="1">IFERROR(_xludf.XLOOKUP($T173&amp;"|LOI",ASSAY_KEYS,ASSAY_VALUES,""),"")</f>
        <v/>
      </c>
    </row>
    <row r="174" spans="5:55" x14ac:dyDescent="0.25">
      <c r="E174" t="str">
        <f t="shared" si="6"/>
        <v/>
      </c>
      <c r="G174" t="str">
        <f ca="1">IFERROR(_xludf.XLOOKUP(F174,Lists!$A:$A,Lists!$B:$B,"",0),"")</f>
        <v/>
      </c>
      <c r="S174" t="str">
        <f t="shared" si="7"/>
        <v/>
      </c>
      <c r="AQ174" t="str">
        <f t="shared" si="8"/>
        <v/>
      </c>
      <c r="AX174" t="str">
        <f ca="1">IFERROR(_xludf.XLOOKUP($T174&amp;"|Fe",ASSAY_KEYS,ASSAY_VALUES,""),"")</f>
        <v/>
      </c>
      <c r="AY174" t="str">
        <f ca="1">IFERROR(_xludf.XLOOKUP($T174&amp;"|SiO2",ASSAY_KEYS,ASSAY_VALUES,""),"")</f>
        <v/>
      </c>
      <c r="AZ174" t="str">
        <f ca="1">IFERROR(_xludf.XLOOKUP($T174&amp;"|Al2O3",ASSAY_KEYS,ASSAY_VALUES,""),"")</f>
        <v/>
      </c>
      <c r="BA174" t="str">
        <f ca="1">IFERROR(_xludf.XLOOKUP($T174&amp;"|P",ASSAY_KEYS,ASSAY_VALUES,""),"")</f>
        <v/>
      </c>
      <c r="BB174" t="str">
        <f ca="1">IFERROR(_xludf.XLOOKUP($T174&amp;"|S",ASSAY_KEYS,ASSAY_VALUES,""),"")</f>
        <v/>
      </c>
      <c r="BC174" t="str">
        <f ca="1">IFERROR(_xludf.XLOOKUP($T174&amp;"|LOI",ASSAY_KEYS,ASSAY_VALUES,""),"")</f>
        <v/>
      </c>
    </row>
    <row r="175" spans="5:55" x14ac:dyDescent="0.25">
      <c r="E175" t="str">
        <f t="shared" si="6"/>
        <v/>
      </c>
      <c r="G175" t="str">
        <f ca="1">IFERROR(_xludf.XLOOKUP(F175,Lists!$A:$A,Lists!$B:$B,"",0),"")</f>
        <v/>
      </c>
      <c r="S175" t="str">
        <f t="shared" si="7"/>
        <v/>
      </c>
      <c r="AQ175" t="str">
        <f t="shared" si="8"/>
        <v/>
      </c>
      <c r="AX175" t="str">
        <f ca="1">IFERROR(_xludf.XLOOKUP($T175&amp;"|Fe",ASSAY_KEYS,ASSAY_VALUES,""),"")</f>
        <v/>
      </c>
      <c r="AY175" t="str">
        <f ca="1">IFERROR(_xludf.XLOOKUP($T175&amp;"|SiO2",ASSAY_KEYS,ASSAY_VALUES,""),"")</f>
        <v/>
      </c>
      <c r="AZ175" t="str">
        <f ca="1">IFERROR(_xludf.XLOOKUP($T175&amp;"|Al2O3",ASSAY_KEYS,ASSAY_VALUES,""),"")</f>
        <v/>
      </c>
      <c r="BA175" t="str">
        <f ca="1">IFERROR(_xludf.XLOOKUP($T175&amp;"|P",ASSAY_KEYS,ASSAY_VALUES,""),"")</f>
        <v/>
      </c>
      <c r="BB175" t="str">
        <f ca="1">IFERROR(_xludf.XLOOKUP($T175&amp;"|S",ASSAY_KEYS,ASSAY_VALUES,""),"")</f>
        <v/>
      </c>
      <c r="BC175" t="str">
        <f ca="1">IFERROR(_xludf.XLOOKUP($T175&amp;"|LOI",ASSAY_KEYS,ASSAY_VALUES,""),"")</f>
        <v/>
      </c>
    </row>
    <row r="176" spans="5:55" x14ac:dyDescent="0.25">
      <c r="E176" t="str">
        <f t="shared" si="6"/>
        <v/>
      </c>
      <c r="G176" t="str">
        <f ca="1">IFERROR(_xludf.XLOOKUP(F176,Lists!$A:$A,Lists!$B:$B,"",0),"")</f>
        <v/>
      </c>
      <c r="S176" t="str">
        <f t="shared" si="7"/>
        <v/>
      </c>
      <c r="AQ176" t="str">
        <f t="shared" si="8"/>
        <v/>
      </c>
      <c r="AX176" t="str">
        <f ca="1">IFERROR(_xludf.XLOOKUP($T176&amp;"|Fe",ASSAY_KEYS,ASSAY_VALUES,""),"")</f>
        <v/>
      </c>
      <c r="AY176" t="str">
        <f ca="1">IFERROR(_xludf.XLOOKUP($T176&amp;"|SiO2",ASSAY_KEYS,ASSAY_VALUES,""),"")</f>
        <v/>
      </c>
      <c r="AZ176" t="str">
        <f ca="1">IFERROR(_xludf.XLOOKUP($T176&amp;"|Al2O3",ASSAY_KEYS,ASSAY_VALUES,""),"")</f>
        <v/>
      </c>
      <c r="BA176" t="str">
        <f ca="1">IFERROR(_xludf.XLOOKUP($T176&amp;"|P",ASSAY_KEYS,ASSAY_VALUES,""),"")</f>
        <v/>
      </c>
      <c r="BB176" t="str">
        <f ca="1">IFERROR(_xludf.XLOOKUP($T176&amp;"|S",ASSAY_KEYS,ASSAY_VALUES,""),"")</f>
        <v/>
      </c>
      <c r="BC176" t="str">
        <f ca="1">IFERROR(_xludf.XLOOKUP($T176&amp;"|LOI",ASSAY_KEYS,ASSAY_VALUES,""),"")</f>
        <v/>
      </c>
    </row>
    <row r="177" spans="5:55" x14ac:dyDescent="0.25">
      <c r="E177" t="str">
        <f t="shared" si="6"/>
        <v/>
      </c>
      <c r="G177" t="str">
        <f ca="1">IFERROR(_xludf.XLOOKUP(F177,Lists!$A:$A,Lists!$B:$B,"",0),"")</f>
        <v/>
      </c>
      <c r="S177" t="str">
        <f t="shared" si="7"/>
        <v/>
      </c>
      <c r="AQ177" t="str">
        <f t="shared" si="8"/>
        <v/>
      </c>
      <c r="AX177" t="str">
        <f ca="1">IFERROR(_xludf.XLOOKUP($T177&amp;"|Fe",ASSAY_KEYS,ASSAY_VALUES,""),"")</f>
        <v/>
      </c>
      <c r="AY177" t="str">
        <f ca="1">IFERROR(_xludf.XLOOKUP($T177&amp;"|SiO2",ASSAY_KEYS,ASSAY_VALUES,""),"")</f>
        <v/>
      </c>
      <c r="AZ177" t="str">
        <f ca="1">IFERROR(_xludf.XLOOKUP($T177&amp;"|Al2O3",ASSAY_KEYS,ASSAY_VALUES,""),"")</f>
        <v/>
      </c>
      <c r="BA177" t="str">
        <f ca="1">IFERROR(_xludf.XLOOKUP($T177&amp;"|P",ASSAY_KEYS,ASSAY_VALUES,""),"")</f>
        <v/>
      </c>
      <c r="BB177" t="str">
        <f ca="1">IFERROR(_xludf.XLOOKUP($T177&amp;"|S",ASSAY_KEYS,ASSAY_VALUES,""),"")</f>
        <v/>
      </c>
      <c r="BC177" t="str">
        <f ca="1">IFERROR(_xludf.XLOOKUP($T177&amp;"|LOI",ASSAY_KEYS,ASSAY_VALUES,""),"")</f>
        <v/>
      </c>
    </row>
    <row r="178" spans="5:55" x14ac:dyDescent="0.25">
      <c r="E178" t="str">
        <f t="shared" si="6"/>
        <v/>
      </c>
      <c r="G178" t="str">
        <f ca="1">IFERROR(_xludf.XLOOKUP(F178,Lists!$A:$A,Lists!$B:$B,"",0),"")</f>
        <v/>
      </c>
      <c r="S178" t="str">
        <f t="shared" si="7"/>
        <v/>
      </c>
      <c r="AQ178" t="str">
        <f t="shared" si="8"/>
        <v/>
      </c>
      <c r="AX178" t="str">
        <f ca="1">IFERROR(_xludf.XLOOKUP($T178&amp;"|Fe",ASSAY_KEYS,ASSAY_VALUES,""),"")</f>
        <v/>
      </c>
      <c r="AY178" t="str">
        <f ca="1">IFERROR(_xludf.XLOOKUP($T178&amp;"|SiO2",ASSAY_KEYS,ASSAY_VALUES,""),"")</f>
        <v/>
      </c>
      <c r="AZ178" t="str">
        <f ca="1">IFERROR(_xludf.XLOOKUP($T178&amp;"|Al2O3",ASSAY_KEYS,ASSAY_VALUES,""),"")</f>
        <v/>
      </c>
      <c r="BA178" t="str">
        <f ca="1">IFERROR(_xludf.XLOOKUP($T178&amp;"|P",ASSAY_KEYS,ASSAY_VALUES,""),"")</f>
        <v/>
      </c>
      <c r="BB178" t="str">
        <f ca="1">IFERROR(_xludf.XLOOKUP($T178&amp;"|S",ASSAY_KEYS,ASSAY_VALUES,""),"")</f>
        <v/>
      </c>
      <c r="BC178" t="str">
        <f ca="1">IFERROR(_xludf.XLOOKUP($T178&amp;"|LOI",ASSAY_KEYS,ASSAY_VALUES,""),"")</f>
        <v/>
      </c>
    </row>
    <row r="179" spans="5:55" x14ac:dyDescent="0.25">
      <c r="E179" t="str">
        <f t="shared" si="6"/>
        <v/>
      </c>
      <c r="G179" t="str">
        <f ca="1">IFERROR(_xludf.XLOOKUP(F179,Lists!$A:$A,Lists!$B:$B,"",0),"")</f>
        <v/>
      </c>
      <c r="S179" t="str">
        <f t="shared" si="7"/>
        <v/>
      </c>
      <c r="AQ179" t="str">
        <f t="shared" si="8"/>
        <v/>
      </c>
      <c r="AX179" t="str">
        <f ca="1">IFERROR(_xludf.XLOOKUP($T179&amp;"|Fe",ASSAY_KEYS,ASSAY_VALUES,""),"")</f>
        <v/>
      </c>
      <c r="AY179" t="str">
        <f ca="1">IFERROR(_xludf.XLOOKUP($T179&amp;"|SiO2",ASSAY_KEYS,ASSAY_VALUES,""),"")</f>
        <v/>
      </c>
      <c r="AZ179" t="str">
        <f ca="1">IFERROR(_xludf.XLOOKUP($T179&amp;"|Al2O3",ASSAY_KEYS,ASSAY_VALUES,""),"")</f>
        <v/>
      </c>
      <c r="BA179" t="str">
        <f ca="1">IFERROR(_xludf.XLOOKUP($T179&amp;"|P",ASSAY_KEYS,ASSAY_VALUES,""),"")</f>
        <v/>
      </c>
      <c r="BB179" t="str">
        <f ca="1">IFERROR(_xludf.XLOOKUP($T179&amp;"|S",ASSAY_KEYS,ASSAY_VALUES,""),"")</f>
        <v/>
      </c>
      <c r="BC179" t="str">
        <f ca="1">IFERROR(_xludf.XLOOKUP($T179&amp;"|LOI",ASSAY_KEYS,ASSAY_VALUES,""),"")</f>
        <v/>
      </c>
    </row>
    <row r="180" spans="5:55" x14ac:dyDescent="0.25">
      <c r="E180" t="str">
        <f t="shared" si="6"/>
        <v/>
      </c>
      <c r="G180" t="str">
        <f ca="1">IFERROR(_xludf.XLOOKUP(F180,Lists!$A:$A,Lists!$B:$B,"",0),"")</f>
        <v/>
      </c>
      <c r="S180" t="str">
        <f t="shared" si="7"/>
        <v/>
      </c>
      <c r="AQ180" t="str">
        <f t="shared" si="8"/>
        <v/>
      </c>
      <c r="AX180" t="str">
        <f ca="1">IFERROR(_xludf.XLOOKUP($T180&amp;"|Fe",ASSAY_KEYS,ASSAY_VALUES,""),"")</f>
        <v/>
      </c>
      <c r="AY180" t="str">
        <f ca="1">IFERROR(_xludf.XLOOKUP($T180&amp;"|SiO2",ASSAY_KEYS,ASSAY_VALUES,""),"")</f>
        <v/>
      </c>
      <c r="AZ180" t="str">
        <f ca="1">IFERROR(_xludf.XLOOKUP($T180&amp;"|Al2O3",ASSAY_KEYS,ASSAY_VALUES,""),"")</f>
        <v/>
      </c>
      <c r="BA180" t="str">
        <f ca="1">IFERROR(_xludf.XLOOKUP($T180&amp;"|P",ASSAY_KEYS,ASSAY_VALUES,""),"")</f>
        <v/>
      </c>
      <c r="BB180" t="str">
        <f ca="1">IFERROR(_xludf.XLOOKUP($T180&amp;"|S",ASSAY_KEYS,ASSAY_VALUES,""),"")</f>
        <v/>
      </c>
      <c r="BC180" t="str">
        <f ca="1">IFERROR(_xludf.XLOOKUP($T180&amp;"|LOI",ASSAY_KEYS,ASSAY_VALUES,""),"")</f>
        <v/>
      </c>
    </row>
    <row r="181" spans="5:55" x14ac:dyDescent="0.25">
      <c r="E181" t="str">
        <f t="shared" si="6"/>
        <v/>
      </c>
      <c r="G181" t="str">
        <f ca="1">IFERROR(_xludf.XLOOKUP(F181,Lists!$A:$A,Lists!$B:$B,"",0),"")</f>
        <v/>
      </c>
      <c r="S181" t="str">
        <f t="shared" si="7"/>
        <v/>
      </c>
      <c r="AQ181" t="str">
        <f t="shared" si="8"/>
        <v/>
      </c>
      <c r="AX181" t="str">
        <f ca="1">IFERROR(_xludf.XLOOKUP($T181&amp;"|Fe",ASSAY_KEYS,ASSAY_VALUES,""),"")</f>
        <v/>
      </c>
      <c r="AY181" t="str">
        <f ca="1">IFERROR(_xludf.XLOOKUP($T181&amp;"|SiO2",ASSAY_KEYS,ASSAY_VALUES,""),"")</f>
        <v/>
      </c>
      <c r="AZ181" t="str">
        <f ca="1">IFERROR(_xludf.XLOOKUP($T181&amp;"|Al2O3",ASSAY_KEYS,ASSAY_VALUES,""),"")</f>
        <v/>
      </c>
      <c r="BA181" t="str">
        <f ca="1">IFERROR(_xludf.XLOOKUP($T181&amp;"|P",ASSAY_KEYS,ASSAY_VALUES,""),"")</f>
        <v/>
      </c>
      <c r="BB181" t="str">
        <f ca="1">IFERROR(_xludf.XLOOKUP($T181&amp;"|S",ASSAY_KEYS,ASSAY_VALUES,""),"")</f>
        <v/>
      </c>
      <c r="BC181" t="str">
        <f ca="1">IFERROR(_xludf.XLOOKUP($T181&amp;"|LOI",ASSAY_KEYS,ASSAY_VALUES,""),"")</f>
        <v/>
      </c>
    </row>
    <row r="182" spans="5:55" x14ac:dyDescent="0.25">
      <c r="E182" t="str">
        <f t="shared" si="6"/>
        <v/>
      </c>
      <c r="G182" t="str">
        <f ca="1">IFERROR(_xludf.XLOOKUP(F182,Lists!$A:$A,Lists!$B:$B,"",0),"")</f>
        <v/>
      </c>
      <c r="S182" t="str">
        <f t="shared" si="7"/>
        <v/>
      </c>
      <c r="AQ182" t="str">
        <f t="shared" si="8"/>
        <v/>
      </c>
      <c r="AX182" t="str">
        <f ca="1">IFERROR(_xludf.XLOOKUP($T182&amp;"|Fe",ASSAY_KEYS,ASSAY_VALUES,""),"")</f>
        <v/>
      </c>
      <c r="AY182" t="str">
        <f ca="1">IFERROR(_xludf.XLOOKUP($T182&amp;"|SiO2",ASSAY_KEYS,ASSAY_VALUES,""),"")</f>
        <v/>
      </c>
      <c r="AZ182" t="str">
        <f ca="1">IFERROR(_xludf.XLOOKUP($T182&amp;"|Al2O3",ASSAY_KEYS,ASSAY_VALUES,""),"")</f>
        <v/>
      </c>
      <c r="BA182" t="str">
        <f ca="1">IFERROR(_xludf.XLOOKUP($T182&amp;"|P",ASSAY_KEYS,ASSAY_VALUES,""),"")</f>
        <v/>
      </c>
      <c r="BB182" t="str">
        <f ca="1">IFERROR(_xludf.XLOOKUP($T182&amp;"|S",ASSAY_KEYS,ASSAY_VALUES,""),"")</f>
        <v/>
      </c>
      <c r="BC182" t="str">
        <f ca="1">IFERROR(_xludf.XLOOKUP($T182&amp;"|LOI",ASSAY_KEYS,ASSAY_VALUES,""),"")</f>
        <v/>
      </c>
    </row>
    <row r="183" spans="5:55" x14ac:dyDescent="0.25">
      <c r="E183" t="str">
        <f t="shared" si="6"/>
        <v/>
      </c>
      <c r="G183" t="str">
        <f ca="1">IFERROR(_xludf.XLOOKUP(F183,Lists!$A:$A,Lists!$B:$B,"",0),"")</f>
        <v/>
      </c>
      <c r="S183" t="str">
        <f t="shared" si="7"/>
        <v/>
      </c>
      <c r="AQ183" t="str">
        <f t="shared" si="8"/>
        <v/>
      </c>
      <c r="AX183" t="str">
        <f ca="1">IFERROR(_xludf.XLOOKUP($T183&amp;"|Fe",ASSAY_KEYS,ASSAY_VALUES,""),"")</f>
        <v/>
      </c>
      <c r="AY183" t="str">
        <f ca="1">IFERROR(_xludf.XLOOKUP($T183&amp;"|SiO2",ASSAY_KEYS,ASSAY_VALUES,""),"")</f>
        <v/>
      </c>
      <c r="AZ183" t="str">
        <f ca="1">IFERROR(_xludf.XLOOKUP($T183&amp;"|Al2O3",ASSAY_KEYS,ASSAY_VALUES,""),"")</f>
        <v/>
      </c>
      <c r="BA183" t="str">
        <f ca="1">IFERROR(_xludf.XLOOKUP($T183&amp;"|P",ASSAY_KEYS,ASSAY_VALUES,""),"")</f>
        <v/>
      </c>
      <c r="BB183" t="str">
        <f ca="1">IFERROR(_xludf.XLOOKUP($T183&amp;"|S",ASSAY_KEYS,ASSAY_VALUES,""),"")</f>
        <v/>
      </c>
      <c r="BC183" t="str">
        <f ca="1">IFERROR(_xludf.XLOOKUP($T183&amp;"|LOI",ASSAY_KEYS,ASSAY_VALUES,""),"")</f>
        <v/>
      </c>
    </row>
    <row r="184" spans="5:55" x14ac:dyDescent="0.25">
      <c r="E184" t="str">
        <f t="shared" si="6"/>
        <v/>
      </c>
      <c r="G184" t="str">
        <f ca="1">IFERROR(_xludf.XLOOKUP(F184,Lists!$A:$A,Lists!$B:$B,"",0),"")</f>
        <v/>
      </c>
      <c r="S184" t="str">
        <f t="shared" si="7"/>
        <v/>
      </c>
      <c r="AQ184" t="str">
        <f t="shared" si="8"/>
        <v/>
      </c>
      <c r="AX184" t="str">
        <f ca="1">IFERROR(_xludf.XLOOKUP($T184&amp;"|Fe",ASSAY_KEYS,ASSAY_VALUES,""),"")</f>
        <v/>
      </c>
      <c r="AY184" t="str">
        <f ca="1">IFERROR(_xludf.XLOOKUP($T184&amp;"|SiO2",ASSAY_KEYS,ASSAY_VALUES,""),"")</f>
        <v/>
      </c>
      <c r="AZ184" t="str">
        <f ca="1">IFERROR(_xludf.XLOOKUP($T184&amp;"|Al2O3",ASSAY_KEYS,ASSAY_VALUES,""),"")</f>
        <v/>
      </c>
      <c r="BA184" t="str">
        <f ca="1">IFERROR(_xludf.XLOOKUP($T184&amp;"|P",ASSAY_KEYS,ASSAY_VALUES,""),"")</f>
        <v/>
      </c>
      <c r="BB184" t="str">
        <f ca="1">IFERROR(_xludf.XLOOKUP($T184&amp;"|S",ASSAY_KEYS,ASSAY_VALUES,""),"")</f>
        <v/>
      </c>
      <c r="BC184" t="str">
        <f ca="1">IFERROR(_xludf.XLOOKUP($T184&amp;"|LOI",ASSAY_KEYS,ASSAY_VALUES,""),"")</f>
        <v/>
      </c>
    </row>
    <row r="185" spans="5:55" x14ac:dyDescent="0.25">
      <c r="E185" t="str">
        <f t="shared" si="6"/>
        <v/>
      </c>
      <c r="G185" t="str">
        <f ca="1">IFERROR(_xludf.XLOOKUP(F185,Lists!$A:$A,Lists!$B:$B,"",0),"")</f>
        <v/>
      </c>
      <c r="S185" t="str">
        <f t="shared" si="7"/>
        <v/>
      </c>
      <c r="AQ185" t="str">
        <f t="shared" si="8"/>
        <v/>
      </c>
      <c r="AX185" t="str">
        <f ca="1">IFERROR(_xludf.XLOOKUP($T185&amp;"|Fe",ASSAY_KEYS,ASSAY_VALUES,""),"")</f>
        <v/>
      </c>
      <c r="AY185" t="str">
        <f ca="1">IFERROR(_xludf.XLOOKUP($T185&amp;"|SiO2",ASSAY_KEYS,ASSAY_VALUES,""),"")</f>
        <v/>
      </c>
      <c r="AZ185" t="str">
        <f ca="1">IFERROR(_xludf.XLOOKUP($T185&amp;"|Al2O3",ASSAY_KEYS,ASSAY_VALUES,""),"")</f>
        <v/>
      </c>
      <c r="BA185" t="str">
        <f ca="1">IFERROR(_xludf.XLOOKUP($T185&amp;"|P",ASSAY_KEYS,ASSAY_VALUES,""),"")</f>
        <v/>
      </c>
      <c r="BB185" t="str">
        <f ca="1">IFERROR(_xludf.XLOOKUP($T185&amp;"|S",ASSAY_KEYS,ASSAY_VALUES,""),"")</f>
        <v/>
      </c>
      <c r="BC185" t="str">
        <f ca="1">IFERROR(_xludf.XLOOKUP($T185&amp;"|LOI",ASSAY_KEYS,ASSAY_VALUES,""),"")</f>
        <v/>
      </c>
    </row>
    <row r="186" spans="5:55" x14ac:dyDescent="0.25">
      <c r="E186" t="str">
        <f t="shared" si="6"/>
        <v/>
      </c>
      <c r="G186" t="str">
        <f ca="1">IFERROR(_xludf.XLOOKUP(F186,Lists!$A:$A,Lists!$B:$B,"",0),"")</f>
        <v/>
      </c>
      <c r="S186" t="str">
        <f t="shared" si="7"/>
        <v/>
      </c>
      <c r="AQ186" t="str">
        <f t="shared" si="8"/>
        <v/>
      </c>
      <c r="AX186" t="str">
        <f ca="1">IFERROR(_xludf.XLOOKUP($T186&amp;"|Fe",ASSAY_KEYS,ASSAY_VALUES,""),"")</f>
        <v/>
      </c>
      <c r="AY186" t="str">
        <f ca="1">IFERROR(_xludf.XLOOKUP($T186&amp;"|SiO2",ASSAY_KEYS,ASSAY_VALUES,""),"")</f>
        <v/>
      </c>
      <c r="AZ186" t="str">
        <f ca="1">IFERROR(_xludf.XLOOKUP($T186&amp;"|Al2O3",ASSAY_KEYS,ASSAY_VALUES,""),"")</f>
        <v/>
      </c>
      <c r="BA186" t="str">
        <f ca="1">IFERROR(_xludf.XLOOKUP($T186&amp;"|P",ASSAY_KEYS,ASSAY_VALUES,""),"")</f>
        <v/>
      </c>
      <c r="BB186" t="str">
        <f ca="1">IFERROR(_xludf.XLOOKUP($T186&amp;"|S",ASSAY_KEYS,ASSAY_VALUES,""),"")</f>
        <v/>
      </c>
      <c r="BC186" t="str">
        <f ca="1">IFERROR(_xludf.XLOOKUP($T186&amp;"|LOI",ASSAY_KEYS,ASSAY_VALUES,""),"")</f>
        <v/>
      </c>
    </row>
    <row r="187" spans="5:55" x14ac:dyDescent="0.25">
      <c r="E187" t="str">
        <f t="shared" si="6"/>
        <v/>
      </c>
      <c r="G187" t="str">
        <f ca="1">IFERROR(_xludf.XLOOKUP(F187,Lists!$A:$A,Lists!$B:$B,"",0),"")</f>
        <v/>
      </c>
      <c r="S187" t="str">
        <f t="shared" si="7"/>
        <v/>
      </c>
      <c r="AQ187" t="str">
        <f t="shared" si="8"/>
        <v/>
      </c>
      <c r="AX187" t="str">
        <f ca="1">IFERROR(_xludf.XLOOKUP($T187&amp;"|Fe",ASSAY_KEYS,ASSAY_VALUES,""),"")</f>
        <v/>
      </c>
      <c r="AY187" t="str">
        <f ca="1">IFERROR(_xludf.XLOOKUP($T187&amp;"|SiO2",ASSAY_KEYS,ASSAY_VALUES,""),"")</f>
        <v/>
      </c>
      <c r="AZ187" t="str">
        <f ca="1">IFERROR(_xludf.XLOOKUP($T187&amp;"|Al2O3",ASSAY_KEYS,ASSAY_VALUES,""),"")</f>
        <v/>
      </c>
      <c r="BA187" t="str">
        <f ca="1">IFERROR(_xludf.XLOOKUP($T187&amp;"|P",ASSAY_KEYS,ASSAY_VALUES,""),"")</f>
        <v/>
      </c>
      <c r="BB187" t="str">
        <f ca="1">IFERROR(_xludf.XLOOKUP($T187&amp;"|S",ASSAY_KEYS,ASSAY_VALUES,""),"")</f>
        <v/>
      </c>
      <c r="BC187" t="str">
        <f ca="1">IFERROR(_xludf.XLOOKUP($T187&amp;"|LOI",ASSAY_KEYS,ASSAY_VALUES,""),"")</f>
        <v/>
      </c>
    </row>
    <row r="188" spans="5:55" x14ac:dyDescent="0.25">
      <c r="E188" t="str">
        <f t="shared" si="6"/>
        <v/>
      </c>
      <c r="G188" t="str">
        <f ca="1">IFERROR(_xludf.XLOOKUP(F188,Lists!$A:$A,Lists!$B:$B,"",0),"")</f>
        <v/>
      </c>
      <c r="S188" t="str">
        <f t="shared" si="7"/>
        <v/>
      </c>
      <c r="AQ188" t="str">
        <f t="shared" si="8"/>
        <v/>
      </c>
      <c r="AX188" t="str">
        <f ca="1">IFERROR(_xludf.XLOOKUP($T188&amp;"|Fe",ASSAY_KEYS,ASSAY_VALUES,""),"")</f>
        <v/>
      </c>
      <c r="AY188" t="str">
        <f ca="1">IFERROR(_xludf.XLOOKUP($T188&amp;"|SiO2",ASSAY_KEYS,ASSAY_VALUES,""),"")</f>
        <v/>
      </c>
      <c r="AZ188" t="str">
        <f ca="1">IFERROR(_xludf.XLOOKUP($T188&amp;"|Al2O3",ASSAY_KEYS,ASSAY_VALUES,""),"")</f>
        <v/>
      </c>
      <c r="BA188" t="str">
        <f ca="1">IFERROR(_xludf.XLOOKUP($T188&amp;"|P",ASSAY_KEYS,ASSAY_VALUES,""),"")</f>
        <v/>
      </c>
      <c r="BB188" t="str">
        <f ca="1">IFERROR(_xludf.XLOOKUP($T188&amp;"|S",ASSAY_KEYS,ASSAY_VALUES,""),"")</f>
        <v/>
      </c>
      <c r="BC188" t="str">
        <f ca="1">IFERROR(_xludf.XLOOKUP($T188&amp;"|LOI",ASSAY_KEYS,ASSAY_VALUES,""),"")</f>
        <v/>
      </c>
    </row>
    <row r="189" spans="5:55" x14ac:dyDescent="0.25">
      <c r="E189" t="str">
        <f t="shared" si="6"/>
        <v/>
      </c>
      <c r="G189" t="str">
        <f ca="1">IFERROR(_xludf.XLOOKUP(F189,Lists!$A:$A,Lists!$B:$B,"",0),"")</f>
        <v/>
      </c>
      <c r="S189" t="str">
        <f t="shared" si="7"/>
        <v/>
      </c>
      <c r="AQ189" t="str">
        <f t="shared" si="8"/>
        <v/>
      </c>
      <c r="AX189" t="str">
        <f ca="1">IFERROR(_xludf.XLOOKUP($T189&amp;"|Fe",ASSAY_KEYS,ASSAY_VALUES,""),"")</f>
        <v/>
      </c>
      <c r="AY189" t="str">
        <f ca="1">IFERROR(_xludf.XLOOKUP($T189&amp;"|SiO2",ASSAY_KEYS,ASSAY_VALUES,""),"")</f>
        <v/>
      </c>
      <c r="AZ189" t="str">
        <f ca="1">IFERROR(_xludf.XLOOKUP($T189&amp;"|Al2O3",ASSAY_KEYS,ASSAY_VALUES,""),"")</f>
        <v/>
      </c>
      <c r="BA189" t="str">
        <f ca="1">IFERROR(_xludf.XLOOKUP($T189&amp;"|P",ASSAY_KEYS,ASSAY_VALUES,""),"")</f>
        <v/>
      </c>
      <c r="BB189" t="str">
        <f ca="1">IFERROR(_xludf.XLOOKUP($T189&amp;"|S",ASSAY_KEYS,ASSAY_VALUES,""),"")</f>
        <v/>
      </c>
      <c r="BC189" t="str">
        <f ca="1">IFERROR(_xludf.XLOOKUP($T189&amp;"|LOI",ASSAY_KEYS,ASSAY_VALUES,""),"")</f>
        <v/>
      </c>
    </row>
    <row r="190" spans="5:55" x14ac:dyDescent="0.25">
      <c r="E190" t="str">
        <f t="shared" si="6"/>
        <v/>
      </c>
      <c r="G190" t="str">
        <f ca="1">IFERROR(_xludf.XLOOKUP(F190,Lists!$A:$A,Lists!$B:$B,"",0),"")</f>
        <v/>
      </c>
      <c r="S190" t="str">
        <f t="shared" si="7"/>
        <v/>
      </c>
      <c r="AQ190" t="str">
        <f t="shared" si="8"/>
        <v/>
      </c>
      <c r="AX190" t="str">
        <f ca="1">IFERROR(_xludf.XLOOKUP($T190&amp;"|Fe",ASSAY_KEYS,ASSAY_VALUES,""),"")</f>
        <v/>
      </c>
      <c r="AY190" t="str">
        <f ca="1">IFERROR(_xludf.XLOOKUP($T190&amp;"|SiO2",ASSAY_KEYS,ASSAY_VALUES,""),"")</f>
        <v/>
      </c>
      <c r="AZ190" t="str">
        <f ca="1">IFERROR(_xludf.XLOOKUP($T190&amp;"|Al2O3",ASSAY_KEYS,ASSAY_VALUES,""),"")</f>
        <v/>
      </c>
      <c r="BA190" t="str">
        <f ca="1">IFERROR(_xludf.XLOOKUP($T190&amp;"|P",ASSAY_KEYS,ASSAY_VALUES,""),"")</f>
        <v/>
      </c>
      <c r="BB190" t="str">
        <f ca="1">IFERROR(_xludf.XLOOKUP($T190&amp;"|S",ASSAY_KEYS,ASSAY_VALUES,""),"")</f>
        <v/>
      </c>
      <c r="BC190" t="str">
        <f ca="1">IFERROR(_xludf.XLOOKUP($T190&amp;"|LOI",ASSAY_KEYS,ASSAY_VALUES,""),"")</f>
        <v/>
      </c>
    </row>
    <row r="191" spans="5:55" x14ac:dyDescent="0.25">
      <c r="E191" t="str">
        <f t="shared" si="6"/>
        <v/>
      </c>
      <c r="G191" t="str">
        <f ca="1">IFERROR(_xludf.XLOOKUP(F191,Lists!$A:$A,Lists!$B:$B,"",0),"")</f>
        <v/>
      </c>
      <c r="S191" t="str">
        <f t="shared" si="7"/>
        <v/>
      </c>
      <c r="AQ191" t="str">
        <f t="shared" si="8"/>
        <v/>
      </c>
      <c r="AX191" t="str">
        <f ca="1">IFERROR(_xludf.XLOOKUP($T191&amp;"|Fe",ASSAY_KEYS,ASSAY_VALUES,""),"")</f>
        <v/>
      </c>
      <c r="AY191" t="str">
        <f ca="1">IFERROR(_xludf.XLOOKUP($T191&amp;"|SiO2",ASSAY_KEYS,ASSAY_VALUES,""),"")</f>
        <v/>
      </c>
      <c r="AZ191" t="str">
        <f ca="1">IFERROR(_xludf.XLOOKUP($T191&amp;"|Al2O3",ASSAY_KEYS,ASSAY_VALUES,""),"")</f>
        <v/>
      </c>
      <c r="BA191" t="str">
        <f ca="1">IFERROR(_xludf.XLOOKUP($T191&amp;"|P",ASSAY_KEYS,ASSAY_VALUES,""),"")</f>
        <v/>
      </c>
      <c r="BB191" t="str">
        <f ca="1">IFERROR(_xludf.XLOOKUP($T191&amp;"|S",ASSAY_KEYS,ASSAY_VALUES,""),"")</f>
        <v/>
      </c>
      <c r="BC191" t="str">
        <f ca="1">IFERROR(_xludf.XLOOKUP($T191&amp;"|LOI",ASSAY_KEYS,ASSAY_VALUES,""),"")</f>
        <v/>
      </c>
    </row>
    <row r="192" spans="5:55" x14ac:dyDescent="0.25">
      <c r="E192" t="str">
        <f t="shared" si="6"/>
        <v/>
      </c>
      <c r="G192" t="str">
        <f ca="1">IFERROR(_xludf.XLOOKUP(F192,Lists!$A:$A,Lists!$B:$B,"",0),"")</f>
        <v/>
      </c>
      <c r="S192" t="str">
        <f t="shared" si="7"/>
        <v/>
      </c>
      <c r="AQ192" t="str">
        <f t="shared" si="8"/>
        <v/>
      </c>
      <c r="AX192" t="str">
        <f ca="1">IFERROR(_xludf.XLOOKUP($T192&amp;"|Fe",ASSAY_KEYS,ASSAY_VALUES,""),"")</f>
        <v/>
      </c>
      <c r="AY192" t="str">
        <f ca="1">IFERROR(_xludf.XLOOKUP($T192&amp;"|SiO2",ASSAY_KEYS,ASSAY_VALUES,""),"")</f>
        <v/>
      </c>
      <c r="AZ192" t="str">
        <f ca="1">IFERROR(_xludf.XLOOKUP($T192&amp;"|Al2O3",ASSAY_KEYS,ASSAY_VALUES,""),"")</f>
        <v/>
      </c>
      <c r="BA192" t="str">
        <f ca="1">IFERROR(_xludf.XLOOKUP($T192&amp;"|P",ASSAY_KEYS,ASSAY_VALUES,""),"")</f>
        <v/>
      </c>
      <c r="BB192" t="str">
        <f ca="1">IFERROR(_xludf.XLOOKUP($T192&amp;"|S",ASSAY_KEYS,ASSAY_VALUES,""),"")</f>
        <v/>
      </c>
      <c r="BC192" t="str">
        <f ca="1">IFERROR(_xludf.XLOOKUP($T192&amp;"|LOI",ASSAY_KEYS,ASSAY_VALUES,""),"")</f>
        <v/>
      </c>
    </row>
    <row r="193" spans="5:55" x14ac:dyDescent="0.25">
      <c r="E193" t="str">
        <f t="shared" si="6"/>
        <v/>
      </c>
      <c r="G193" t="str">
        <f ca="1">IFERROR(_xludf.XLOOKUP(F193,Lists!$A:$A,Lists!$B:$B,"",0),"")</f>
        <v/>
      </c>
      <c r="S193" t="str">
        <f t="shared" si="7"/>
        <v/>
      </c>
      <c r="AQ193" t="str">
        <f t="shared" si="8"/>
        <v/>
      </c>
      <c r="AX193" t="str">
        <f ca="1">IFERROR(_xludf.XLOOKUP($T193&amp;"|Fe",ASSAY_KEYS,ASSAY_VALUES,""),"")</f>
        <v/>
      </c>
      <c r="AY193" t="str">
        <f ca="1">IFERROR(_xludf.XLOOKUP($T193&amp;"|SiO2",ASSAY_KEYS,ASSAY_VALUES,""),"")</f>
        <v/>
      </c>
      <c r="AZ193" t="str">
        <f ca="1">IFERROR(_xludf.XLOOKUP($T193&amp;"|Al2O3",ASSAY_KEYS,ASSAY_VALUES,""),"")</f>
        <v/>
      </c>
      <c r="BA193" t="str">
        <f ca="1">IFERROR(_xludf.XLOOKUP($T193&amp;"|P",ASSAY_KEYS,ASSAY_VALUES,""),"")</f>
        <v/>
      </c>
      <c r="BB193" t="str">
        <f ca="1">IFERROR(_xludf.XLOOKUP($T193&amp;"|S",ASSAY_KEYS,ASSAY_VALUES,""),"")</f>
        <v/>
      </c>
      <c r="BC193" t="str">
        <f ca="1">IFERROR(_xludf.XLOOKUP($T193&amp;"|LOI",ASSAY_KEYS,ASSAY_VALUES,""),"")</f>
        <v/>
      </c>
    </row>
    <row r="194" spans="5:55" x14ac:dyDescent="0.25">
      <c r="E194" t="str">
        <f t="shared" ref="E194:E257" si="9">IF(AND(C194&lt;&gt;"",D194&lt;&gt;""),D194-C194,"")</f>
        <v/>
      </c>
      <c r="G194" t="str">
        <f ca="1">IFERROR(_xludf.XLOOKUP(F194,Lists!$A:$A,Lists!$B:$B,"",0),"")</f>
        <v/>
      </c>
      <c r="S194" t="str">
        <f t="shared" ref="S194:S257" si="10">IF(COUNTA(N194:P194)=3,N194+O194+P194,"")</f>
        <v/>
      </c>
      <c r="AQ194" t="str">
        <f t="shared" ref="AQ194:AQ257" si="11">IF(AND(AN194&lt;&gt;"",AO194&lt;&gt;"",AP194&lt;&gt;""),AP194/(AO194-AN194)*100,"")</f>
        <v/>
      </c>
      <c r="AX194" t="str">
        <f ca="1">IFERROR(_xludf.XLOOKUP($T194&amp;"|Fe",ASSAY_KEYS,ASSAY_VALUES,""),"")</f>
        <v/>
      </c>
      <c r="AY194" t="str">
        <f ca="1">IFERROR(_xludf.XLOOKUP($T194&amp;"|SiO2",ASSAY_KEYS,ASSAY_VALUES,""),"")</f>
        <v/>
      </c>
      <c r="AZ194" t="str">
        <f ca="1">IFERROR(_xludf.XLOOKUP($T194&amp;"|Al2O3",ASSAY_KEYS,ASSAY_VALUES,""),"")</f>
        <v/>
      </c>
      <c r="BA194" t="str">
        <f ca="1">IFERROR(_xludf.XLOOKUP($T194&amp;"|P",ASSAY_KEYS,ASSAY_VALUES,""),"")</f>
        <v/>
      </c>
      <c r="BB194" t="str">
        <f ca="1">IFERROR(_xludf.XLOOKUP($T194&amp;"|S",ASSAY_KEYS,ASSAY_VALUES,""),"")</f>
        <v/>
      </c>
      <c r="BC194" t="str">
        <f ca="1">IFERROR(_xludf.XLOOKUP($T194&amp;"|LOI",ASSAY_KEYS,ASSAY_VALUES,""),"")</f>
        <v/>
      </c>
    </row>
    <row r="195" spans="5:55" x14ac:dyDescent="0.25">
      <c r="E195" t="str">
        <f t="shared" si="9"/>
        <v/>
      </c>
      <c r="G195" t="str">
        <f ca="1">IFERROR(_xludf.XLOOKUP(F195,Lists!$A:$A,Lists!$B:$B,"",0),"")</f>
        <v/>
      </c>
      <c r="S195" t="str">
        <f t="shared" si="10"/>
        <v/>
      </c>
      <c r="AQ195" t="str">
        <f t="shared" si="11"/>
        <v/>
      </c>
      <c r="AX195" t="str">
        <f ca="1">IFERROR(_xludf.XLOOKUP($T195&amp;"|Fe",ASSAY_KEYS,ASSAY_VALUES,""),"")</f>
        <v/>
      </c>
      <c r="AY195" t="str">
        <f ca="1">IFERROR(_xludf.XLOOKUP($T195&amp;"|SiO2",ASSAY_KEYS,ASSAY_VALUES,""),"")</f>
        <v/>
      </c>
      <c r="AZ195" t="str">
        <f ca="1">IFERROR(_xludf.XLOOKUP($T195&amp;"|Al2O3",ASSAY_KEYS,ASSAY_VALUES,""),"")</f>
        <v/>
      </c>
      <c r="BA195" t="str">
        <f ca="1">IFERROR(_xludf.XLOOKUP($T195&amp;"|P",ASSAY_KEYS,ASSAY_VALUES,""),"")</f>
        <v/>
      </c>
      <c r="BB195" t="str">
        <f ca="1">IFERROR(_xludf.XLOOKUP($T195&amp;"|S",ASSAY_KEYS,ASSAY_VALUES,""),"")</f>
        <v/>
      </c>
      <c r="BC195" t="str">
        <f ca="1">IFERROR(_xludf.XLOOKUP($T195&amp;"|LOI",ASSAY_KEYS,ASSAY_VALUES,""),"")</f>
        <v/>
      </c>
    </row>
    <row r="196" spans="5:55" x14ac:dyDescent="0.25">
      <c r="E196" t="str">
        <f t="shared" si="9"/>
        <v/>
      </c>
      <c r="G196" t="str">
        <f ca="1">IFERROR(_xludf.XLOOKUP(F196,Lists!$A:$A,Lists!$B:$B,"",0),"")</f>
        <v/>
      </c>
      <c r="S196" t="str">
        <f t="shared" si="10"/>
        <v/>
      </c>
      <c r="AQ196" t="str">
        <f t="shared" si="11"/>
        <v/>
      </c>
      <c r="AX196" t="str">
        <f ca="1">IFERROR(_xludf.XLOOKUP($T196&amp;"|Fe",ASSAY_KEYS,ASSAY_VALUES,""),"")</f>
        <v/>
      </c>
      <c r="AY196" t="str">
        <f ca="1">IFERROR(_xludf.XLOOKUP($T196&amp;"|SiO2",ASSAY_KEYS,ASSAY_VALUES,""),"")</f>
        <v/>
      </c>
      <c r="AZ196" t="str">
        <f ca="1">IFERROR(_xludf.XLOOKUP($T196&amp;"|Al2O3",ASSAY_KEYS,ASSAY_VALUES,""),"")</f>
        <v/>
      </c>
      <c r="BA196" t="str">
        <f ca="1">IFERROR(_xludf.XLOOKUP($T196&amp;"|P",ASSAY_KEYS,ASSAY_VALUES,""),"")</f>
        <v/>
      </c>
      <c r="BB196" t="str">
        <f ca="1">IFERROR(_xludf.XLOOKUP($T196&amp;"|S",ASSAY_KEYS,ASSAY_VALUES,""),"")</f>
        <v/>
      </c>
      <c r="BC196" t="str">
        <f ca="1">IFERROR(_xludf.XLOOKUP($T196&amp;"|LOI",ASSAY_KEYS,ASSAY_VALUES,""),"")</f>
        <v/>
      </c>
    </row>
    <row r="197" spans="5:55" x14ac:dyDescent="0.25">
      <c r="E197" t="str">
        <f t="shared" si="9"/>
        <v/>
      </c>
      <c r="G197" t="str">
        <f ca="1">IFERROR(_xludf.XLOOKUP(F197,Lists!$A:$A,Lists!$B:$B,"",0),"")</f>
        <v/>
      </c>
      <c r="S197" t="str">
        <f t="shared" si="10"/>
        <v/>
      </c>
      <c r="AQ197" t="str">
        <f t="shared" si="11"/>
        <v/>
      </c>
      <c r="AX197" t="str">
        <f ca="1">IFERROR(_xludf.XLOOKUP($T197&amp;"|Fe",ASSAY_KEYS,ASSAY_VALUES,""),"")</f>
        <v/>
      </c>
      <c r="AY197" t="str">
        <f ca="1">IFERROR(_xludf.XLOOKUP($T197&amp;"|SiO2",ASSAY_KEYS,ASSAY_VALUES,""),"")</f>
        <v/>
      </c>
      <c r="AZ197" t="str">
        <f ca="1">IFERROR(_xludf.XLOOKUP($T197&amp;"|Al2O3",ASSAY_KEYS,ASSAY_VALUES,""),"")</f>
        <v/>
      </c>
      <c r="BA197" t="str">
        <f ca="1">IFERROR(_xludf.XLOOKUP($T197&amp;"|P",ASSAY_KEYS,ASSAY_VALUES,""),"")</f>
        <v/>
      </c>
      <c r="BB197" t="str">
        <f ca="1">IFERROR(_xludf.XLOOKUP($T197&amp;"|S",ASSAY_KEYS,ASSAY_VALUES,""),"")</f>
        <v/>
      </c>
      <c r="BC197" t="str">
        <f ca="1">IFERROR(_xludf.XLOOKUP($T197&amp;"|LOI",ASSAY_KEYS,ASSAY_VALUES,""),"")</f>
        <v/>
      </c>
    </row>
    <row r="198" spans="5:55" x14ac:dyDescent="0.25">
      <c r="E198" t="str">
        <f t="shared" si="9"/>
        <v/>
      </c>
      <c r="G198" t="str">
        <f ca="1">IFERROR(_xludf.XLOOKUP(F198,Lists!$A:$A,Lists!$B:$B,"",0),"")</f>
        <v/>
      </c>
      <c r="S198" t="str">
        <f t="shared" si="10"/>
        <v/>
      </c>
      <c r="AQ198" t="str">
        <f t="shared" si="11"/>
        <v/>
      </c>
      <c r="AX198" t="str">
        <f ca="1">IFERROR(_xludf.XLOOKUP($T198&amp;"|Fe",ASSAY_KEYS,ASSAY_VALUES,""),"")</f>
        <v/>
      </c>
      <c r="AY198" t="str">
        <f ca="1">IFERROR(_xludf.XLOOKUP($T198&amp;"|SiO2",ASSAY_KEYS,ASSAY_VALUES,""),"")</f>
        <v/>
      </c>
      <c r="AZ198" t="str">
        <f ca="1">IFERROR(_xludf.XLOOKUP($T198&amp;"|Al2O3",ASSAY_KEYS,ASSAY_VALUES,""),"")</f>
        <v/>
      </c>
      <c r="BA198" t="str">
        <f ca="1">IFERROR(_xludf.XLOOKUP($T198&amp;"|P",ASSAY_KEYS,ASSAY_VALUES,""),"")</f>
        <v/>
      </c>
      <c r="BB198" t="str">
        <f ca="1">IFERROR(_xludf.XLOOKUP($T198&amp;"|S",ASSAY_KEYS,ASSAY_VALUES,""),"")</f>
        <v/>
      </c>
      <c r="BC198" t="str">
        <f ca="1">IFERROR(_xludf.XLOOKUP($T198&amp;"|LOI",ASSAY_KEYS,ASSAY_VALUES,""),"")</f>
        <v/>
      </c>
    </row>
    <row r="199" spans="5:55" x14ac:dyDescent="0.25">
      <c r="E199" t="str">
        <f t="shared" si="9"/>
        <v/>
      </c>
      <c r="G199" t="str">
        <f ca="1">IFERROR(_xludf.XLOOKUP(F199,Lists!$A:$A,Lists!$B:$B,"",0),"")</f>
        <v/>
      </c>
      <c r="S199" t="str">
        <f t="shared" si="10"/>
        <v/>
      </c>
      <c r="AQ199" t="str">
        <f t="shared" si="11"/>
        <v/>
      </c>
      <c r="AX199" t="str">
        <f ca="1">IFERROR(_xludf.XLOOKUP($T199&amp;"|Fe",ASSAY_KEYS,ASSAY_VALUES,""),"")</f>
        <v/>
      </c>
      <c r="AY199" t="str">
        <f ca="1">IFERROR(_xludf.XLOOKUP($T199&amp;"|SiO2",ASSAY_KEYS,ASSAY_VALUES,""),"")</f>
        <v/>
      </c>
      <c r="AZ199" t="str">
        <f ca="1">IFERROR(_xludf.XLOOKUP($T199&amp;"|Al2O3",ASSAY_KEYS,ASSAY_VALUES,""),"")</f>
        <v/>
      </c>
      <c r="BA199" t="str">
        <f ca="1">IFERROR(_xludf.XLOOKUP($T199&amp;"|P",ASSAY_KEYS,ASSAY_VALUES,""),"")</f>
        <v/>
      </c>
      <c r="BB199" t="str">
        <f ca="1">IFERROR(_xludf.XLOOKUP($T199&amp;"|S",ASSAY_KEYS,ASSAY_VALUES,""),"")</f>
        <v/>
      </c>
      <c r="BC199" t="str">
        <f ca="1">IFERROR(_xludf.XLOOKUP($T199&amp;"|LOI",ASSAY_KEYS,ASSAY_VALUES,""),"")</f>
        <v/>
      </c>
    </row>
    <row r="200" spans="5:55" x14ac:dyDescent="0.25">
      <c r="E200" t="str">
        <f t="shared" si="9"/>
        <v/>
      </c>
      <c r="G200" t="str">
        <f ca="1">IFERROR(_xludf.XLOOKUP(F200,Lists!$A:$A,Lists!$B:$B,"",0),"")</f>
        <v/>
      </c>
      <c r="S200" t="str">
        <f t="shared" si="10"/>
        <v/>
      </c>
      <c r="AQ200" t="str">
        <f t="shared" si="11"/>
        <v/>
      </c>
      <c r="AX200" t="str">
        <f ca="1">IFERROR(_xludf.XLOOKUP($T200&amp;"|Fe",ASSAY_KEYS,ASSAY_VALUES,""),"")</f>
        <v/>
      </c>
      <c r="AY200" t="str">
        <f ca="1">IFERROR(_xludf.XLOOKUP($T200&amp;"|SiO2",ASSAY_KEYS,ASSAY_VALUES,""),"")</f>
        <v/>
      </c>
      <c r="AZ200" t="str">
        <f ca="1">IFERROR(_xludf.XLOOKUP($T200&amp;"|Al2O3",ASSAY_KEYS,ASSAY_VALUES,""),"")</f>
        <v/>
      </c>
      <c r="BA200" t="str">
        <f ca="1">IFERROR(_xludf.XLOOKUP($T200&amp;"|P",ASSAY_KEYS,ASSAY_VALUES,""),"")</f>
        <v/>
      </c>
      <c r="BB200" t="str">
        <f ca="1">IFERROR(_xludf.XLOOKUP($T200&amp;"|S",ASSAY_KEYS,ASSAY_VALUES,""),"")</f>
        <v/>
      </c>
      <c r="BC200" t="str">
        <f ca="1">IFERROR(_xludf.XLOOKUP($T200&amp;"|LOI",ASSAY_KEYS,ASSAY_VALUES,""),"")</f>
        <v/>
      </c>
    </row>
    <row r="201" spans="5:55" x14ac:dyDescent="0.25">
      <c r="E201" t="str">
        <f t="shared" si="9"/>
        <v/>
      </c>
      <c r="G201" t="str">
        <f ca="1">IFERROR(_xludf.XLOOKUP(F201,Lists!$A:$A,Lists!$B:$B,"",0),"")</f>
        <v/>
      </c>
      <c r="S201" t="str">
        <f t="shared" si="10"/>
        <v/>
      </c>
      <c r="AQ201" t="str">
        <f t="shared" si="11"/>
        <v/>
      </c>
      <c r="AX201" t="str">
        <f ca="1">IFERROR(_xludf.XLOOKUP($T201&amp;"|Fe",ASSAY_KEYS,ASSAY_VALUES,""),"")</f>
        <v/>
      </c>
      <c r="AY201" t="str">
        <f ca="1">IFERROR(_xludf.XLOOKUP($T201&amp;"|SiO2",ASSAY_KEYS,ASSAY_VALUES,""),"")</f>
        <v/>
      </c>
      <c r="AZ201" t="str">
        <f ca="1">IFERROR(_xludf.XLOOKUP($T201&amp;"|Al2O3",ASSAY_KEYS,ASSAY_VALUES,""),"")</f>
        <v/>
      </c>
      <c r="BA201" t="str">
        <f ca="1">IFERROR(_xludf.XLOOKUP($T201&amp;"|P",ASSAY_KEYS,ASSAY_VALUES,""),"")</f>
        <v/>
      </c>
      <c r="BB201" t="str">
        <f ca="1">IFERROR(_xludf.XLOOKUP($T201&amp;"|S",ASSAY_KEYS,ASSAY_VALUES,""),"")</f>
        <v/>
      </c>
      <c r="BC201" t="str">
        <f ca="1">IFERROR(_xludf.XLOOKUP($T201&amp;"|LOI",ASSAY_KEYS,ASSAY_VALUES,""),"")</f>
        <v/>
      </c>
    </row>
    <row r="202" spans="5:55" x14ac:dyDescent="0.25">
      <c r="E202" t="str">
        <f t="shared" si="9"/>
        <v/>
      </c>
      <c r="G202" t="str">
        <f ca="1">IFERROR(_xludf.XLOOKUP(F202,Lists!$A:$A,Lists!$B:$B,"",0),"")</f>
        <v/>
      </c>
      <c r="S202" t="str">
        <f t="shared" si="10"/>
        <v/>
      </c>
      <c r="AQ202" t="str">
        <f t="shared" si="11"/>
        <v/>
      </c>
      <c r="AX202" t="str">
        <f ca="1">IFERROR(_xludf.XLOOKUP($T202&amp;"|Fe",ASSAY_KEYS,ASSAY_VALUES,""),"")</f>
        <v/>
      </c>
      <c r="AY202" t="str">
        <f ca="1">IFERROR(_xludf.XLOOKUP($T202&amp;"|SiO2",ASSAY_KEYS,ASSAY_VALUES,""),"")</f>
        <v/>
      </c>
      <c r="AZ202" t="str">
        <f ca="1">IFERROR(_xludf.XLOOKUP($T202&amp;"|Al2O3",ASSAY_KEYS,ASSAY_VALUES,""),"")</f>
        <v/>
      </c>
      <c r="BA202" t="str">
        <f ca="1">IFERROR(_xludf.XLOOKUP($T202&amp;"|P",ASSAY_KEYS,ASSAY_VALUES,""),"")</f>
        <v/>
      </c>
      <c r="BB202" t="str">
        <f ca="1">IFERROR(_xludf.XLOOKUP($T202&amp;"|S",ASSAY_KEYS,ASSAY_VALUES,""),"")</f>
        <v/>
      </c>
      <c r="BC202" t="str">
        <f ca="1">IFERROR(_xludf.XLOOKUP($T202&amp;"|LOI",ASSAY_KEYS,ASSAY_VALUES,""),"")</f>
        <v/>
      </c>
    </row>
    <row r="203" spans="5:55" x14ac:dyDescent="0.25">
      <c r="E203" t="str">
        <f t="shared" si="9"/>
        <v/>
      </c>
      <c r="G203" t="str">
        <f ca="1">IFERROR(_xludf.XLOOKUP(F203,Lists!$A:$A,Lists!$B:$B,"",0),"")</f>
        <v/>
      </c>
      <c r="S203" t="str">
        <f t="shared" si="10"/>
        <v/>
      </c>
      <c r="AQ203" t="str">
        <f t="shared" si="11"/>
        <v/>
      </c>
      <c r="AX203" t="str">
        <f ca="1">IFERROR(_xludf.XLOOKUP($T203&amp;"|Fe",ASSAY_KEYS,ASSAY_VALUES,""),"")</f>
        <v/>
      </c>
      <c r="AY203" t="str">
        <f ca="1">IFERROR(_xludf.XLOOKUP($T203&amp;"|SiO2",ASSAY_KEYS,ASSAY_VALUES,""),"")</f>
        <v/>
      </c>
      <c r="AZ203" t="str">
        <f ca="1">IFERROR(_xludf.XLOOKUP($T203&amp;"|Al2O3",ASSAY_KEYS,ASSAY_VALUES,""),"")</f>
        <v/>
      </c>
      <c r="BA203" t="str">
        <f ca="1">IFERROR(_xludf.XLOOKUP($T203&amp;"|P",ASSAY_KEYS,ASSAY_VALUES,""),"")</f>
        <v/>
      </c>
      <c r="BB203" t="str">
        <f ca="1">IFERROR(_xludf.XLOOKUP($T203&amp;"|S",ASSAY_KEYS,ASSAY_VALUES,""),"")</f>
        <v/>
      </c>
      <c r="BC203" t="str">
        <f ca="1">IFERROR(_xludf.XLOOKUP($T203&amp;"|LOI",ASSAY_KEYS,ASSAY_VALUES,""),"")</f>
        <v/>
      </c>
    </row>
    <row r="204" spans="5:55" x14ac:dyDescent="0.25">
      <c r="E204" t="str">
        <f t="shared" si="9"/>
        <v/>
      </c>
      <c r="G204" t="str">
        <f ca="1">IFERROR(_xludf.XLOOKUP(F204,Lists!$A:$A,Lists!$B:$B,"",0),"")</f>
        <v/>
      </c>
      <c r="S204" t="str">
        <f t="shared" si="10"/>
        <v/>
      </c>
      <c r="AQ204" t="str">
        <f t="shared" si="11"/>
        <v/>
      </c>
      <c r="AX204" t="str">
        <f ca="1">IFERROR(_xludf.XLOOKUP($T204&amp;"|Fe",ASSAY_KEYS,ASSAY_VALUES,""),"")</f>
        <v/>
      </c>
      <c r="AY204" t="str">
        <f ca="1">IFERROR(_xludf.XLOOKUP($T204&amp;"|SiO2",ASSAY_KEYS,ASSAY_VALUES,""),"")</f>
        <v/>
      </c>
      <c r="AZ204" t="str">
        <f ca="1">IFERROR(_xludf.XLOOKUP($T204&amp;"|Al2O3",ASSAY_KEYS,ASSAY_VALUES,""),"")</f>
        <v/>
      </c>
      <c r="BA204" t="str">
        <f ca="1">IFERROR(_xludf.XLOOKUP($T204&amp;"|P",ASSAY_KEYS,ASSAY_VALUES,""),"")</f>
        <v/>
      </c>
      <c r="BB204" t="str">
        <f ca="1">IFERROR(_xludf.XLOOKUP($T204&amp;"|S",ASSAY_KEYS,ASSAY_VALUES,""),"")</f>
        <v/>
      </c>
      <c r="BC204" t="str">
        <f ca="1">IFERROR(_xludf.XLOOKUP($T204&amp;"|LOI",ASSAY_KEYS,ASSAY_VALUES,""),"")</f>
        <v/>
      </c>
    </row>
    <row r="205" spans="5:55" x14ac:dyDescent="0.25">
      <c r="E205" t="str">
        <f t="shared" si="9"/>
        <v/>
      </c>
      <c r="G205" t="str">
        <f ca="1">IFERROR(_xludf.XLOOKUP(F205,Lists!$A:$A,Lists!$B:$B,"",0),"")</f>
        <v/>
      </c>
      <c r="S205" t="str">
        <f t="shared" si="10"/>
        <v/>
      </c>
      <c r="AQ205" t="str">
        <f t="shared" si="11"/>
        <v/>
      </c>
      <c r="AX205" t="str">
        <f ca="1">IFERROR(_xludf.XLOOKUP($T205&amp;"|Fe",ASSAY_KEYS,ASSAY_VALUES,""),"")</f>
        <v/>
      </c>
      <c r="AY205" t="str">
        <f ca="1">IFERROR(_xludf.XLOOKUP($T205&amp;"|SiO2",ASSAY_KEYS,ASSAY_VALUES,""),"")</f>
        <v/>
      </c>
      <c r="AZ205" t="str">
        <f ca="1">IFERROR(_xludf.XLOOKUP($T205&amp;"|Al2O3",ASSAY_KEYS,ASSAY_VALUES,""),"")</f>
        <v/>
      </c>
      <c r="BA205" t="str">
        <f ca="1">IFERROR(_xludf.XLOOKUP($T205&amp;"|P",ASSAY_KEYS,ASSAY_VALUES,""),"")</f>
        <v/>
      </c>
      <c r="BB205" t="str">
        <f ca="1">IFERROR(_xludf.XLOOKUP($T205&amp;"|S",ASSAY_KEYS,ASSAY_VALUES,""),"")</f>
        <v/>
      </c>
      <c r="BC205" t="str">
        <f ca="1">IFERROR(_xludf.XLOOKUP($T205&amp;"|LOI",ASSAY_KEYS,ASSAY_VALUES,""),"")</f>
        <v/>
      </c>
    </row>
    <row r="206" spans="5:55" x14ac:dyDescent="0.25">
      <c r="E206" t="str">
        <f t="shared" si="9"/>
        <v/>
      </c>
      <c r="G206" t="str">
        <f ca="1">IFERROR(_xludf.XLOOKUP(F206,Lists!$A:$A,Lists!$B:$B,"",0),"")</f>
        <v/>
      </c>
      <c r="S206" t="str">
        <f t="shared" si="10"/>
        <v/>
      </c>
      <c r="AQ206" t="str">
        <f t="shared" si="11"/>
        <v/>
      </c>
      <c r="AX206" t="str">
        <f ca="1">IFERROR(_xludf.XLOOKUP($T206&amp;"|Fe",ASSAY_KEYS,ASSAY_VALUES,""),"")</f>
        <v/>
      </c>
      <c r="AY206" t="str">
        <f ca="1">IFERROR(_xludf.XLOOKUP($T206&amp;"|SiO2",ASSAY_KEYS,ASSAY_VALUES,""),"")</f>
        <v/>
      </c>
      <c r="AZ206" t="str">
        <f ca="1">IFERROR(_xludf.XLOOKUP($T206&amp;"|Al2O3",ASSAY_KEYS,ASSAY_VALUES,""),"")</f>
        <v/>
      </c>
      <c r="BA206" t="str">
        <f ca="1">IFERROR(_xludf.XLOOKUP($T206&amp;"|P",ASSAY_KEYS,ASSAY_VALUES,""),"")</f>
        <v/>
      </c>
      <c r="BB206" t="str">
        <f ca="1">IFERROR(_xludf.XLOOKUP($T206&amp;"|S",ASSAY_KEYS,ASSAY_VALUES,""),"")</f>
        <v/>
      </c>
      <c r="BC206" t="str">
        <f ca="1">IFERROR(_xludf.XLOOKUP($T206&amp;"|LOI",ASSAY_KEYS,ASSAY_VALUES,""),"")</f>
        <v/>
      </c>
    </row>
    <row r="207" spans="5:55" x14ac:dyDescent="0.25">
      <c r="E207" t="str">
        <f t="shared" si="9"/>
        <v/>
      </c>
      <c r="G207" t="str">
        <f ca="1">IFERROR(_xludf.XLOOKUP(F207,Lists!$A:$A,Lists!$B:$B,"",0),"")</f>
        <v/>
      </c>
      <c r="S207" t="str">
        <f t="shared" si="10"/>
        <v/>
      </c>
      <c r="AQ207" t="str">
        <f t="shared" si="11"/>
        <v/>
      </c>
      <c r="AX207" t="str">
        <f ca="1">IFERROR(_xludf.XLOOKUP($T207&amp;"|Fe",ASSAY_KEYS,ASSAY_VALUES,""),"")</f>
        <v/>
      </c>
      <c r="AY207" t="str">
        <f ca="1">IFERROR(_xludf.XLOOKUP($T207&amp;"|SiO2",ASSAY_KEYS,ASSAY_VALUES,""),"")</f>
        <v/>
      </c>
      <c r="AZ207" t="str">
        <f ca="1">IFERROR(_xludf.XLOOKUP($T207&amp;"|Al2O3",ASSAY_KEYS,ASSAY_VALUES,""),"")</f>
        <v/>
      </c>
      <c r="BA207" t="str">
        <f ca="1">IFERROR(_xludf.XLOOKUP($T207&amp;"|P",ASSAY_KEYS,ASSAY_VALUES,""),"")</f>
        <v/>
      </c>
      <c r="BB207" t="str">
        <f ca="1">IFERROR(_xludf.XLOOKUP($T207&amp;"|S",ASSAY_KEYS,ASSAY_VALUES,""),"")</f>
        <v/>
      </c>
      <c r="BC207" t="str">
        <f ca="1">IFERROR(_xludf.XLOOKUP($T207&amp;"|LOI",ASSAY_KEYS,ASSAY_VALUES,""),"")</f>
        <v/>
      </c>
    </row>
    <row r="208" spans="5:55" x14ac:dyDescent="0.25">
      <c r="E208" t="str">
        <f t="shared" si="9"/>
        <v/>
      </c>
      <c r="G208" t="str">
        <f ca="1">IFERROR(_xludf.XLOOKUP(F208,Lists!$A:$A,Lists!$B:$B,"",0),"")</f>
        <v/>
      </c>
      <c r="S208" t="str">
        <f t="shared" si="10"/>
        <v/>
      </c>
      <c r="AQ208" t="str">
        <f t="shared" si="11"/>
        <v/>
      </c>
      <c r="AX208" t="str">
        <f ca="1">IFERROR(_xludf.XLOOKUP($T208&amp;"|Fe",ASSAY_KEYS,ASSAY_VALUES,""),"")</f>
        <v/>
      </c>
      <c r="AY208" t="str">
        <f ca="1">IFERROR(_xludf.XLOOKUP($T208&amp;"|SiO2",ASSAY_KEYS,ASSAY_VALUES,""),"")</f>
        <v/>
      </c>
      <c r="AZ208" t="str">
        <f ca="1">IFERROR(_xludf.XLOOKUP($T208&amp;"|Al2O3",ASSAY_KEYS,ASSAY_VALUES,""),"")</f>
        <v/>
      </c>
      <c r="BA208" t="str">
        <f ca="1">IFERROR(_xludf.XLOOKUP($T208&amp;"|P",ASSAY_KEYS,ASSAY_VALUES,""),"")</f>
        <v/>
      </c>
      <c r="BB208" t="str">
        <f ca="1">IFERROR(_xludf.XLOOKUP($T208&amp;"|S",ASSAY_KEYS,ASSAY_VALUES,""),"")</f>
        <v/>
      </c>
      <c r="BC208" t="str">
        <f ca="1">IFERROR(_xludf.XLOOKUP($T208&amp;"|LOI",ASSAY_KEYS,ASSAY_VALUES,""),"")</f>
        <v/>
      </c>
    </row>
    <row r="209" spans="5:55" x14ac:dyDescent="0.25">
      <c r="E209" t="str">
        <f t="shared" si="9"/>
        <v/>
      </c>
      <c r="G209" t="str">
        <f ca="1">IFERROR(_xludf.XLOOKUP(F209,Lists!$A:$A,Lists!$B:$B,"",0),"")</f>
        <v/>
      </c>
      <c r="S209" t="str">
        <f t="shared" si="10"/>
        <v/>
      </c>
      <c r="AQ209" t="str">
        <f t="shared" si="11"/>
        <v/>
      </c>
      <c r="AX209" t="str">
        <f ca="1">IFERROR(_xludf.XLOOKUP($T209&amp;"|Fe",ASSAY_KEYS,ASSAY_VALUES,""),"")</f>
        <v/>
      </c>
      <c r="AY209" t="str">
        <f ca="1">IFERROR(_xludf.XLOOKUP($T209&amp;"|SiO2",ASSAY_KEYS,ASSAY_VALUES,""),"")</f>
        <v/>
      </c>
      <c r="AZ209" t="str">
        <f ca="1">IFERROR(_xludf.XLOOKUP($T209&amp;"|Al2O3",ASSAY_KEYS,ASSAY_VALUES,""),"")</f>
        <v/>
      </c>
      <c r="BA209" t="str">
        <f ca="1">IFERROR(_xludf.XLOOKUP($T209&amp;"|P",ASSAY_KEYS,ASSAY_VALUES,""),"")</f>
        <v/>
      </c>
      <c r="BB209" t="str">
        <f ca="1">IFERROR(_xludf.XLOOKUP($T209&amp;"|S",ASSAY_KEYS,ASSAY_VALUES,""),"")</f>
        <v/>
      </c>
      <c r="BC209" t="str">
        <f ca="1">IFERROR(_xludf.XLOOKUP($T209&amp;"|LOI",ASSAY_KEYS,ASSAY_VALUES,""),"")</f>
        <v/>
      </c>
    </row>
    <row r="210" spans="5:55" x14ac:dyDescent="0.25">
      <c r="E210" t="str">
        <f t="shared" si="9"/>
        <v/>
      </c>
      <c r="G210" t="str">
        <f ca="1">IFERROR(_xludf.XLOOKUP(F210,Lists!$A:$A,Lists!$B:$B,"",0),"")</f>
        <v/>
      </c>
      <c r="S210" t="str">
        <f t="shared" si="10"/>
        <v/>
      </c>
      <c r="AQ210" t="str">
        <f t="shared" si="11"/>
        <v/>
      </c>
      <c r="AX210" t="str">
        <f ca="1">IFERROR(_xludf.XLOOKUP($T210&amp;"|Fe",ASSAY_KEYS,ASSAY_VALUES,""),"")</f>
        <v/>
      </c>
      <c r="AY210" t="str">
        <f ca="1">IFERROR(_xludf.XLOOKUP($T210&amp;"|SiO2",ASSAY_KEYS,ASSAY_VALUES,""),"")</f>
        <v/>
      </c>
      <c r="AZ210" t="str">
        <f ca="1">IFERROR(_xludf.XLOOKUP($T210&amp;"|Al2O3",ASSAY_KEYS,ASSAY_VALUES,""),"")</f>
        <v/>
      </c>
      <c r="BA210" t="str">
        <f ca="1">IFERROR(_xludf.XLOOKUP($T210&amp;"|P",ASSAY_KEYS,ASSAY_VALUES,""),"")</f>
        <v/>
      </c>
      <c r="BB210" t="str">
        <f ca="1">IFERROR(_xludf.XLOOKUP($T210&amp;"|S",ASSAY_KEYS,ASSAY_VALUES,""),"")</f>
        <v/>
      </c>
      <c r="BC210" t="str">
        <f ca="1">IFERROR(_xludf.XLOOKUP($T210&amp;"|LOI",ASSAY_KEYS,ASSAY_VALUES,""),"")</f>
        <v/>
      </c>
    </row>
    <row r="211" spans="5:55" x14ac:dyDescent="0.25">
      <c r="E211" t="str">
        <f t="shared" si="9"/>
        <v/>
      </c>
      <c r="G211" t="str">
        <f ca="1">IFERROR(_xludf.XLOOKUP(F211,Lists!$A:$A,Lists!$B:$B,"",0),"")</f>
        <v/>
      </c>
      <c r="S211" t="str">
        <f t="shared" si="10"/>
        <v/>
      </c>
      <c r="AQ211" t="str">
        <f t="shared" si="11"/>
        <v/>
      </c>
      <c r="AX211" t="str">
        <f ca="1">IFERROR(_xludf.XLOOKUP($T211&amp;"|Fe",ASSAY_KEYS,ASSAY_VALUES,""),"")</f>
        <v/>
      </c>
      <c r="AY211" t="str">
        <f ca="1">IFERROR(_xludf.XLOOKUP($T211&amp;"|SiO2",ASSAY_KEYS,ASSAY_VALUES,""),"")</f>
        <v/>
      </c>
      <c r="AZ211" t="str">
        <f ca="1">IFERROR(_xludf.XLOOKUP($T211&amp;"|Al2O3",ASSAY_KEYS,ASSAY_VALUES,""),"")</f>
        <v/>
      </c>
      <c r="BA211" t="str">
        <f ca="1">IFERROR(_xludf.XLOOKUP($T211&amp;"|P",ASSAY_KEYS,ASSAY_VALUES,""),"")</f>
        <v/>
      </c>
      <c r="BB211" t="str">
        <f ca="1">IFERROR(_xludf.XLOOKUP($T211&amp;"|S",ASSAY_KEYS,ASSAY_VALUES,""),"")</f>
        <v/>
      </c>
      <c r="BC211" t="str">
        <f ca="1">IFERROR(_xludf.XLOOKUP($T211&amp;"|LOI",ASSAY_KEYS,ASSAY_VALUES,""),"")</f>
        <v/>
      </c>
    </row>
    <row r="212" spans="5:55" x14ac:dyDescent="0.25">
      <c r="E212" t="str">
        <f t="shared" si="9"/>
        <v/>
      </c>
      <c r="G212" t="str">
        <f ca="1">IFERROR(_xludf.XLOOKUP(F212,Lists!$A:$A,Lists!$B:$B,"",0),"")</f>
        <v/>
      </c>
      <c r="S212" t="str">
        <f t="shared" si="10"/>
        <v/>
      </c>
      <c r="AQ212" t="str">
        <f t="shared" si="11"/>
        <v/>
      </c>
      <c r="AX212" t="str">
        <f ca="1">IFERROR(_xludf.XLOOKUP($T212&amp;"|Fe",ASSAY_KEYS,ASSAY_VALUES,""),"")</f>
        <v/>
      </c>
      <c r="AY212" t="str">
        <f ca="1">IFERROR(_xludf.XLOOKUP($T212&amp;"|SiO2",ASSAY_KEYS,ASSAY_VALUES,""),"")</f>
        <v/>
      </c>
      <c r="AZ212" t="str">
        <f ca="1">IFERROR(_xludf.XLOOKUP($T212&amp;"|Al2O3",ASSAY_KEYS,ASSAY_VALUES,""),"")</f>
        <v/>
      </c>
      <c r="BA212" t="str">
        <f ca="1">IFERROR(_xludf.XLOOKUP($T212&amp;"|P",ASSAY_KEYS,ASSAY_VALUES,""),"")</f>
        <v/>
      </c>
      <c r="BB212" t="str">
        <f ca="1">IFERROR(_xludf.XLOOKUP($T212&amp;"|S",ASSAY_KEYS,ASSAY_VALUES,""),"")</f>
        <v/>
      </c>
      <c r="BC212" t="str">
        <f ca="1">IFERROR(_xludf.XLOOKUP($T212&amp;"|LOI",ASSAY_KEYS,ASSAY_VALUES,""),"")</f>
        <v/>
      </c>
    </row>
    <row r="213" spans="5:55" x14ac:dyDescent="0.25">
      <c r="E213" t="str">
        <f t="shared" si="9"/>
        <v/>
      </c>
      <c r="G213" t="str">
        <f ca="1">IFERROR(_xludf.XLOOKUP(F213,Lists!$A:$A,Lists!$B:$B,"",0),"")</f>
        <v/>
      </c>
      <c r="S213" t="str">
        <f t="shared" si="10"/>
        <v/>
      </c>
      <c r="AQ213" t="str">
        <f t="shared" si="11"/>
        <v/>
      </c>
      <c r="AX213" t="str">
        <f ca="1">IFERROR(_xludf.XLOOKUP($T213&amp;"|Fe",ASSAY_KEYS,ASSAY_VALUES,""),"")</f>
        <v/>
      </c>
      <c r="AY213" t="str">
        <f ca="1">IFERROR(_xludf.XLOOKUP($T213&amp;"|SiO2",ASSAY_KEYS,ASSAY_VALUES,""),"")</f>
        <v/>
      </c>
      <c r="AZ213" t="str">
        <f ca="1">IFERROR(_xludf.XLOOKUP($T213&amp;"|Al2O3",ASSAY_KEYS,ASSAY_VALUES,""),"")</f>
        <v/>
      </c>
      <c r="BA213" t="str">
        <f ca="1">IFERROR(_xludf.XLOOKUP($T213&amp;"|P",ASSAY_KEYS,ASSAY_VALUES,""),"")</f>
        <v/>
      </c>
      <c r="BB213" t="str">
        <f ca="1">IFERROR(_xludf.XLOOKUP($T213&amp;"|S",ASSAY_KEYS,ASSAY_VALUES,""),"")</f>
        <v/>
      </c>
      <c r="BC213" t="str">
        <f ca="1">IFERROR(_xludf.XLOOKUP($T213&amp;"|LOI",ASSAY_KEYS,ASSAY_VALUES,""),"")</f>
        <v/>
      </c>
    </row>
    <row r="214" spans="5:55" x14ac:dyDescent="0.25">
      <c r="E214" t="str">
        <f t="shared" si="9"/>
        <v/>
      </c>
      <c r="G214" t="str">
        <f ca="1">IFERROR(_xludf.XLOOKUP(F214,Lists!$A:$A,Lists!$B:$B,"",0),"")</f>
        <v/>
      </c>
      <c r="S214" t="str">
        <f t="shared" si="10"/>
        <v/>
      </c>
      <c r="AQ214" t="str">
        <f t="shared" si="11"/>
        <v/>
      </c>
      <c r="AX214" t="str">
        <f ca="1">IFERROR(_xludf.XLOOKUP($T214&amp;"|Fe",ASSAY_KEYS,ASSAY_VALUES,""),"")</f>
        <v/>
      </c>
      <c r="AY214" t="str">
        <f ca="1">IFERROR(_xludf.XLOOKUP($T214&amp;"|SiO2",ASSAY_KEYS,ASSAY_VALUES,""),"")</f>
        <v/>
      </c>
      <c r="AZ214" t="str">
        <f ca="1">IFERROR(_xludf.XLOOKUP($T214&amp;"|Al2O3",ASSAY_KEYS,ASSAY_VALUES,""),"")</f>
        <v/>
      </c>
      <c r="BA214" t="str">
        <f ca="1">IFERROR(_xludf.XLOOKUP($T214&amp;"|P",ASSAY_KEYS,ASSAY_VALUES,""),"")</f>
        <v/>
      </c>
      <c r="BB214" t="str">
        <f ca="1">IFERROR(_xludf.XLOOKUP($T214&amp;"|S",ASSAY_KEYS,ASSAY_VALUES,""),"")</f>
        <v/>
      </c>
      <c r="BC214" t="str">
        <f ca="1">IFERROR(_xludf.XLOOKUP($T214&amp;"|LOI",ASSAY_KEYS,ASSAY_VALUES,""),"")</f>
        <v/>
      </c>
    </row>
    <row r="215" spans="5:55" x14ac:dyDescent="0.25">
      <c r="E215" t="str">
        <f t="shared" si="9"/>
        <v/>
      </c>
      <c r="G215" t="str">
        <f ca="1">IFERROR(_xludf.XLOOKUP(F215,Lists!$A:$A,Lists!$B:$B,"",0),"")</f>
        <v/>
      </c>
      <c r="S215" t="str">
        <f t="shared" si="10"/>
        <v/>
      </c>
      <c r="AQ215" t="str">
        <f t="shared" si="11"/>
        <v/>
      </c>
      <c r="AX215" t="str">
        <f ca="1">IFERROR(_xludf.XLOOKUP($T215&amp;"|Fe",ASSAY_KEYS,ASSAY_VALUES,""),"")</f>
        <v/>
      </c>
      <c r="AY215" t="str">
        <f ca="1">IFERROR(_xludf.XLOOKUP($T215&amp;"|SiO2",ASSAY_KEYS,ASSAY_VALUES,""),"")</f>
        <v/>
      </c>
      <c r="AZ215" t="str">
        <f ca="1">IFERROR(_xludf.XLOOKUP($T215&amp;"|Al2O3",ASSAY_KEYS,ASSAY_VALUES,""),"")</f>
        <v/>
      </c>
      <c r="BA215" t="str">
        <f ca="1">IFERROR(_xludf.XLOOKUP($T215&amp;"|P",ASSAY_KEYS,ASSAY_VALUES,""),"")</f>
        <v/>
      </c>
      <c r="BB215" t="str">
        <f ca="1">IFERROR(_xludf.XLOOKUP($T215&amp;"|S",ASSAY_KEYS,ASSAY_VALUES,""),"")</f>
        <v/>
      </c>
      <c r="BC215" t="str">
        <f ca="1">IFERROR(_xludf.XLOOKUP($T215&amp;"|LOI",ASSAY_KEYS,ASSAY_VALUES,""),"")</f>
        <v/>
      </c>
    </row>
    <row r="216" spans="5:55" x14ac:dyDescent="0.25">
      <c r="E216" t="str">
        <f t="shared" si="9"/>
        <v/>
      </c>
      <c r="G216" t="str">
        <f ca="1">IFERROR(_xludf.XLOOKUP(F216,Lists!$A:$A,Lists!$B:$B,"",0),"")</f>
        <v/>
      </c>
      <c r="S216" t="str">
        <f t="shared" si="10"/>
        <v/>
      </c>
      <c r="AQ216" t="str">
        <f t="shared" si="11"/>
        <v/>
      </c>
      <c r="AX216" t="str">
        <f ca="1">IFERROR(_xludf.XLOOKUP($T216&amp;"|Fe",ASSAY_KEYS,ASSAY_VALUES,""),"")</f>
        <v/>
      </c>
      <c r="AY216" t="str">
        <f ca="1">IFERROR(_xludf.XLOOKUP($T216&amp;"|SiO2",ASSAY_KEYS,ASSAY_VALUES,""),"")</f>
        <v/>
      </c>
      <c r="AZ216" t="str">
        <f ca="1">IFERROR(_xludf.XLOOKUP($T216&amp;"|Al2O3",ASSAY_KEYS,ASSAY_VALUES,""),"")</f>
        <v/>
      </c>
      <c r="BA216" t="str">
        <f ca="1">IFERROR(_xludf.XLOOKUP($T216&amp;"|P",ASSAY_KEYS,ASSAY_VALUES,""),"")</f>
        <v/>
      </c>
      <c r="BB216" t="str">
        <f ca="1">IFERROR(_xludf.XLOOKUP($T216&amp;"|S",ASSAY_KEYS,ASSAY_VALUES,""),"")</f>
        <v/>
      </c>
      <c r="BC216" t="str">
        <f ca="1">IFERROR(_xludf.XLOOKUP($T216&amp;"|LOI",ASSAY_KEYS,ASSAY_VALUES,""),"")</f>
        <v/>
      </c>
    </row>
    <row r="217" spans="5:55" x14ac:dyDescent="0.25">
      <c r="E217" t="str">
        <f t="shared" si="9"/>
        <v/>
      </c>
      <c r="G217" t="str">
        <f ca="1">IFERROR(_xludf.XLOOKUP(F217,Lists!$A:$A,Lists!$B:$B,"",0),"")</f>
        <v/>
      </c>
      <c r="S217" t="str">
        <f t="shared" si="10"/>
        <v/>
      </c>
      <c r="AQ217" t="str">
        <f t="shared" si="11"/>
        <v/>
      </c>
      <c r="AX217" t="str">
        <f ca="1">IFERROR(_xludf.XLOOKUP($T217&amp;"|Fe",ASSAY_KEYS,ASSAY_VALUES,""),"")</f>
        <v/>
      </c>
      <c r="AY217" t="str">
        <f ca="1">IFERROR(_xludf.XLOOKUP($T217&amp;"|SiO2",ASSAY_KEYS,ASSAY_VALUES,""),"")</f>
        <v/>
      </c>
      <c r="AZ217" t="str">
        <f ca="1">IFERROR(_xludf.XLOOKUP($T217&amp;"|Al2O3",ASSAY_KEYS,ASSAY_VALUES,""),"")</f>
        <v/>
      </c>
      <c r="BA217" t="str">
        <f ca="1">IFERROR(_xludf.XLOOKUP($T217&amp;"|P",ASSAY_KEYS,ASSAY_VALUES,""),"")</f>
        <v/>
      </c>
      <c r="BB217" t="str">
        <f ca="1">IFERROR(_xludf.XLOOKUP($T217&amp;"|S",ASSAY_KEYS,ASSAY_VALUES,""),"")</f>
        <v/>
      </c>
      <c r="BC217" t="str">
        <f ca="1">IFERROR(_xludf.XLOOKUP($T217&amp;"|LOI",ASSAY_KEYS,ASSAY_VALUES,""),"")</f>
        <v/>
      </c>
    </row>
    <row r="218" spans="5:55" x14ac:dyDescent="0.25">
      <c r="E218" t="str">
        <f t="shared" si="9"/>
        <v/>
      </c>
      <c r="G218" t="str">
        <f ca="1">IFERROR(_xludf.XLOOKUP(F218,Lists!$A:$A,Lists!$B:$B,"",0),"")</f>
        <v/>
      </c>
      <c r="S218" t="str">
        <f t="shared" si="10"/>
        <v/>
      </c>
      <c r="AQ218" t="str">
        <f t="shared" si="11"/>
        <v/>
      </c>
      <c r="AX218" t="str">
        <f ca="1">IFERROR(_xludf.XLOOKUP($T218&amp;"|Fe",ASSAY_KEYS,ASSAY_VALUES,""),"")</f>
        <v/>
      </c>
      <c r="AY218" t="str">
        <f ca="1">IFERROR(_xludf.XLOOKUP($T218&amp;"|SiO2",ASSAY_KEYS,ASSAY_VALUES,""),"")</f>
        <v/>
      </c>
      <c r="AZ218" t="str">
        <f ca="1">IFERROR(_xludf.XLOOKUP($T218&amp;"|Al2O3",ASSAY_KEYS,ASSAY_VALUES,""),"")</f>
        <v/>
      </c>
      <c r="BA218" t="str">
        <f ca="1">IFERROR(_xludf.XLOOKUP($T218&amp;"|P",ASSAY_KEYS,ASSAY_VALUES,""),"")</f>
        <v/>
      </c>
      <c r="BB218" t="str">
        <f ca="1">IFERROR(_xludf.XLOOKUP($T218&amp;"|S",ASSAY_KEYS,ASSAY_VALUES,""),"")</f>
        <v/>
      </c>
      <c r="BC218" t="str">
        <f ca="1">IFERROR(_xludf.XLOOKUP($T218&amp;"|LOI",ASSAY_KEYS,ASSAY_VALUES,""),"")</f>
        <v/>
      </c>
    </row>
    <row r="219" spans="5:55" x14ac:dyDescent="0.25">
      <c r="E219" t="str">
        <f t="shared" si="9"/>
        <v/>
      </c>
      <c r="G219" t="str">
        <f ca="1">IFERROR(_xludf.XLOOKUP(F219,Lists!$A:$A,Lists!$B:$B,"",0),"")</f>
        <v/>
      </c>
      <c r="S219" t="str">
        <f t="shared" si="10"/>
        <v/>
      </c>
      <c r="AQ219" t="str">
        <f t="shared" si="11"/>
        <v/>
      </c>
      <c r="AX219" t="str">
        <f ca="1">IFERROR(_xludf.XLOOKUP($T219&amp;"|Fe",ASSAY_KEYS,ASSAY_VALUES,""),"")</f>
        <v/>
      </c>
      <c r="AY219" t="str">
        <f ca="1">IFERROR(_xludf.XLOOKUP($T219&amp;"|SiO2",ASSAY_KEYS,ASSAY_VALUES,""),"")</f>
        <v/>
      </c>
      <c r="AZ219" t="str">
        <f ca="1">IFERROR(_xludf.XLOOKUP($T219&amp;"|Al2O3",ASSAY_KEYS,ASSAY_VALUES,""),"")</f>
        <v/>
      </c>
      <c r="BA219" t="str">
        <f ca="1">IFERROR(_xludf.XLOOKUP($T219&amp;"|P",ASSAY_KEYS,ASSAY_VALUES,""),"")</f>
        <v/>
      </c>
      <c r="BB219" t="str">
        <f ca="1">IFERROR(_xludf.XLOOKUP($T219&amp;"|S",ASSAY_KEYS,ASSAY_VALUES,""),"")</f>
        <v/>
      </c>
      <c r="BC219" t="str">
        <f ca="1">IFERROR(_xludf.XLOOKUP($T219&amp;"|LOI",ASSAY_KEYS,ASSAY_VALUES,""),"")</f>
        <v/>
      </c>
    </row>
    <row r="220" spans="5:55" x14ac:dyDescent="0.25">
      <c r="E220" t="str">
        <f t="shared" si="9"/>
        <v/>
      </c>
      <c r="G220" t="str">
        <f ca="1">IFERROR(_xludf.XLOOKUP(F220,Lists!$A:$A,Lists!$B:$B,"",0),"")</f>
        <v/>
      </c>
      <c r="S220" t="str">
        <f t="shared" si="10"/>
        <v/>
      </c>
      <c r="AQ220" t="str">
        <f t="shared" si="11"/>
        <v/>
      </c>
      <c r="AX220" t="str">
        <f ca="1">IFERROR(_xludf.XLOOKUP($T220&amp;"|Fe",ASSAY_KEYS,ASSAY_VALUES,""),"")</f>
        <v/>
      </c>
      <c r="AY220" t="str">
        <f ca="1">IFERROR(_xludf.XLOOKUP($T220&amp;"|SiO2",ASSAY_KEYS,ASSAY_VALUES,""),"")</f>
        <v/>
      </c>
      <c r="AZ220" t="str">
        <f ca="1">IFERROR(_xludf.XLOOKUP($T220&amp;"|Al2O3",ASSAY_KEYS,ASSAY_VALUES,""),"")</f>
        <v/>
      </c>
      <c r="BA220" t="str">
        <f ca="1">IFERROR(_xludf.XLOOKUP($T220&amp;"|P",ASSAY_KEYS,ASSAY_VALUES,""),"")</f>
        <v/>
      </c>
      <c r="BB220" t="str">
        <f ca="1">IFERROR(_xludf.XLOOKUP($T220&amp;"|S",ASSAY_KEYS,ASSAY_VALUES,""),"")</f>
        <v/>
      </c>
      <c r="BC220" t="str">
        <f ca="1">IFERROR(_xludf.XLOOKUP($T220&amp;"|LOI",ASSAY_KEYS,ASSAY_VALUES,""),"")</f>
        <v/>
      </c>
    </row>
    <row r="221" spans="5:55" x14ac:dyDescent="0.25">
      <c r="E221" t="str">
        <f t="shared" si="9"/>
        <v/>
      </c>
      <c r="G221" t="str">
        <f ca="1">IFERROR(_xludf.XLOOKUP(F221,Lists!$A:$A,Lists!$B:$B,"",0),"")</f>
        <v/>
      </c>
      <c r="S221" t="str">
        <f t="shared" si="10"/>
        <v/>
      </c>
      <c r="AQ221" t="str">
        <f t="shared" si="11"/>
        <v/>
      </c>
      <c r="AX221" t="str">
        <f ca="1">IFERROR(_xludf.XLOOKUP($T221&amp;"|Fe",ASSAY_KEYS,ASSAY_VALUES,""),"")</f>
        <v/>
      </c>
      <c r="AY221" t="str">
        <f ca="1">IFERROR(_xludf.XLOOKUP($T221&amp;"|SiO2",ASSAY_KEYS,ASSAY_VALUES,""),"")</f>
        <v/>
      </c>
      <c r="AZ221" t="str">
        <f ca="1">IFERROR(_xludf.XLOOKUP($T221&amp;"|Al2O3",ASSAY_KEYS,ASSAY_VALUES,""),"")</f>
        <v/>
      </c>
      <c r="BA221" t="str">
        <f ca="1">IFERROR(_xludf.XLOOKUP($T221&amp;"|P",ASSAY_KEYS,ASSAY_VALUES,""),"")</f>
        <v/>
      </c>
      <c r="BB221" t="str">
        <f ca="1">IFERROR(_xludf.XLOOKUP($T221&amp;"|S",ASSAY_KEYS,ASSAY_VALUES,""),"")</f>
        <v/>
      </c>
      <c r="BC221" t="str">
        <f ca="1">IFERROR(_xludf.XLOOKUP($T221&amp;"|LOI",ASSAY_KEYS,ASSAY_VALUES,""),"")</f>
        <v/>
      </c>
    </row>
    <row r="222" spans="5:55" x14ac:dyDescent="0.25">
      <c r="E222" t="str">
        <f t="shared" si="9"/>
        <v/>
      </c>
      <c r="G222" t="str">
        <f ca="1">IFERROR(_xludf.XLOOKUP(F222,Lists!$A:$A,Lists!$B:$B,"",0),"")</f>
        <v/>
      </c>
      <c r="S222" t="str">
        <f t="shared" si="10"/>
        <v/>
      </c>
      <c r="AQ222" t="str">
        <f t="shared" si="11"/>
        <v/>
      </c>
      <c r="AX222" t="str">
        <f ca="1">IFERROR(_xludf.XLOOKUP($T222&amp;"|Fe",ASSAY_KEYS,ASSAY_VALUES,""),"")</f>
        <v/>
      </c>
      <c r="AY222" t="str">
        <f ca="1">IFERROR(_xludf.XLOOKUP($T222&amp;"|SiO2",ASSAY_KEYS,ASSAY_VALUES,""),"")</f>
        <v/>
      </c>
      <c r="AZ222" t="str">
        <f ca="1">IFERROR(_xludf.XLOOKUP($T222&amp;"|Al2O3",ASSAY_KEYS,ASSAY_VALUES,""),"")</f>
        <v/>
      </c>
      <c r="BA222" t="str">
        <f ca="1">IFERROR(_xludf.XLOOKUP($T222&amp;"|P",ASSAY_KEYS,ASSAY_VALUES,""),"")</f>
        <v/>
      </c>
      <c r="BB222" t="str">
        <f ca="1">IFERROR(_xludf.XLOOKUP($T222&amp;"|S",ASSAY_KEYS,ASSAY_VALUES,""),"")</f>
        <v/>
      </c>
      <c r="BC222" t="str">
        <f ca="1">IFERROR(_xludf.XLOOKUP($T222&amp;"|LOI",ASSAY_KEYS,ASSAY_VALUES,""),"")</f>
        <v/>
      </c>
    </row>
    <row r="223" spans="5:55" x14ac:dyDescent="0.25">
      <c r="E223" t="str">
        <f t="shared" si="9"/>
        <v/>
      </c>
      <c r="G223" t="str">
        <f ca="1">IFERROR(_xludf.XLOOKUP(F223,Lists!$A:$A,Lists!$B:$B,"",0),"")</f>
        <v/>
      </c>
      <c r="S223" t="str">
        <f t="shared" si="10"/>
        <v/>
      </c>
      <c r="AQ223" t="str">
        <f t="shared" si="11"/>
        <v/>
      </c>
      <c r="AX223" t="str">
        <f ca="1">IFERROR(_xludf.XLOOKUP($T223&amp;"|Fe",ASSAY_KEYS,ASSAY_VALUES,""),"")</f>
        <v/>
      </c>
      <c r="AY223" t="str">
        <f ca="1">IFERROR(_xludf.XLOOKUP($T223&amp;"|SiO2",ASSAY_KEYS,ASSAY_VALUES,""),"")</f>
        <v/>
      </c>
      <c r="AZ223" t="str">
        <f ca="1">IFERROR(_xludf.XLOOKUP($T223&amp;"|Al2O3",ASSAY_KEYS,ASSAY_VALUES,""),"")</f>
        <v/>
      </c>
      <c r="BA223" t="str">
        <f ca="1">IFERROR(_xludf.XLOOKUP($T223&amp;"|P",ASSAY_KEYS,ASSAY_VALUES,""),"")</f>
        <v/>
      </c>
      <c r="BB223" t="str">
        <f ca="1">IFERROR(_xludf.XLOOKUP($T223&amp;"|S",ASSAY_KEYS,ASSAY_VALUES,""),"")</f>
        <v/>
      </c>
      <c r="BC223" t="str">
        <f ca="1">IFERROR(_xludf.XLOOKUP($T223&amp;"|LOI",ASSAY_KEYS,ASSAY_VALUES,""),"")</f>
        <v/>
      </c>
    </row>
    <row r="224" spans="5:55" x14ac:dyDescent="0.25">
      <c r="E224" t="str">
        <f t="shared" si="9"/>
        <v/>
      </c>
      <c r="G224" t="str">
        <f ca="1">IFERROR(_xludf.XLOOKUP(F224,Lists!$A:$A,Lists!$B:$B,"",0),"")</f>
        <v/>
      </c>
      <c r="S224" t="str">
        <f t="shared" si="10"/>
        <v/>
      </c>
      <c r="AQ224" t="str">
        <f t="shared" si="11"/>
        <v/>
      </c>
      <c r="AX224" t="str">
        <f ca="1">IFERROR(_xludf.XLOOKUP($T224&amp;"|Fe",ASSAY_KEYS,ASSAY_VALUES,""),"")</f>
        <v/>
      </c>
      <c r="AY224" t="str">
        <f ca="1">IFERROR(_xludf.XLOOKUP($T224&amp;"|SiO2",ASSAY_KEYS,ASSAY_VALUES,""),"")</f>
        <v/>
      </c>
      <c r="AZ224" t="str">
        <f ca="1">IFERROR(_xludf.XLOOKUP($T224&amp;"|Al2O3",ASSAY_KEYS,ASSAY_VALUES,""),"")</f>
        <v/>
      </c>
      <c r="BA224" t="str">
        <f ca="1">IFERROR(_xludf.XLOOKUP($T224&amp;"|P",ASSAY_KEYS,ASSAY_VALUES,""),"")</f>
        <v/>
      </c>
      <c r="BB224" t="str">
        <f ca="1">IFERROR(_xludf.XLOOKUP($T224&amp;"|S",ASSAY_KEYS,ASSAY_VALUES,""),"")</f>
        <v/>
      </c>
      <c r="BC224" t="str">
        <f ca="1">IFERROR(_xludf.XLOOKUP($T224&amp;"|LOI",ASSAY_KEYS,ASSAY_VALUES,""),"")</f>
        <v/>
      </c>
    </row>
    <row r="225" spans="5:55" x14ac:dyDescent="0.25">
      <c r="E225" t="str">
        <f t="shared" si="9"/>
        <v/>
      </c>
      <c r="G225" t="str">
        <f ca="1">IFERROR(_xludf.XLOOKUP(F225,Lists!$A:$A,Lists!$B:$B,"",0),"")</f>
        <v/>
      </c>
      <c r="S225" t="str">
        <f t="shared" si="10"/>
        <v/>
      </c>
      <c r="AQ225" t="str">
        <f t="shared" si="11"/>
        <v/>
      </c>
      <c r="AX225" t="str">
        <f ca="1">IFERROR(_xludf.XLOOKUP($T225&amp;"|Fe",ASSAY_KEYS,ASSAY_VALUES,""),"")</f>
        <v/>
      </c>
      <c r="AY225" t="str">
        <f ca="1">IFERROR(_xludf.XLOOKUP($T225&amp;"|SiO2",ASSAY_KEYS,ASSAY_VALUES,""),"")</f>
        <v/>
      </c>
      <c r="AZ225" t="str">
        <f ca="1">IFERROR(_xludf.XLOOKUP($T225&amp;"|Al2O3",ASSAY_KEYS,ASSAY_VALUES,""),"")</f>
        <v/>
      </c>
      <c r="BA225" t="str">
        <f ca="1">IFERROR(_xludf.XLOOKUP($T225&amp;"|P",ASSAY_KEYS,ASSAY_VALUES,""),"")</f>
        <v/>
      </c>
      <c r="BB225" t="str">
        <f ca="1">IFERROR(_xludf.XLOOKUP($T225&amp;"|S",ASSAY_KEYS,ASSAY_VALUES,""),"")</f>
        <v/>
      </c>
      <c r="BC225" t="str">
        <f ca="1">IFERROR(_xludf.XLOOKUP($T225&amp;"|LOI",ASSAY_KEYS,ASSAY_VALUES,""),"")</f>
        <v/>
      </c>
    </row>
    <row r="226" spans="5:55" x14ac:dyDescent="0.25">
      <c r="E226" t="str">
        <f t="shared" si="9"/>
        <v/>
      </c>
      <c r="G226" t="str">
        <f ca="1">IFERROR(_xludf.XLOOKUP(F226,Lists!$A:$A,Lists!$B:$B,"",0),"")</f>
        <v/>
      </c>
      <c r="S226" t="str">
        <f t="shared" si="10"/>
        <v/>
      </c>
      <c r="AQ226" t="str">
        <f t="shared" si="11"/>
        <v/>
      </c>
      <c r="AX226" t="str">
        <f ca="1">IFERROR(_xludf.XLOOKUP($T226&amp;"|Fe",ASSAY_KEYS,ASSAY_VALUES,""),"")</f>
        <v/>
      </c>
      <c r="AY226" t="str">
        <f ca="1">IFERROR(_xludf.XLOOKUP($T226&amp;"|SiO2",ASSAY_KEYS,ASSAY_VALUES,""),"")</f>
        <v/>
      </c>
      <c r="AZ226" t="str">
        <f ca="1">IFERROR(_xludf.XLOOKUP($T226&amp;"|Al2O3",ASSAY_KEYS,ASSAY_VALUES,""),"")</f>
        <v/>
      </c>
      <c r="BA226" t="str">
        <f ca="1">IFERROR(_xludf.XLOOKUP($T226&amp;"|P",ASSAY_KEYS,ASSAY_VALUES,""),"")</f>
        <v/>
      </c>
      <c r="BB226" t="str">
        <f ca="1">IFERROR(_xludf.XLOOKUP($T226&amp;"|S",ASSAY_KEYS,ASSAY_VALUES,""),"")</f>
        <v/>
      </c>
      <c r="BC226" t="str">
        <f ca="1">IFERROR(_xludf.XLOOKUP($T226&amp;"|LOI",ASSAY_KEYS,ASSAY_VALUES,""),"")</f>
        <v/>
      </c>
    </row>
    <row r="227" spans="5:55" x14ac:dyDescent="0.25">
      <c r="E227" t="str">
        <f t="shared" si="9"/>
        <v/>
      </c>
      <c r="G227" t="str">
        <f ca="1">IFERROR(_xludf.XLOOKUP(F227,Lists!$A:$A,Lists!$B:$B,"",0),"")</f>
        <v/>
      </c>
      <c r="S227" t="str">
        <f t="shared" si="10"/>
        <v/>
      </c>
      <c r="AQ227" t="str">
        <f t="shared" si="11"/>
        <v/>
      </c>
      <c r="AX227" t="str">
        <f ca="1">IFERROR(_xludf.XLOOKUP($T227&amp;"|Fe",ASSAY_KEYS,ASSAY_VALUES,""),"")</f>
        <v/>
      </c>
      <c r="AY227" t="str">
        <f ca="1">IFERROR(_xludf.XLOOKUP($T227&amp;"|SiO2",ASSAY_KEYS,ASSAY_VALUES,""),"")</f>
        <v/>
      </c>
      <c r="AZ227" t="str">
        <f ca="1">IFERROR(_xludf.XLOOKUP($T227&amp;"|Al2O3",ASSAY_KEYS,ASSAY_VALUES,""),"")</f>
        <v/>
      </c>
      <c r="BA227" t="str">
        <f ca="1">IFERROR(_xludf.XLOOKUP($T227&amp;"|P",ASSAY_KEYS,ASSAY_VALUES,""),"")</f>
        <v/>
      </c>
      <c r="BB227" t="str">
        <f ca="1">IFERROR(_xludf.XLOOKUP($T227&amp;"|S",ASSAY_KEYS,ASSAY_VALUES,""),"")</f>
        <v/>
      </c>
      <c r="BC227" t="str">
        <f ca="1">IFERROR(_xludf.XLOOKUP($T227&amp;"|LOI",ASSAY_KEYS,ASSAY_VALUES,""),"")</f>
        <v/>
      </c>
    </row>
    <row r="228" spans="5:55" x14ac:dyDescent="0.25">
      <c r="E228" t="str">
        <f t="shared" si="9"/>
        <v/>
      </c>
      <c r="G228" t="str">
        <f ca="1">IFERROR(_xludf.XLOOKUP(F228,Lists!$A:$A,Lists!$B:$B,"",0),"")</f>
        <v/>
      </c>
      <c r="S228" t="str">
        <f t="shared" si="10"/>
        <v/>
      </c>
      <c r="AQ228" t="str">
        <f t="shared" si="11"/>
        <v/>
      </c>
      <c r="AX228" t="str">
        <f ca="1">IFERROR(_xludf.XLOOKUP($T228&amp;"|Fe",ASSAY_KEYS,ASSAY_VALUES,""),"")</f>
        <v/>
      </c>
      <c r="AY228" t="str">
        <f ca="1">IFERROR(_xludf.XLOOKUP($T228&amp;"|SiO2",ASSAY_KEYS,ASSAY_VALUES,""),"")</f>
        <v/>
      </c>
      <c r="AZ228" t="str">
        <f ca="1">IFERROR(_xludf.XLOOKUP($T228&amp;"|Al2O3",ASSAY_KEYS,ASSAY_VALUES,""),"")</f>
        <v/>
      </c>
      <c r="BA228" t="str">
        <f ca="1">IFERROR(_xludf.XLOOKUP($T228&amp;"|P",ASSAY_KEYS,ASSAY_VALUES,""),"")</f>
        <v/>
      </c>
      <c r="BB228" t="str">
        <f ca="1">IFERROR(_xludf.XLOOKUP($T228&amp;"|S",ASSAY_KEYS,ASSAY_VALUES,""),"")</f>
        <v/>
      </c>
      <c r="BC228" t="str">
        <f ca="1">IFERROR(_xludf.XLOOKUP($T228&amp;"|LOI",ASSAY_KEYS,ASSAY_VALUES,""),"")</f>
        <v/>
      </c>
    </row>
    <row r="229" spans="5:55" x14ac:dyDescent="0.25">
      <c r="E229" t="str">
        <f t="shared" si="9"/>
        <v/>
      </c>
      <c r="G229" t="str">
        <f ca="1">IFERROR(_xludf.XLOOKUP(F229,Lists!$A:$A,Lists!$B:$B,"",0),"")</f>
        <v/>
      </c>
      <c r="S229" t="str">
        <f t="shared" si="10"/>
        <v/>
      </c>
      <c r="AQ229" t="str">
        <f t="shared" si="11"/>
        <v/>
      </c>
      <c r="AX229" t="str">
        <f ca="1">IFERROR(_xludf.XLOOKUP($T229&amp;"|Fe",ASSAY_KEYS,ASSAY_VALUES,""),"")</f>
        <v/>
      </c>
      <c r="AY229" t="str">
        <f ca="1">IFERROR(_xludf.XLOOKUP($T229&amp;"|SiO2",ASSAY_KEYS,ASSAY_VALUES,""),"")</f>
        <v/>
      </c>
      <c r="AZ229" t="str">
        <f ca="1">IFERROR(_xludf.XLOOKUP($T229&amp;"|Al2O3",ASSAY_KEYS,ASSAY_VALUES,""),"")</f>
        <v/>
      </c>
      <c r="BA229" t="str">
        <f ca="1">IFERROR(_xludf.XLOOKUP($T229&amp;"|P",ASSAY_KEYS,ASSAY_VALUES,""),"")</f>
        <v/>
      </c>
      <c r="BB229" t="str">
        <f ca="1">IFERROR(_xludf.XLOOKUP($T229&amp;"|S",ASSAY_KEYS,ASSAY_VALUES,""),"")</f>
        <v/>
      </c>
      <c r="BC229" t="str">
        <f ca="1">IFERROR(_xludf.XLOOKUP($T229&amp;"|LOI",ASSAY_KEYS,ASSAY_VALUES,""),"")</f>
        <v/>
      </c>
    </row>
    <row r="230" spans="5:55" x14ac:dyDescent="0.25">
      <c r="E230" t="str">
        <f t="shared" si="9"/>
        <v/>
      </c>
      <c r="G230" t="str">
        <f ca="1">IFERROR(_xludf.XLOOKUP(F230,Lists!$A:$A,Lists!$B:$B,"",0),"")</f>
        <v/>
      </c>
      <c r="S230" t="str">
        <f t="shared" si="10"/>
        <v/>
      </c>
      <c r="AQ230" t="str">
        <f t="shared" si="11"/>
        <v/>
      </c>
      <c r="AX230" t="str">
        <f ca="1">IFERROR(_xludf.XLOOKUP($T230&amp;"|Fe",ASSAY_KEYS,ASSAY_VALUES,""),"")</f>
        <v/>
      </c>
      <c r="AY230" t="str">
        <f ca="1">IFERROR(_xludf.XLOOKUP($T230&amp;"|SiO2",ASSAY_KEYS,ASSAY_VALUES,""),"")</f>
        <v/>
      </c>
      <c r="AZ230" t="str">
        <f ca="1">IFERROR(_xludf.XLOOKUP($T230&amp;"|Al2O3",ASSAY_KEYS,ASSAY_VALUES,""),"")</f>
        <v/>
      </c>
      <c r="BA230" t="str">
        <f ca="1">IFERROR(_xludf.XLOOKUP($T230&amp;"|P",ASSAY_KEYS,ASSAY_VALUES,""),"")</f>
        <v/>
      </c>
      <c r="BB230" t="str">
        <f ca="1">IFERROR(_xludf.XLOOKUP($T230&amp;"|S",ASSAY_KEYS,ASSAY_VALUES,""),"")</f>
        <v/>
      </c>
      <c r="BC230" t="str">
        <f ca="1">IFERROR(_xludf.XLOOKUP($T230&amp;"|LOI",ASSAY_KEYS,ASSAY_VALUES,""),"")</f>
        <v/>
      </c>
    </row>
    <row r="231" spans="5:55" x14ac:dyDescent="0.25">
      <c r="E231" t="str">
        <f t="shared" si="9"/>
        <v/>
      </c>
      <c r="G231" t="str">
        <f ca="1">IFERROR(_xludf.XLOOKUP(F231,Lists!$A:$A,Lists!$B:$B,"",0),"")</f>
        <v/>
      </c>
      <c r="S231" t="str">
        <f t="shared" si="10"/>
        <v/>
      </c>
      <c r="AQ231" t="str">
        <f t="shared" si="11"/>
        <v/>
      </c>
      <c r="AX231" t="str">
        <f ca="1">IFERROR(_xludf.XLOOKUP($T231&amp;"|Fe",ASSAY_KEYS,ASSAY_VALUES,""),"")</f>
        <v/>
      </c>
      <c r="AY231" t="str">
        <f ca="1">IFERROR(_xludf.XLOOKUP($T231&amp;"|SiO2",ASSAY_KEYS,ASSAY_VALUES,""),"")</f>
        <v/>
      </c>
      <c r="AZ231" t="str">
        <f ca="1">IFERROR(_xludf.XLOOKUP($T231&amp;"|Al2O3",ASSAY_KEYS,ASSAY_VALUES,""),"")</f>
        <v/>
      </c>
      <c r="BA231" t="str">
        <f ca="1">IFERROR(_xludf.XLOOKUP($T231&amp;"|P",ASSAY_KEYS,ASSAY_VALUES,""),"")</f>
        <v/>
      </c>
      <c r="BB231" t="str">
        <f ca="1">IFERROR(_xludf.XLOOKUP($T231&amp;"|S",ASSAY_KEYS,ASSAY_VALUES,""),"")</f>
        <v/>
      </c>
      <c r="BC231" t="str">
        <f ca="1">IFERROR(_xludf.XLOOKUP($T231&amp;"|LOI",ASSAY_KEYS,ASSAY_VALUES,""),"")</f>
        <v/>
      </c>
    </row>
    <row r="232" spans="5:55" x14ac:dyDescent="0.25">
      <c r="E232" t="str">
        <f t="shared" si="9"/>
        <v/>
      </c>
      <c r="G232" t="str">
        <f ca="1">IFERROR(_xludf.XLOOKUP(F232,Lists!$A:$A,Lists!$B:$B,"",0),"")</f>
        <v/>
      </c>
      <c r="S232" t="str">
        <f t="shared" si="10"/>
        <v/>
      </c>
      <c r="AQ232" t="str">
        <f t="shared" si="11"/>
        <v/>
      </c>
      <c r="AX232" t="str">
        <f ca="1">IFERROR(_xludf.XLOOKUP($T232&amp;"|Fe",ASSAY_KEYS,ASSAY_VALUES,""),"")</f>
        <v/>
      </c>
      <c r="AY232" t="str">
        <f ca="1">IFERROR(_xludf.XLOOKUP($T232&amp;"|SiO2",ASSAY_KEYS,ASSAY_VALUES,""),"")</f>
        <v/>
      </c>
      <c r="AZ232" t="str">
        <f ca="1">IFERROR(_xludf.XLOOKUP($T232&amp;"|Al2O3",ASSAY_KEYS,ASSAY_VALUES,""),"")</f>
        <v/>
      </c>
      <c r="BA232" t="str">
        <f ca="1">IFERROR(_xludf.XLOOKUP($T232&amp;"|P",ASSAY_KEYS,ASSAY_VALUES,""),"")</f>
        <v/>
      </c>
      <c r="BB232" t="str">
        <f ca="1">IFERROR(_xludf.XLOOKUP($T232&amp;"|S",ASSAY_KEYS,ASSAY_VALUES,""),"")</f>
        <v/>
      </c>
      <c r="BC232" t="str">
        <f ca="1">IFERROR(_xludf.XLOOKUP($T232&amp;"|LOI",ASSAY_KEYS,ASSAY_VALUES,""),"")</f>
        <v/>
      </c>
    </row>
    <row r="233" spans="5:55" x14ac:dyDescent="0.25">
      <c r="E233" t="str">
        <f t="shared" si="9"/>
        <v/>
      </c>
      <c r="G233" t="str">
        <f ca="1">IFERROR(_xludf.XLOOKUP(F233,Lists!$A:$A,Lists!$B:$B,"",0),"")</f>
        <v/>
      </c>
      <c r="S233" t="str">
        <f t="shared" si="10"/>
        <v/>
      </c>
      <c r="AQ233" t="str">
        <f t="shared" si="11"/>
        <v/>
      </c>
      <c r="AX233" t="str">
        <f ca="1">IFERROR(_xludf.XLOOKUP($T233&amp;"|Fe",ASSAY_KEYS,ASSAY_VALUES,""),"")</f>
        <v/>
      </c>
      <c r="AY233" t="str">
        <f ca="1">IFERROR(_xludf.XLOOKUP($T233&amp;"|SiO2",ASSAY_KEYS,ASSAY_VALUES,""),"")</f>
        <v/>
      </c>
      <c r="AZ233" t="str">
        <f ca="1">IFERROR(_xludf.XLOOKUP($T233&amp;"|Al2O3",ASSAY_KEYS,ASSAY_VALUES,""),"")</f>
        <v/>
      </c>
      <c r="BA233" t="str">
        <f ca="1">IFERROR(_xludf.XLOOKUP($T233&amp;"|P",ASSAY_KEYS,ASSAY_VALUES,""),"")</f>
        <v/>
      </c>
      <c r="BB233" t="str">
        <f ca="1">IFERROR(_xludf.XLOOKUP($T233&amp;"|S",ASSAY_KEYS,ASSAY_VALUES,""),"")</f>
        <v/>
      </c>
      <c r="BC233" t="str">
        <f ca="1">IFERROR(_xludf.XLOOKUP($T233&amp;"|LOI",ASSAY_KEYS,ASSAY_VALUES,""),"")</f>
        <v/>
      </c>
    </row>
    <row r="234" spans="5:55" x14ac:dyDescent="0.25">
      <c r="E234" t="str">
        <f t="shared" si="9"/>
        <v/>
      </c>
      <c r="G234" t="str">
        <f ca="1">IFERROR(_xludf.XLOOKUP(F234,Lists!$A:$A,Lists!$B:$B,"",0),"")</f>
        <v/>
      </c>
      <c r="S234" t="str">
        <f t="shared" si="10"/>
        <v/>
      </c>
      <c r="AQ234" t="str">
        <f t="shared" si="11"/>
        <v/>
      </c>
      <c r="AX234" t="str">
        <f ca="1">IFERROR(_xludf.XLOOKUP($T234&amp;"|Fe",ASSAY_KEYS,ASSAY_VALUES,""),"")</f>
        <v/>
      </c>
      <c r="AY234" t="str">
        <f ca="1">IFERROR(_xludf.XLOOKUP($T234&amp;"|SiO2",ASSAY_KEYS,ASSAY_VALUES,""),"")</f>
        <v/>
      </c>
      <c r="AZ234" t="str">
        <f ca="1">IFERROR(_xludf.XLOOKUP($T234&amp;"|Al2O3",ASSAY_KEYS,ASSAY_VALUES,""),"")</f>
        <v/>
      </c>
      <c r="BA234" t="str">
        <f ca="1">IFERROR(_xludf.XLOOKUP($T234&amp;"|P",ASSAY_KEYS,ASSAY_VALUES,""),"")</f>
        <v/>
      </c>
      <c r="BB234" t="str">
        <f ca="1">IFERROR(_xludf.XLOOKUP($T234&amp;"|S",ASSAY_KEYS,ASSAY_VALUES,""),"")</f>
        <v/>
      </c>
      <c r="BC234" t="str">
        <f ca="1">IFERROR(_xludf.XLOOKUP($T234&amp;"|LOI",ASSAY_KEYS,ASSAY_VALUES,""),"")</f>
        <v/>
      </c>
    </row>
    <row r="235" spans="5:55" x14ac:dyDescent="0.25">
      <c r="E235" t="str">
        <f t="shared" si="9"/>
        <v/>
      </c>
      <c r="G235" t="str">
        <f ca="1">IFERROR(_xludf.XLOOKUP(F235,Lists!$A:$A,Lists!$B:$B,"",0),"")</f>
        <v/>
      </c>
      <c r="S235" t="str">
        <f t="shared" si="10"/>
        <v/>
      </c>
      <c r="AQ235" t="str">
        <f t="shared" si="11"/>
        <v/>
      </c>
      <c r="AX235" t="str">
        <f ca="1">IFERROR(_xludf.XLOOKUP($T235&amp;"|Fe",ASSAY_KEYS,ASSAY_VALUES,""),"")</f>
        <v/>
      </c>
      <c r="AY235" t="str">
        <f ca="1">IFERROR(_xludf.XLOOKUP($T235&amp;"|SiO2",ASSAY_KEYS,ASSAY_VALUES,""),"")</f>
        <v/>
      </c>
      <c r="AZ235" t="str">
        <f ca="1">IFERROR(_xludf.XLOOKUP($T235&amp;"|Al2O3",ASSAY_KEYS,ASSAY_VALUES,""),"")</f>
        <v/>
      </c>
      <c r="BA235" t="str">
        <f ca="1">IFERROR(_xludf.XLOOKUP($T235&amp;"|P",ASSAY_KEYS,ASSAY_VALUES,""),"")</f>
        <v/>
      </c>
      <c r="BB235" t="str">
        <f ca="1">IFERROR(_xludf.XLOOKUP($T235&amp;"|S",ASSAY_KEYS,ASSAY_VALUES,""),"")</f>
        <v/>
      </c>
      <c r="BC235" t="str">
        <f ca="1">IFERROR(_xludf.XLOOKUP($T235&amp;"|LOI",ASSAY_KEYS,ASSAY_VALUES,""),"")</f>
        <v/>
      </c>
    </row>
    <row r="236" spans="5:55" x14ac:dyDescent="0.25">
      <c r="E236" t="str">
        <f t="shared" si="9"/>
        <v/>
      </c>
      <c r="G236" t="str">
        <f ca="1">IFERROR(_xludf.XLOOKUP(F236,Lists!$A:$A,Lists!$B:$B,"",0),"")</f>
        <v/>
      </c>
      <c r="S236" t="str">
        <f t="shared" si="10"/>
        <v/>
      </c>
      <c r="AQ236" t="str">
        <f t="shared" si="11"/>
        <v/>
      </c>
      <c r="AX236" t="str">
        <f ca="1">IFERROR(_xludf.XLOOKUP($T236&amp;"|Fe",ASSAY_KEYS,ASSAY_VALUES,""),"")</f>
        <v/>
      </c>
      <c r="AY236" t="str">
        <f ca="1">IFERROR(_xludf.XLOOKUP($T236&amp;"|SiO2",ASSAY_KEYS,ASSAY_VALUES,""),"")</f>
        <v/>
      </c>
      <c r="AZ236" t="str">
        <f ca="1">IFERROR(_xludf.XLOOKUP($T236&amp;"|Al2O3",ASSAY_KEYS,ASSAY_VALUES,""),"")</f>
        <v/>
      </c>
      <c r="BA236" t="str">
        <f ca="1">IFERROR(_xludf.XLOOKUP($T236&amp;"|P",ASSAY_KEYS,ASSAY_VALUES,""),"")</f>
        <v/>
      </c>
      <c r="BB236" t="str">
        <f ca="1">IFERROR(_xludf.XLOOKUP($T236&amp;"|S",ASSAY_KEYS,ASSAY_VALUES,""),"")</f>
        <v/>
      </c>
      <c r="BC236" t="str">
        <f ca="1">IFERROR(_xludf.XLOOKUP($T236&amp;"|LOI",ASSAY_KEYS,ASSAY_VALUES,""),"")</f>
        <v/>
      </c>
    </row>
    <row r="237" spans="5:55" x14ac:dyDescent="0.25">
      <c r="E237" t="str">
        <f t="shared" si="9"/>
        <v/>
      </c>
      <c r="G237" t="str">
        <f ca="1">IFERROR(_xludf.XLOOKUP(F237,Lists!$A:$A,Lists!$B:$B,"",0),"")</f>
        <v/>
      </c>
      <c r="S237" t="str">
        <f t="shared" si="10"/>
        <v/>
      </c>
      <c r="AQ237" t="str">
        <f t="shared" si="11"/>
        <v/>
      </c>
      <c r="AX237" t="str">
        <f ca="1">IFERROR(_xludf.XLOOKUP($T237&amp;"|Fe",ASSAY_KEYS,ASSAY_VALUES,""),"")</f>
        <v/>
      </c>
      <c r="AY237" t="str">
        <f ca="1">IFERROR(_xludf.XLOOKUP($T237&amp;"|SiO2",ASSAY_KEYS,ASSAY_VALUES,""),"")</f>
        <v/>
      </c>
      <c r="AZ237" t="str">
        <f ca="1">IFERROR(_xludf.XLOOKUP($T237&amp;"|Al2O3",ASSAY_KEYS,ASSAY_VALUES,""),"")</f>
        <v/>
      </c>
      <c r="BA237" t="str">
        <f ca="1">IFERROR(_xludf.XLOOKUP($T237&amp;"|P",ASSAY_KEYS,ASSAY_VALUES,""),"")</f>
        <v/>
      </c>
      <c r="BB237" t="str">
        <f ca="1">IFERROR(_xludf.XLOOKUP($T237&amp;"|S",ASSAY_KEYS,ASSAY_VALUES,""),"")</f>
        <v/>
      </c>
      <c r="BC237" t="str">
        <f ca="1">IFERROR(_xludf.XLOOKUP($T237&amp;"|LOI",ASSAY_KEYS,ASSAY_VALUES,""),"")</f>
        <v/>
      </c>
    </row>
    <row r="238" spans="5:55" x14ac:dyDescent="0.25">
      <c r="E238" t="str">
        <f t="shared" si="9"/>
        <v/>
      </c>
      <c r="G238" t="str">
        <f ca="1">IFERROR(_xludf.XLOOKUP(F238,Lists!$A:$A,Lists!$B:$B,"",0),"")</f>
        <v/>
      </c>
      <c r="S238" t="str">
        <f t="shared" si="10"/>
        <v/>
      </c>
      <c r="AQ238" t="str">
        <f t="shared" si="11"/>
        <v/>
      </c>
      <c r="AX238" t="str">
        <f ca="1">IFERROR(_xludf.XLOOKUP($T238&amp;"|Fe",ASSAY_KEYS,ASSAY_VALUES,""),"")</f>
        <v/>
      </c>
      <c r="AY238" t="str">
        <f ca="1">IFERROR(_xludf.XLOOKUP($T238&amp;"|SiO2",ASSAY_KEYS,ASSAY_VALUES,""),"")</f>
        <v/>
      </c>
      <c r="AZ238" t="str">
        <f ca="1">IFERROR(_xludf.XLOOKUP($T238&amp;"|Al2O3",ASSAY_KEYS,ASSAY_VALUES,""),"")</f>
        <v/>
      </c>
      <c r="BA238" t="str">
        <f ca="1">IFERROR(_xludf.XLOOKUP($T238&amp;"|P",ASSAY_KEYS,ASSAY_VALUES,""),"")</f>
        <v/>
      </c>
      <c r="BB238" t="str">
        <f ca="1">IFERROR(_xludf.XLOOKUP($T238&amp;"|S",ASSAY_KEYS,ASSAY_VALUES,""),"")</f>
        <v/>
      </c>
      <c r="BC238" t="str">
        <f ca="1">IFERROR(_xludf.XLOOKUP($T238&amp;"|LOI",ASSAY_KEYS,ASSAY_VALUES,""),"")</f>
        <v/>
      </c>
    </row>
    <row r="239" spans="5:55" x14ac:dyDescent="0.25">
      <c r="E239" t="str">
        <f t="shared" si="9"/>
        <v/>
      </c>
      <c r="G239" t="str">
        <f ca="1">IFERROR(_xludf.XLOOKUP(F239,Lists!$A:$A,Lists!$B:$B,"",0),"")</f>
        <v/>
      </c>
      <c r="S239" t="str">
        <f t="shared" si="10"/>
        <v/>
      </c>
      <c r="AQ239" t="str">
        <f t="shared" si="11"/>
        <v/>
      </c>
      <c r="AX239" t="str">
        <f ca="1">IFERROR(_xludf.XLOOKUP($T239&amp;"|Fe",ASSAY_KEYS,ASSAY_VALUES,""),"")</f>
        <v/>
      </c>
      <c r="AY239" t="str">
        <f ca="1">IFERROR(_xludf.XLOOKUP($T239&amp;"|SiO2",ASSAY_KEYS,ASSAY_VALUES,""),"")</f>
        <v/>
      </c>
      <c r="AZ239" t="str">
        <f ca="1">IFERROR(_xludf.XLOOKUP($T239&amp;"|Al2O3",ASSAY_KEYS,ASSAY_VALUES,""),"")</f>
        <v/>
      </c>
      <c r="BA239" t="str">
        <f ca="1">IFERROR(_xludf.XLOOKUP($T239&amp;"|P",ASSAY_KEYS,ASSAY_VALUES,""),"")</f>
        <v/>
      </c>
      <c r="BB239" t="str">
        <f ca="1">IFERROR(_xludf.XLOOKUP($T239&amp;"|S",ASSAY_KEYS,ASSAY_VALUES,""),"")</f>
        <v/>
      </c>
      <c r="BC239" t="str">
        <f ca="1">IFERROR(_xludf.XLOOKUP($T239&amp;"|LOI",ASSAY_KEYS,ASSAY_VALUES,""),"")</f>
        <v/>
      </c>
    </row>
    <row r="240" spans="5:55" x14ac:dyDescent="0.25">
      <c r="E240" t="str">
        <f t="shared" si="9"/>
        <v/>
      </c>
      <c r="G240" t="str">
        <f ca="1">IFERROR(_xludf.XLOOKUP(F240,Lists!$A:$A,Lists!$B:$B,"",0),"")</f>
        <v/>
      </c>
      <c r="S240" t="str">
        <f t="shared" si="10"/>
        <v/>
      </c>
      <c r="AQ240" t="str">
        <f t="shared" si="11"/>
        <v/>
      </c>
      <c r="AX240" t="str">
        <f ca="1">IFERROR(_xludf.XLOOKUP($T240&amp;"|Fe",ASSAY_KEYS,ASSAY_VALUES,""),"")</f>
        <v/>
      </c>
      <c r="AY240" t="str">
        <f ca="1">IFERROR(_xludf.XLOOKUP($T240&amp;"|SiO2",ASSAY_KEYS,ASSAY_VALUES,""),"")</f>
        <v/>
      </c>
      <c r="AZ240" t="str">
        <f ca="1">IFERROR(_xludf.XLOOKUP($T240&amp;"|Al2O3",ASSAY_KEYS,ASSAY_VALUES,""),"")</f>
        <v/>
      </c>
      <c r="BA240" t="str">
        <f ca="1">IFERROR(_xludf.XLOOKUP($T240&amp;"|P",ASSAY_KEYS,ASSAY_VALUES,""),"")</f>
        <v/>
      </c>
      <c r="BB240" t="str">
        <f ca="1">IFERROR(_xludf.XLOOKUP($T240&amp;"|S",ASSAY_KEYS,ASSAY_VALUES,""),"")</f>
        <v/>
      </c>
      <c r="BC240" t="str">
        <f ca="1">IFERROR(_xludf.XLOOKUP($T240&amp;"|LOI",ASSAY_KEYS,ASSAY_VALUES,""),"")</f>
        <v/>
      </c>
    </row>
    <row r="241" spans="5:55" x14ac:dyDescent="0.25">
      <c r="E241" t="str">
        <f t="shared" si="9"/>
        <v/>
      </c>
      <c r="G241" t="str">
        <f ca="1">IFERROR(_xludf.XLOOKUP(F241,Lists!$A:$A,Lists!$B:$B,"",0),"")</f>
        <v/>
      </c>
      <c r="S241" t="str">
        <f t="shared" si="10"/>
        <v/>
      </c>
      <c r="AQ241" t="str">
        <f t="shared" si="11"/>
        <v/>
      </c>
      <c r="AX241" t="str">
        <f ca="1">IFERROR(_xludf.XLOOKUP($T241&amp;"|Fe",ASSAY_KEYS,ASSAY_VALUES,""),"")</f>
        <v/>
      </c>
      <c r="AY241" t="str">
        <f ca="1">IFERROR(_xludf.XLOOKUP($T241&amp;"|SiO2",ASSAY_KEYS,ASSAY_VALUES,""),"")</f>
        <v/>
      </c>
      <c r="AZ241" t="str">
        <f ca="1">IFERROR(_xludf.XLOOKUP($T241&amp;"|Al2O3",ASSAY_KEYS,ASSAY_VALUES,""),"")</f>
        <v/>
      </c>
      <c r="BA241" t="str">
        <f ca="1">IFERROR(_xludf.XLOOKUP($T241&amp;"|P",ASSAY_KEYS,ASSAY_VALUES,""),"")</f>
        <v/>
      </c>
      <c r="BB241" t="str">
        <f ca="1">IFERROR(_xludf.XLOOKUP($T241&amp;"|S",ASSAY_KEYS,ASSAY_VALUES,""),"")</f>
        <v/>
      </c>
      <c r="BC241" t="str">
        <f ca="1">IFERROR(_xludf.XLOOKUP($T241&amp;"|LOI",ASSAY_KEYS,ASSAY_VALUES,""),"")</f>
        <v/>
      </c>
    </row>
    <row r="242" spans="5:55" x14ac:dyDescent="0.25">
      <c r="E242" t="str">
        <f t="shared" si="9"/>
        <v/>
      </c>
      <c r="G242" t="str">
        <f ca="1">IFERROR(_xludf.XLOOKUP(F242,Lists!$A:$A,Lists!$B:$B,"",0),"")</f>
        <v/>
      </c>
      <c r="S242" t="str">
        <f t="shared" si="10"/>
        <v/>
      </c>
      <c r="AQ242" t="str">
        <f t="shared" si="11"/>
        <v/>
      </c>
      <c r="AX242" t="str">
        <f ca="1">IFERROR(_xludf.XLOOKUP($T242&amp;"|Fe",ASSAY_KEYS,ASSAY_VALUES,""),"")</f>
        <v/>
      </c>
      <c r="AY242" t="str">
        <f ca="1">IFERROR(_xludf.XLOOKUP($T242&amp;"|SiO2",ASSAY_KEYS,ASSAY_VALUES,""),"")</f>
        <v/>
      </c>
      <c r="AZ242" t="str">
        <f ca="1">IFERROR(_xludf.XLOOKUP($T242&amp;"|Al2O3",ASSAY_KEYS,ASSAY_VALUES,""),"")</f>
        <v/>
      </c>
      <c r="BA242" t="str">
        <f ca="1">IFERROR(_xludf.XLOOKUP($T242&amp;"|P",ASSAY_KEYS,ASSAY_VALUES,""),"")</f>
        <v/>
      </c>
      <c r="BB242" t="str">
        <f ca="1">IFERROR(_xludf.XLOOKUP($T242&amp;"|S",ASSAY_KEYS,ASSAY_VALUES,""),"")</f>
        <v/>
      </c>
      <c r="BC242" t="str">
        <f ca="1">IFERROR(_xludf.XLOOKUP($T242&amp;"|LOI",ASSAY_KEYS,ASSAY_VALUES,""),"")</f>
        <v/>
      </c>
    </row>
    <row r="243" spans="5:55" x14ac:dyDescent="0.25">
      <c r="E243" t="str">
        <f t="shared" si="9"/>
        <v/>
      </c>
      <c r="G243" t="str">
        <f ca="1">IFERROR(_xludf.XLOOKUP(F243,Lists!$A:$A,Lists!$B:$B,"",0),"")</f>
        <v/>
      </c>
      <c r="S243" t="str">
        <f t="shared" si="10"/>
        <v/>
      </c>
      <c r="AQ243" t="str">
        <f t="shared" si="11"/>
        <v/>
      </c>
      <c r="AX243" t="str">
        <f ca="1">IFERROR(_xludf.XLOOKUP($T243&amp;"|Fe",ASSAY_KEYS,ASSAY_VALUES,""),"")</f>
        <v/>
      </c>
      <c r="AY243" t="str">
        <f ca="1">IFERROR(_xludf.XLOOKUP($T243&amp;"|SiO2",ASSAY_KEYS,ASSAY_VALUES,""),"")</f>
        <v/>
      </c>
      <c r="AZ243" t="str">
        <f ca="1">IFERROR(_xludf.XLOOKUP($T243&amp;"|Al2O3",ASSAY_KEYS,ASSAY_VALUES,""),"")</f>
        <v/>
      </c>
      <c r="BA243" t="str">
        <f ca="1">IFERROR(_xludf.XLOOKUP($T243&amp;"|P",ASSAY_KEYS,ASSAY_VALUES,""),"")</f>
        <v/>
      </c>
      <c r="BB243" t="str">
        <f ca="1">IFERROR(_xludf.XLOOKUP($T243&amp;"|S",ASSAY_KEYS,ASSAY_VALUES,""),"")</f>
        <v/>
      </c>
      <c r="BC243" t="str">
        <f ca="1">IFERROR(_xludf.XLOOKUP($T243&amp;"|LOI",ASSAY_KEYS,ASSAY_VALUES,""),"")</f>
        <v/>
      </c>
    </row>
    <row r="244" spans="5:55" x14ac:dyDescent="0.25">
      <c r="E244" t="str">
        <f t="shared" si="9"/>
        <v/>
      </c>
      <c r="G244" t="str">
        <f ca="1">IFERROR(_xludf.XLOOKUP(F244,Lists!$A:$A,Lists!$B:$B,"",0),"")</f>
        <v/>
      </c>
      <c r="S244" t="str">
        <f t="shared" si="10"/>
        <v/>
      </c>
      <c r="AQ244" t="str">
        <f t="shared" si="11"/>
        <v/>
      </c>
      <c r="AX244" t="str">
        <f ca="1">IFERROR(_xludf.XLOOKUP($T244&amp;"|Fe",ASSAY_KEYS,ASSAY_VALUES,""),"")</f>
        <v/>
      </c>
      <c r="AY244" t="str">
        <f ca="1">IFERROR(_xludf.XLOOKUP($T244&amp;"|SiO2",ASSAY_KEYS,ASSAY_VALUES,""),"")</f>
        <v/>
      </c>
      <c r="AZ244" t="str">
        <f ca="1">IFERROR(_xludf.XLOOKUP($T244&amp;"|Al2O3",ASSAY_KEYS,ASSAY_VALUES,""),"")</f>
        <v/>
      </c>
      <c r="BA244" t="str">
        <f ca="1">IFERROR(_xludf.XLOOKUP($T244&amp;"|P",ASSAY_KEYS,ASSAY_VALUES,""),"")</f>
        <v/>
      </c>
      <c r="BB244" t="str">
        <f ca="1">IFERROR(_xludf.XLOOKUP($T244&amp;"|S",ASSAY_KEYS,ASSAY_VALUES,""),"")</f>
        <v/>
      </c>
      <c r="BC244" t="str">
        <f ca="1">IFERROR(_xludf.XLOOKUP($T244&amp;"|LOI",ASSAY_KEYS,ASSAY_VALUES,""),"")</f>
        <v/>
      </c>
    </row>
    <row r="245" spans="5:55" x14ac:dyDescent="0.25">
      <c r="E245" t="str">
        <f t="shared" si="9"/>
        <v/>
      </c>
      <c r="G245" t="str">
        <f ca="1">IFERROR(_xludf.XLOOKUP(F245,Lists!$A:$A,Lists!$B:$B,"",0),"")</f>
        <v/>
      </c>
      <c r="S245" t="str">
        <f t="shared" si="10"/>
        <v/>
      </c>
      <c r="AQ245" t="str">
        <f t="shared" si="11"/>
        <v/>
      </c>
      <c r="AX245" t="str">
        <f ca="1">IFERROR(_xludf.XLOOKUP($T245&amp;"|Fe",ASSAY_KEYS,ASSAY_VALUES,""),"")</f>
        <v/>
      </c>
      <c r="AY245" t="str">
        <f ca="1">IFERROR(_xludf.XLOOKUP($T245&amp;"|SiO2",ASSAY_KEYS,ASSAY_VALUES,""),"")</f>
        <v/>
      </c>
      <c r="AZ245" t="str">
        <f ca="1">IFERROR(_xludf.XLOOKUP($T245&amp;"|Al2O3",ASSAY_KEYS,ASSAY_VALUES,""),"")</f>
        <v/>
      </c>
      <c r="BA245" t="str">
        <f ca="1">IFERROR(_xludf.XLOOKUP($T245&amp;"|P",ASSAY_KEYS,ASSAY_VALUES,""),"")</f>
        <v/>
      </c>
      <c r="BB245" t="str">
        <f ca="1">IFERROR(_xludf.XLOOKUP($T245&amp;"|S",ASSAY_KEYS,ASSAY_VALUES,""),"")</f>
        <v/>
      </c>
      <c r="BC245" t="str">
        <f ca="1">IFERROR(_xludf.XLOOKUP($T245&amp;"|LOI",ASSAY_KEYS,ASSAY_VALUES,""),"")</f>
        <v/>
      </c>
    </row>
    <row r="246" spans="5:55" x14ac:dyDescent="0.25">
      <c r="E246" t="str">
        <f t="shared" si="9"/>
        <v/>
      </c>
      <c r="G246" t="str">
        <f ca="1">IFERROR(_xludf.XLOOKUP(F246,Lists!$A:$A,Lists!$B:$B,"",0),"")</f>
        <v/>
      </c>
      <c r="S246" t="str">
        <f t="shared" si="10"/>
        <v/>
      </c>
      <c r="AQ246" t="str">
        <f t="shared" si="11"/>
        <v/>
      </c>
      <c r="AX246" t="str">
        <f ca="1">IFERROR(_xludf.XLOOKUP($T246&amp;"|Fe",ASSAY_KEYS,ASSAY_VALUES,""),"")</f>
        <v/>
      </c>
      <c r="AY246" t="str">
        <f ca="1">IFERROR(_xludf.XLOOKUP($T246&amp;"|SiO2",ASSAY_KEYS,ASSAY_VALUES,""),"")</f>
        <v/>
      </c>
      <c r="AZ246" t="str">
        <f ca="1">IFERROR(_xludf.XLOOKUP($T246&amp;"|Al2O3",ASSAY_KEYS,ASSAY_VALUES,""),"")</f>
        <v/>
      </c>
      <c r="BA246" t="str">
        <f ca="1">IFERROR(_xludf.XLOOKUP($T246&amp;"|P",ASSAY_KEYS,ASSAY_VALUES,""),"")</f>
        <v/>
      </c>
      <c r="BB246" t="str">
        <f ca="1">IFERROR(_xludf.XLOOKUP($T246&amp;"|S",ASSAY_KEYS,ASSAY_VALUES,""),"")</f>
        <v/>
      </c>
      <c r="BC246" t="str">
        <f ca="1">IFERROR(_xludf.XLOOKUP($T246&amp;"|LOI",ASSAY_KEYS,ASSAY_VALUES,""),"")</f>
        <v/>
      </c>
    </row>
    <row r="247" spans="5:55" x14ac:dyDescent="0.25">
      <c r="E247" t="str">
        <f t="shared" si="9"/>
        <v/>
      </c>
      <c r="G247" t="str">
        <f ca="1">IFERROR(_xludf.XLOOKUP(F247,Lists!$A:$A,Lists!$B:$B,"",0),"")</f>
        <v/>
      </c>
      <c r="S247" t="str">
        <f t="shared" si="10"/>
        <v/>
      </c>
      <c r="AQ247" t="str">
        <f t="shared" si="11"/>
        <v/>
      </c>
      <c r="AX247" t="str">
        <f ca="1">IFERROR(_xludf.XLOOKUP($T247&amp;"|Fe",ASSAY_KEYS,ASSAY_VALUES,""),"")</f>
        <v/>
      </c>
      <c r="AY247" t="str">
        <f ca="1">IFERROR(_xludf.XLOOKUP($T247&amp;"|SiO2",ASSAY_KEYS,ASSAY_VALUES,""),"")</f>
        <v/>
      </c>
      <c r="AZ247" t="str">
        <f ca="1">IFERROR(_xludf.XLOOKUP($T247&amp;"|Al2O3",ASSAY_KEYS,ASSAY_VALUES,""),"")</f>
        <v/>
      </c>
      <c r="BA247" t="str">
        <f ca="1">IFERROR(_xludf.XLOOKUP($T247&amp;"|P",ASSAY_KEYS,ASSAY_VALUES,""),"")</f>
        <v/>
      </c>
      <c r="BB247" t="str">
        <f ca="1">IFERROR(_xludf.XLOOKUP($T247&amp;"|S",ASSAY_KEYS,ASSAY_VALUES,""),"")</f>
        <v/>
      </c>
      <c r="BC247" t="str">
        <f ca="1">IFERROR(_xludf.XLOOKUP($T247&amp;"|LOI",ASSAY_KEYS,ASSAY_VALUES,""),"")</f>
        <v/>
      </c>
    </row>
    <row r="248" spans="5:55" x14ac:dyDescent="0.25">
      <c r="E248" t="str">
        <f t="shared" si="9"/>
        <v/>
      </c>
      <c r="G248" t="str">
        <f ca="1">IFERROR(_xludf.XLOOKUP(F248,Lists!$A:$A,Lists!$B:$B,"",0),"")</f>
        <v/>
      </c>
      <c r="S248" t="str">
        <f t="shared" si="10"/>
        <v/>
      </c>
      <c r="AQ248" t="str">
        <f t="shared" si="11"/>
        <v/>
      </c>
      <c r="AX248" t="str">
        <f ca="1">IFERROR(_xludf.XLOOKUP($T248&amp;"|Fe",ASSAY_KEYS,ASSAY_VALUES,""),"")</f>
        <v/>
      </c>
      <c r="AY248" t="str">
        <f ca="1">IFERROR(_xludf.XLOOKUP($T248&amp;"|SiO2",ASSAY_KEYS,ASSAY_VALUES,""),"")</f>
        <v/>
      </c>
      <c r="AZ248" t="str">
        <f ca="1">IFERROR(_xludf.XLOOKUP($T248&amp;"|Al2O3",ASSAY_KEYS,ASSAY_VALUES,""),"")</f>
        <v/>
      </c>
      <c r="BA248" t="str">
        <f ca="1">IFERROR(_xludf.XLOOKUP($T248&amp;"|P",ASSAY_KEYS,ASSAY_VALUES,""),"")</f>
        <v/>
      </c>
      <c r="BB248" t="str">
        <f ca="1">IFERROR(_xludf.XLOOKUP($T248&amp;"|S",ASSAY_KEYS,ASSAY_VALUES,""),"")</f>
        <v/>
      </c>
      <c r="BC248" t="str">
        <f ca="1">IFERROR(_xludf.XLOOKUP($T248&amp;"|LOI",ASSAY_KEYS,ASSAY_VALUES,""),"")</f>
        <v/>
      </c>
    </row>
    <row r="249" spans="5:55" x14ac:dyDescent="0.25">
      <c r="E249" t="str">
        <f t="shared" si="9"/>
        <v/>
      </c>
      <c r="G249" t="str">
        <f ca="1">IFERROR(_xludf.XLOOKUP(F249,Lists!$A:$A,Lists!$B:$B,"",0),"")</f>
        <v/>
      </c>
      <c r="S249" t="str">
        <f t="shared" si="10"/>
        <v/>
      </c>
      <c r="AQ249" t="str">
        <f t="shared" si="11"/>
        <v/>
      </c>
      <c r="AX249" t="str">
        <f ca="1">IFERROR(_xludf.XLOOKUP($T249&amp;"|Fe",ASSAY_KEYS,ASSAY_VALUES,""),"")</f>
        <v/>
      </c>
      <c r="AY249" t="str">
        <f ca="1">IFERROR(_xludf.XLOOKUP($T249&amp;"|SiO2",ASSAY_KEYS,ASSAY_VALUES,""),"")</f>
        <v/>
      </c>
      <c r="AZ249" t="str">
        <f ca="1">IFERROR(_xludf.XLOOKUP($T249&amp;"|Al2O3",ASSAY_KEYS,ASSAY_VALUES,""),"")</f>
        <v/>
      </c>
      <c r="BA249" t="str">
        <f ca="1">IFERROR(_xludf.XLOOKUP($T249&amp;"|P",ASSAY_KEYS,ASSAY_VALUES,""),"")</f>
        <v/>
      </c>
      <c r="BB249" t="str">
        <f ca="1">IFERROR(_xludf.XLOOKUP($T249&amp;"|S",ASSAY_KEYS,ASSAY_VALUES,""),"")</f>
        <v/>
      </c>
      <c r="BC249" t="str">
        <f ca="1">IFERROR(_xludf.XLOOKUP($T249&amp;"|LOI",ASSAY_KEYS,ASSAY_VALUES,""),"")</f>
        <v/>
      </c>
    </row>
    <row r="250" spans="5:55" x14ac:dyDescent="0.25">
      <c r="E250" t="str">
        <f t="shared" si="9"/>
        <v/>
      </c>
      <c r="G250" t="str">
        <f ca="1">IFERROR(_xludf.XLOOKUP(F250,Lists!$A:$A,Lists!$B:$B,"",0),"")</f>
        <v/>
      </c>
      <c r="S250" t="str">
        <f t="shared" si="10"/>
        <v/>
      </c>
      <c r="AQ250" t="str">
        <f t="shared" si="11"/>
        <v/>
      </c>
      <c r="AX250" t="str">
        <f ca="1">IFERROR(_xludf.XLOOKUP($T250&amp;"|Fe",ASSAY_KEYS,ASSAY_VALUES,""),"")</f>
        <v/>
      </c>
      <c r="AY250" t="str">
        <f ca="1">IFERROR(_xludf.XLOOKUP($T250&amp;"|SiO2",ASSAY_KEYS,ASSAY_VALUES,""),"")</f>
        <v/>
      </c>
      <c r="AZ250" t="str">
        <f ca="1">IFERROR(_xludf.XLOOKUP($T250&amp;"|Al2O3",ASSAY_KEYS,ASSAY_VALUES,""),"")</f>
        <v/>
      </c>
      <c r="BA250" t="str">
        <f ca="1">IFERROR(_xludf.XLOOKUP($T250&amp;"|P",ASSAY_KEYS,ASSAY_VALUES,""),"")</f>
        <v/>
      </c>
      <c r="BB250" t="str">
        <f ca="1">IFERROR(_xludf.XLOOKUP($T250&amp;"|S",ASSAY_KEYS,ASSAY_VALUES,""),"")</f>
        <v/>
      </c>
      <c r="BC250" t="str">
        <f ca="1">IFERROR(_xludf.XLOOKUP($T250&amp;"|LOI",ASSAY_KEYS,ASSAY_VALUES,""),"")</f>
        <v/>
      </c>
    </row>
    <row r="251" spans="5:55" x14ac:dyDescent="0.25">
      <c r="E251" t="str">
        <f t="shared" si="9"/>
        <v/>
      </c>
      <c r="G251" t="str">
        <f ca="1">IFERROR(_xludf.XLOOKUP(F251,Lists!$A:$A,Lists!$B:$B,"",0),"")</f>
        <v/>
      </c>
      <c r="S251" t="str">
        <f t="shared" si="10"/>
        <v/>
      </c>
      <c r="AQ251" t="str">
        <f t="shared" si="11"/>
        <v/>
      </c>
      <c r="AX251" t="str">
        <f ca="1">IFERROR(_xludf.XLOOKUP($T251&amp;"|Fe",ASSAY_KEYS,ASSAY_VALUES,""),"")</f>
        <v/>
      </c>
      <c r="AY251" t="str">
        <f ca="1">IFERROR(_xludf.XLOOKUP($T251&amp;"|SiO2",ASSAY_KEYS,ASSAY_VALUES,""),"")</f>
        <v/>
      </c>
      <c r="AZ251" t="str">
        <f ca="1">IFERROR(_xludf.XLOOKUP($T251&amp;"|Al2O3",ASSAY_KEYS,ASSAY_VALUES,""),"")</f>
        <v/>
      </c>
      <c r="BA251" t="str">
        <f ca="1">IFERROR(_xludf.XLOOKUP($T251&amp;"|P",ASSAY_KEYS,ASSAY_VALUES,""),"")</f>
        <v/>
      </c>
      <c r="BB251" t="str">
        <f ca="1">IFERROR(_xludf.XLOOKUP($T251&amp;"|S",ASSAY_KEYS,ASSAY_VALUES,""),"")</f>
        <v/>
      </c>
      <c r="BC251" t="str">
        <f ca="1">IFERROR(_xludf.XLOOKUP($T251&amp;"|LOI",ASSAY_KEYS,ASSAY_VALUES,""),"")</f>
        <v/>
      </c>
    </row>
    <row r="252" spans="5:55" x14ac:dyDescent="0.25">
      <c r="E252" t="str">
        <f t="shared" si="9"/>
        <v/>
      </c>
      <c r="G252" t="str">
        <f ca="1">IFERROR(_xludf.XLOOKUP(F252,Lists!$A:$A,Lists!$B:$B,"",0),"")</f>
        <v/>
      </c>
      <c r="S252" t="str">
        <f t="shared" si="10"/>
        <v/>
      </c>
      <c r="AQ252" t="str">
        <f t="shared" si="11"/>
        <v/>
      </c>
      <c r="AX252" t="str">
        <f ca="1">IFERROR(_xludf.XLOOKUP($T252&amp;"|Fe",ASSAY_KEYS,ASSAY_VALUES,""),"")</f>
        <v/>
      </c>
      <c r="AY252" t="str">
        <f ca="1">IFERROR(_xludf.XLOOKUP($T252&amp;"|SiO2",ASSAY_KEYS,ASSAY_VALUES,""),"")</f>
        <v/>
      </c>
      <c r="AZ252" t="str">
        <f ca="1">IFERROR(_xludf.XLOOKUP($T252&amp;"|Al2O3",ASSAY_KEYS,ASSAY_VALUES,""),"")</f>
        <v/>
      </c>
      <c r="BA252" t="str">
        <f ca="1">IFERROR(_xludf.XLOOKUP($T252&amp;"|P",ASSAY_KEYS,ASSAY_VALUES,""),"")</f>
        <v/>
      </c>
      <c r="BB252" t="str">
        <f ca="1">IFERROR(_xludf.XLOOKUP($T252&amp;"|S",ASSAY_KEYS,ASSAY_VALUES,""),"")</f>
        <v/>
      </c>
      <c r="BC252" t="str">
        <f ca="1">IFERROR(_xludf.XLOOKUP($T252&amp;"|LOI",ASSAY_KEYS,ASSAY_VALUES,""),"")</f>
        <v/>
      </c>
    </row>
    <row r="253" spans="5:55" x14ac:dyDescent="0.25">
      <c r="E253" t="str">
        <f t="shared" si="9"/>
        <v/>
      </c>
      <c r="G253" t="str">
        <f ca="1">IFERROR(_xludf.XLOOKUP(F253,Lists!$A:$A,Lists!$B:$B,"",0),"")</f>
        <v/>
      </c>
      <c r="S253" t="str">
        <f t="shared" si="10"/>
        <v/>
      </c>
      <c r="AQ253" t="str">
        <f t="shared" si="11"/>
        <v/>
      </c>
      <c r="AX253" t="str">
        <f ca="1">IFERROR(_xludf.XLOOKUP($T253&amp;"|Fe",ASSAY_KEYS,ASSAY_VALUES,""),"")</f>
        <v/>
      </c>
      <c r="AY253" t="str">
        <f ca="1">IFERROR(_xludf.XLOOKUP($T253&amp;"|SiO2",ASSAY_KEYS,ASSAY_VALUES,""),"")</f>
        <v/>
      </c>
      <c r="AZ253" t="str">
        <f ca="1">IFERROR(_xludf.XLOOKUP($T253&amp;"|Al2O3",ASSAY_KEYS,ASSAY_VALUES,""),"")</f>
        <v/>
      </c>
      <c r="BA253" t="str">
        <f ca="1">IFERROR(_xludf.XLOOKUP($T253&amp;"|P",ASSAY_KEYS,ASSAY_VALUES,""),"")</f>
        <v/>
      </c>
      <c r="BB253" t="str">
        <f ca="1">IFERROR(_xludf.XLOOKUP($T253&amp;"|S",ASSAY_KEYS,ASSAY_VALUES,""),"")</f>
        <v/>
      </c>
      <c r="BC253" t="str">
        <f ca="1">IFERROR(_xludf.XLOOKUP($T253&amp;"|LOI",ASSAY_KEYS,ASSAY_VALUES,""),"")</f>
        <v/>
      </c>
    </row>
    <row r="254" spans="5:55" x14ac:dyDescent="0.25">
      <c r="E254" t="str">
        <f t="shared" si="9"/>
        <v/>
      </c>
      <c r="G254" t="str">
        <f ca="1">IFERROR(_xludf.XLOOKUP(F254,Lists!$A:$A,Lists!$B:$B,"",0),"")</f>
        <v/>
      </c>
      <c r="S254" t="str">
        <f t="shared" si="10"/>
        <v/>
      </c>
      <c r="AQ254" t="str">
        <f t="shared" si="11"/>
        <v/>
      </c>
      <c r="AX254" t="str">
        <f ca="1">IFERROR(_xludf.XLOOKUP($T254&amp;"|Fe",ASSAY_KEYS,ASSAY_VALUES,""),"")</f>
        <v/>
      </c>
      <c r="AY254" t="str">
        <f ca="1">IFERROR(_xludf.XLOOKUP($T254&amp;"|SiO2",ASSAY_KEYS,ASSAY_VALUES,""),"")</f>
        <v/>
      </c>
      <c r="AZ254" t="str">
        <f ca="1">IFERROR(_xludf.XLOOKUP($T254&amp;"|Al2O3",ASSAY_KEYS,ASSAY_VALUES,""),"")</f>
        <v/>
      </c>
      <c r="BA254" t="str">
        <f ca="1">IFERROR(_xludf.XLOOKUP($T254&amp;"|P",ASSAY_KEYS,ASSAY_VALUES,""),"")</f>
        <v/>
      </c>
      <c r="BB254" t="str">
        <f ca="1">IFERROR(_xludf.XLOOKUP($T254&amp;"|S",ASSAY_KEYS,ASSAY_VALUES,""),"")</f>
        <v/>
      </c>
      <c r="BC254" t="str">
        <f ca="1">IFERROR(_xludf.XLOOKUP($T254&amp;"|LOI",ASSAY_KEYS,ASSAY_VALUES,""),"")</f>
        <v/>
      </c>
    </row>
    <row r="255" spans="5:55" x14ac:dyDescent="0.25">
      <c r="E255" t="str">
        <f t="shared" si="9"/>
        <v/>
      </c>
      <c r="G255" t="str">
        <f ca="1">IFERROR(_xludf.XLOOKUP(F255,Lists!$A:$A,Lists!$B:$B,"",0),"")</f>
        <v/>
      </c>
      <c r="S255" t="str">
        <f t="shared" si="10"/>
        <v/>
      </c>
      <c r="AQ255" t="str">
        <f t="shared" si="11"/>
        <v/>
      </c>
      <c r="AX255" t="str">
        <f ca="1">IFERROR(_xludf.XLOOKUP($T255&amp;"|Fe",ASSAY_KEYS,ASSAY_VALUES,""),"")</f>
        <v/>
      </c>
      <c r="AY255" t="str">
        <f ca="1">IFERROR(_xludf.XLOOKUP($T255&amp;"|SiO2",ASSAY_KEYS,ASSAY_VALUES,""),"")</f>
        <v/>
      </c>
      <c r="AZ255" t="str">
        <f ca="1">IFERROR(_xludf.XLOOKUP($T255&amp;"|Al2O3",ASSAY_KEYS,ASSAY_VALUES,""),"")</f>
        <v/>
      </c>
      <c r="BA255" t="str">
        <f ca="1">IFERROR(_xludf.XLOOKUP($T255&amp;"|P",ASSAY_KEYS,ASSAY_VALUES,""),"")</f>
        <v/>
      </c>
      <c r="BB255" t="str">
        <f ca="1">IFERROR(_xludf.XLOOKUP($T255&amp;"|S",ASSAY_KEYS,ASSAY_VALUES,""),"")</f>
        <v/>
      </c>
      <c r="BC255" t="str">
        <f ca="1">IFERROR(_xludf.XLOOKUP($T255&amp;"|LOI",ASSAY_KEYS,ASSAY_VALUES,""),"")</f>
        <v/>
      </c>
    </row>
    <row r="256" spans="5:55" x14ac:dyDescent="0.25">
      <c r="E256" t="str">
        <f t="shared" si="9"/>
        <v/>
      </c>
      <c r="G256" t="str">
        <f ca="1">IFERROR(_xludf.XLOOKUP(F256,Lists!$A:$A,Lists!$B:$B,"",0),"")</f>
        <v/>
      </c>
      <c r="S256" t="str">
        <f t="shared" si="10"/>
        <v/>
      </c>
      <c r="AQ256" t="str">
        <f t="shared" si="11"/>
        <v/>
      </c>
      <c r="AX256" t="str">
        <f ca="1">IFERROR(_xludf.XLOOKUP($T256&amp;"|Fe",ASSAY_KEYS,ASSAY_VALUES,""),"")</f>
        <v/>
      </c>
      <c r="AY256" t="str">
        <f ca="1">IFERROR(_xludf.XLOOKUP($T256&amp;"|SiO2",ASSAY_KEYS,ASSAY_VALUES,""),"")</f>
        <v/>
      </c>
      <c r="AZ256" t="str">
        <f ca="1">IFERROR(_xludf.XLOOKUP($T256&amp;"|Al2O3",ASSAY_KEYS,ASSAY_VALUES,""),"")</f>
        <v/>
      </c>
      <c r="BA256" t="str">
        <f ca="1">IFERROR(_xludf.XLOOKUP($T256&amp;"|P",ASSAY_KEYS,ASSAY_VALUES,""),"")</f>
        <v/>
      </c>
      <c r="BB256" t="str">
        <f ca="1">IFERROR(_xludf.XLOOKUP($T256&amp;"|S",ASSAY_KEYS,ASSAY_VALUES,""),"")</f>
        <v/>
      </c>
      <c r="BC256" t="str">
        <f ca="1">IFERROR(_xludf.XLOOKUP($T256&amp;"|LOI",ASSAY_KEYS,ASSAY_VALUES,""),"")</f>
        <v/>
      </c>
    </row>
    <row r="257" spans="5:55" x14ac:dyDescent="0.25">
      <c r="E257" t="str">
        <f t="shared" si="9"/>
        <v/>
      </c>
      <c r="G257" t="str">
        <f ca="1">IFERROR(_xludf.XLOOKUP(F257,Lists!$A:$A,Lists!$B:$B,"",0),"")</f>
        <v/>
      </c>
      <c r="S257" t="str">
        <f t="shared" si="10"/>
        <v/>
      </c>
      <c r="AQ257" t="str">
        <f t="shared" si="11"/>
        <v/>
      </c>
      <c r="AX257" t="str">
        <f ca="1">IFERROR(_xludf.XLOOKUP($T257&amp;"|Fe",ASSAY_KEYS,ASSAY_VALUES,""),"")</f>
        <v/>
      </c>
      <c r="AY257" t="str">
        <f ca="1">IFERROR(_xludf.XLOOKUP($T257&amp;"|SiO2",ASSAY_KEYS,ASSAY_VALUES,""),"")</f>
        <v/>
      </c>
      <c r="AZ257" t="str">
        <f ca="1">IFERROR(_xludf.XLOOKUP($T257&amp;"|Al2O3",ASSAY_KEYS,ASSAY_VALUES,""),"")</f>
        <v/>
      </c>
      <c r="BA257" t="str">
        <f ca="1">IFERROR(_xludf.XLOOKUP($T257&amp;"|P",ASSAY_KEYS,ASSAY_VALUES,""),"")</f>
        <v/>
      </c>
      <c r="BB257" t="str">
        <f ca="1">IFERROR(_xludf.XLOOKUP($T257&amp;"|S",ASSAY_KEYS,ASSAY_VALUES,""),"")</f>
        <v/>
      </c>
      <c r="BC257" t="str">
        <f ca="1">IFERROR(_xludf.XLOOKUP($T257&amp;"|LOI",ASSAY_KEYS,ASSAY_VALUES,""),"")</f>
        <v/>
      </c>
    </row>
    <row r="258" spans="5:55" x14ac:dyDescent="0.25">
      <c r="E258" t="str">
        <f t="shared" ref="E258:E321" si="12">IF(AND(C258&lt;&gt;"",D258&lt;&gt;""),D258-C258,"")</f>
        <v/>
      </c>
      <c r="G258" t="str">
        <f ca="1">IFERROR(_xludf.XLOOKUP(F258,Lists!$A:$A,Lists!$B:$B,"",0),"")</f>
        <v/>
      </c>
      <c r="S258" t="str">
        <f t="shared" ref="S258:S321" si="13">IF(COUNTA(N258:P258)=3,N258+O258+P258,"")</f>
        <v/>
      </c>
      <c r="AQ258" t="str">
        <f t="shared" ref="AQ258:AQ321" si="14">IF(AND(AN258&lt;&gt;"",AO258&lt;&gt;"",AP258&lt;&gt;""),AP258/(AO258-AN258)*100,"")</f>
        <v/>
      </c>
      <c r="AX258" t="str">
        <f ca="1">IFERROR(_xludf.XLOOKUP($T258&amp;"|Fe",ASSAY_KEYS,ASSAY_VALUES,""),"")</f>
        <v/>
      </c>
      <c r="AY258" t="str">
        <f ca="1">IFERROR(_xludf.XLOOKUP($T258&amp;"|SiO2",ASSAY_KEYS,ASSAY_VALUES,""),"")</f>
        <v/>
      </c>
      <c r="AZ258" t="str">
        <f ca="1">IFERROR(_xludf.XLOOKUP($T258&amp;"|Al2O3",ASSAY_KEYS,ASSAY_VALUES,""),"")</f>
        <v/>
      </c>
      <c r="BA258" t="str">
        <f ca="1">IFERROR(_xludf.XLOOKUP($T258&amp;"|P",ASSAY_KEYS,ASSAY_VALUES,""),"")</f>
        <v/>
      </c>
      <c r="BB258" t="str">
        <f ca="1">IFERROR(_xludf.XLOOKUP($T258&amp;"|S",ASSAY_KEYS,ASSAY_VALUES,""),"")</f>
        <v/>
      </c>
      <c r="BC258" t="str">
        <f ca="1">IFERROR(_xludf.XLOOKUP($T258&amp;"|LOI",ASSAY_KEYS,ASSAY_VALUES,""),"")</f>
        <v/>
      </c>
    </row>
    <row r="259" spans="5:55" x14ac:dyDescent="0.25">
      <c r="E259" t="str">
        <f t="shared" si="12"/>
        <v/>
      </c>
      <c r="G259" t="str">
        <f ca="1">IFERROR(_xludf.XLOOKUP(F259,Lists!$A:$A,Lists!$B:$B,"",0),"")</f>
        <v/>
      </c>
      <c r="S259" t="str">
        <f t="shared" si="13"/>
        <v/>
      </c>
      <c r="AQ259" t="str">
        <f t="shared" si="14"/>
        <v/>
      </c>
      <c r="AX259" t="str">
        <f ca="1">IFERROR(_xludf.XLOOKUP($T259&amp;"|Fe",ASSAY_KEYS,ASSAY_VALUES,""),"")</f>
        <v/>
      </c>
      <c r="AY259" t="str">
        <f ca="1">IFERROR(_xludf.XLOOKUP($T259&amp;"|SiO2",ASSAY_KEYS,ASSAY_VALUES,""),"")</f>
        <v/>
      </c>
      <c r="AZ259" t="str">
        <f ca="1">IFERROR(_xludf.XLOOKUP($T259&amp;"|Al2O3",ASSAY_KEYS,ASSAY_VALUES,""),"")</f>
        <v/>
      </c>
      <c r="BA259" t="str">
        <f ca="1">IFERROR(_xludf.XLOOKUP($T259&amp;"|P",ASSAY_KEYS,ASSAY_VALUES,""),"")</f>
        <v/>
      </c>
      <c r="BB259" t="str">
        <f ca="1">IFERROR(_xludf.XLOOKUP($T259&amp;"|S",ASSAY_KEYS,ASSAY_VALUES,""),"")</f>
        <v/>
      </c>
      <c r="BC259" t="str">
        <f ca="1">IFERROR(_xludf.XLOOKUP($T259&amp;"|LOI",ASSAY_KEYS,ASSAY_VALUES,""),"")</f>
        <v/>
      </c>
    </row>
    <row r="260" spans="5:55" x14ac:dyDescent="0.25">
      <c r="E260" t="str">
        <f t="shared" si="12"/>
        <v/>
      </c>
      <c r="G260" t="str">
        <f ca="1">IFERROR(_xludf.XLOOKUP(F260,Lists!$A:$A,Lists!$B:$B,"",0),"")</f>
        <v/>
      </c>
      <c r="S260" t="str">
        <f t="shared" si="13"/>
        <v/>
      </c>
      <c r="AQ260" t="str">
        <f t="shared" si="14"/>
        <v/>
      </c>
      <c r="AX260" t="str">
        <f ca="1">IFERROR(_xludf.XLOOKUP($T260&amp;"|Fe",ASSAY_KEYS,ASSAY_VALUES,""),"")</f>
        <v/>
      </c>
      <c r="AY260" t="str">
        <f ca="1">IFERROR(_xludf.XLOOKUP($T260&amp;"|SiO2",ASSAY_KEYS,ASSAY_VALUES,""),"")</f>
        <v/>
      </c>
      <c r="AZ260" t="str">
        <f ca="1">IFERROR(_xludf.XLOOKUP($T260&amp;"|Al2O3",ASSAY_KEYS,ASSAY_VALUES,""),"")</f>
        <v/>
      </c>
      <c r="BA260" t="str">
        <f ca="1">IFERROR(_xludf.XLOOKUP($T260&amp;"|P",ASSAY_KEYS,ASSAY_VALUES,""),"")</f>
        <v/>
      </c>
      <c r="BB260" t="str">
        <f ca="1">IFERROR(_xludf.XLOOKUP($T260&amp;"|S",ASSAY_KEYS,ASSAY_VALUES,""),"")</f>
        <v/>
      </c>
      <c r="BC260" t="str">
        <f ca="1">IFERROR(_xludf.XLOOKUP($T260&amp;"|LOI",ASSAY_KEYS,ASSAY_VALUES,""),"")</f>
        <v/>
      </c>
    </row>
    <row r="261" spans="5:55" x14ac:dyDescent="0.25">
      <c r="E261" t="str">
        <f t="shared" si="12"/>
        <v/>
      </c>
      <c r="G261" t="str">
        <f ca="1">IFERROR(_xludf.XLOOKUP(F261,Lists!$A:$A,Lists!$B:$B,"",0),"")</f>
        <v/>
      </c>
      <c r="S261" t="str">
        <f t="shared" si="13"/>
        <v/>
      </c>
      <c r="AQ261" t="str">
        <f t="shared" si="14"/>
        <v/>
      </c>
      <c r="AX261" t="str">
        <f ca="1">IFERROR(_xludf.XLOOKUP($T261&amp;"|Fe",ASSAY_KEYS,ASSAY_VALUES,""),"")</f>
        <v/>
      </c>
      <c r="AY261" t="str">
        <f ca="1">IFERROR(_xludf.XLOOKUP($T261&amp;"|SiO2",ASSAY_KEYS,ASSAY_VALUES,""),"")</f>
        <v/>
      </c>
      <c r="AZ261" t="str">
        <f ca="1">IFERROR(_xludf.XLOOKUP($T261&amp;"|Al2O3",ASSAY_KEYS,ASSAY_VALUES,""),"")</f>
        <v/>
      </c>
      <c r="BA261" t="str">
        <f ca="1">IFERROR(_xludf.XLOOKUP($T261&amp;"|P",ASSAY_KEYS,ASSAY_VALUES,""),"")</f>
        <v/>
      </c>
      <c r="BB261" t="str">
        <f ca="1">IFERROR(_xludf.XLOOKUP($T261&amp;"|S",ASSAY_KEYS,ASSAY_VALUES,""),"")</f>
        <v/>
      </c>
      <c r="BC261" t="str">
        <f ca="1">IFERROR(_xludf.XLOOKUP($T261&amp;"|LOI",ASSAY_KEYS,ASSAY_VALUES,""),"")</f>
        <v/>
      </c>
    </row>
    <row r="262" spans="5:55" x14ac:dyDescent="0.25">
      <c r="E262" t="str">
        <f t="shared" si="12"/>
        <v/>
      </c>
      <c r="G262" t="str">
        <f ca="1">IFERROR(_xludf.XLOOKUP(F262,Lists!$A:$A,Lists!$B:$B,"",0),"")</f>
        <v/>
      </c>
      <c r="S262" t="str">
        <f t="shared" si="13"/>
        <v/>
      </c>
      <c r="AQ262" t="str">
        <f t="shared" si="14"/>
        <v/>
      </c>
      <c r="AX262" t="str">
        <f ca="1">IFERROR(_xludf.XLOOKUP($T262&amp;"|Fe",ASSAY_KEYS,ASSAY_VALUES,""),"")</f>
        <v/>
      </c>
      <c r="AY262" t="str">
        <f ca="1">IFERROR(_xludf.XLOOKUP($T262&amp;"|SiO2",ASSAY_KEYS,ASSAY_VALUES,""),"")</f>
        <v/>
      </c>
      <c r="AZ262" t="str">
        <f ca="1">IFERROR(_xludf.XLOOKUP($T262&amp;"|Al2O3",ASSAY_KEYS,ASSAY_VALUES,""),"")</f>
        <v/>
      </c>
      <c r="BA262" t="str">
        <f ca="1">IFERROR(_xludf.XLOOKUP($T262&amp;"|P",ASSAY_KEYS,ASSAY_VALUES,""),"")</f>
        <v/>
      </c>
      <c r="BB262" t="str">
        <f ca="1">IFERROR(_xludf.XLOOKUP($T262&amp;"|S",ASSAY_KEYS,ASSAY_VALUES,""),"")</f>
        <v/>
      </c>
      <c r="BC262" t="str">
        <f ca="1">IFERROR(_xludf.XLOOKUP($T262&amp;"|LOI",ASSAY_KEYS,ASSAY_VALUES,""),"")</f>
        <v/>
      </c>
    </row>
    <row r="263" spans="5:55" x14ac:dyDescent="0.25">
      <c r="E263" t="str">
        <f t="shared" si="12"/>
        <v/>
      </c>
      <c r="G263" t="str">
        <f ca="1">IFERROR(_xludf.XLOOKUP(F263,Lists!$A:$A,Lists!$B:$B,"",0),"")</f>
        <v/>
      </c>
      <c r="S263" t="str">
        <f t="shared" si="13"/>
        <v/>
      </c>
      <c r="AQ263" t="str">
        <f t="shared" si="14"/>
        <v/>
      </c>
      <c r="AX263" t="str">
        <f ca="1">IFERROR(_xludf.XLOOKUP($T263&amp;"|Fe",ASSAY_KEYS,ASSAY_VALUES,""),"")</f>
        <v/>
      </c>
      <c r="AY263" t="str">
        <f ca="1">IFERROR(_xludf.XLOOKUP($T263&amp;"|SiO2",ASSAY_KEYS,ASSAY_VALUES,""),"")</f>
        <v/>
      </c>
      <c r="AZ263" t="str">
        <f ca="1">IFERROR(_xludf.XLOOKUP($T263&amp;"|Al2O3",ASSAY_KEYS,ASSAY_VALUES,""),"")</f>
        <v/>
      </c>
      <c r="BA263" t="str">
        <f ca="1">IFERROR(_xludf.XLOOKUP($T263&amp;"|P",ASSAY_KEYS,ASSAY_VALUES,""),"")</f>
        <v/>
      </c>
      <c r="BB263" t="str">
        <f ca="1">IFERROR(_xludf.XLOOKUP($T263&amp;"|S",ASSAY_KEYS,ASSAY_VALUES,""),"")</f>
        <v/>
      </c>
      <c r="BC263" t="str">
        <f ca="1">IFERROR(_xludf.XLOOKUP($T263&amp;"|LOI",ASSAY_KEYS,ASSAY_VALUES,""),"")</f>
        <v/>
      </c>
    </row>
    <row r="264" spans="5:55" x14ac:dyDescent="0.25">
      <c r="E264" t="str">
        <f t="shared" si="12"/>
        <v/>
      </c>
      <c r="G264" t="str">
        <f ca="1">IFERROR(_xludf.XLOOKUP(F264,Lists!$A:$A,Lists!$B:$B,"",0),"")</f>
        <v/>
      </c>
      <c r="S264" t="str">
        <f t="shared" si="13"/>
        <v/>
      </c>
      <c r="AQ264" t="str">
        <f t="shared" si="14"/>
        <v/>
      </c>
      <c r="AX264" t="str">
        <f ca="1">IFERROR(_xludf.XLOOKUP($T264&amp;"|Fe",ASSAY_KEYS,ASSAY_VALUES,""),"")</f>
        <v/>
      </c>
      <c r="AY264" t="str">
        <f ca="1">IFERROR(_xludf.XLOOKUP($T264&amp;"|SiO2",ASSAY_KEYS,ASSAY_VALUES,""),"")</f>
        <v/>
      </c>
      <c r="AZ264" t="str">
        <f ca="1">IFERROR(_xludf.XLOOKUP($T264&amp;"|Al2O3",ASSAY_KEYS,ASSAY_VALUES,""),"")</f>
        <v/>
      </c>
      <c r="BA264" t="str">
        <f ca="1">IFERROR(_xludf.XLOOKUP($T264&amp;"|P",ASSAY_KEYS,ASSAY_VALUES,""),"")</f>
        <v/>
      </c>
      <c r="BB264" t="str">
        <f ca="1">IFERROR(_xludf.XLOOKUP($T264&amp;"|S",ASSAY_KEYS,ASSAY_VALUES,""),"")</f>
        <v/>
      </c>
      <c r="BC264" t="str">
        <f ca="1">IFERROR(_xludf.XLOOKUP($T264&amp;"|LOI",ASSAY_KEYS,ASSAY_VALUES,""),"")</f>
        <v/>
      </c>
    </row>
    <row r="265" spans="5:55" x14ac:dyDescent="0.25">
      <c r="E265" t="str">
        <f t="shared" si="12"/>
        <v/>
      </c>
      <c r="G265" t="str">
        <f ca="1">IFERROR(_xludf.XLOOKUP(F265,Lists!$A:$A,Lists!$B:$B,"",0),"")</f>
        <v/>
      </c>
      <c r="S265" t="str">
        <f t="shared" si="13"/>
        <v/>
      </c>
      <c r="AQ265" t="str">
        <f t="shared" si="14"/>
        <v/>
      </c>
      <c r="AX265" t="str">
        <f ca="1">IFERROR(_xludf.XLOOKUP($T265&amp;"|Fe",ASSAY_KEYS,ASSAY_VALUES,""),"")</f>
        <v/>
      </c>
      <c r="AY265" t="str">
        <f ca="1">IFERROR(_xludf.XLOOKUP($T265&amp;"|SiO2",ASSAY_KEYS,ASSAY_VALUES,""),"")</f>
        <v/>
      </c>
      <c r="AZ265" t="str">
        <f ca="1">IFERROR(_xludf.XLOOKUP($T265&amp;"|Al2O3",ASSAY_KEYS,ASSAY_VALUES,""),"")</f>
        <v/>
      </c>
      <c r="BA265" t="str">
        <f ca="1">IFERROR(_xludf.XLOOKUP($T265&amp;"|P",ASSAY_KEYS,ASSAY_VALUES,""),"")</f>
        <v/>
      </c>
      <c r="BB265" t="str">
        <f ca="1">IFERROR(_xludf.XLOOKUP($T265&amp;"|S",ASSAY_KEYS,ASSAY_VALUES,""),"")</f>
        <v/>
      </c>
      <c r="BC265" t="str">
        <f ca="1">IFERROR(_xludf.XLOOKUP($T265&amp;"|LOI",ASSAY_KEYS,ASSAY_VALUES,""),"")</f>
        <v/>
      </c>
    </row>
    <row r="266" spans="5:55" x14ac:dyDescent="0.25">
      <c r="E266" t="str">
        <f t="shared" si="12"/>
        <v/>
      </c>
      <c r="G266" t="str">
        <f ca="1">IFERROR(_xludf.XLOOKUP(F266,Lists!$A:$A,Lists!$B:$B,"",0),"")</f>
        <v/>
      </c>
      <c r="S266" t="str">
        <f t="shared" si="13"/>
        <v/>
      </c>
      <c r="AQ266" t="str">
        <f t="shared" si="14"/>
        <v/>
      </c>
      <c r="AX266" t="str">
        <f ca="1">IFERROR(_xludf.XLOOKUP($T266&amp;"|Fe",ASSAY_KEYS,ASSAY_VALUES,""),"")</f>
        <v/>
      </c>
      <c r="AY266" t="str">
        <f ca="1">IFERROR(_xludf.XLOOKUP($T266&amp;"|SiO2",ASSAY_KEYS,ASSAY_VALUES,""),"")</f>
        <v/>
      </c>
      <c r="AZ266" t="str">
        <f ca="1">IFERROR(_xludf.XLOOKUP($T266&amp;"|Al2O3",ASSAY_KEYS,ASSAY_VALUES,""),"")</f>
        <v/>
      </c>
      <c r="BA266" t="str">
        <f ca="1">IFERROR(_xludf.XLOOKUP($T266&amp;"|P",ASSAY_KEYS,ASSAY_VALUES,""),"")</f>
        <v/>
      </c>
      <c r="BB266" t="str">
        <f ca="1">IFERROR(_xludf.XLOOKUP($T266&amp;"|S",ASSAY_KEYS,ASSAY_VALUES,""),"")</f>
        <v/>
      </c>
      <c r="BC266" t="str">
        <f ca="1">IFERROR(_xludf.XLOOKUP($T266&amp;"|LOI",ASSAY_KEYS,ASSAY_VALUES,""),"")</f>
        <v/>
      </c>
    </row>
    <row r="267" spans="5:55" x14ac:dyDescent="0.25">
      <c r="E267" t="str">
        <f t="shared" si="12"/>
        <v/>
      </c>
      <c r="G267" t="str">
        <f ca="1">IFERROR(_xludf.XLOOKUP(F267,Lists!$A:$A,Lists!$B:$B,"",0),"")</f>
        <v/>
      </c>
      <c r="S267" t="str">
        <f t="shared" si="13"/>
        <v/>
      </c>
      <c r="AQ267" t="str">
        <f t="shared" si="14"/>
        <v/>
      </c>
      <c r="AX267" t="str">
        <f ca="1">IFERROR(_xludf.XLOOKUP($T267&amp;"|Fe",ASSAY_KEYS,ASSAY_VALUES,""),"")</f>
        <v/>
      </c>
      <c r="AY267" t="str">
        <f ca="1">IFERROR(_xludf.XLOOKUP($T267&amp;"|SiO2",ASSAY_KEYS,ASSAY_VALUES,""),"")</f>
        <v/>
      </c>
      <c r="AZ267" t="str">
        <f ca="1">IFERROR(_xludf.XLOOKUP($T267&amp;"|Al2O3",ASSAY_KEYS,ASSAY_VALUES,""),"")</f>
        <v/>
      </c>
      <c r="BA267" t="str">
        <f ca="1">IFERROR(_xludf.XLOOKUP($T267&amp;"|P",ASSAY_KEYS,ASSAY_VALUES,""),"")</f>
        <v/>
      </c>
      <c r="BB267" t="str">
        <f ca="1">IFERROR(_xludf.XLOOKUP($T267&amp;"|S",ASSAY_KEYS,ASSAY_VALUES,""),"")</f>
        <v/>
      </c>
      <c r="BC267" t="str">
        <f ca="1">IFERROR(_xludf.XLOOKUP($T267&amp;"|LOI",ASSAY_KEYS,ASSAY_VALUES,""),"")</f>
        <v/>
      </c>
    </row>
    <row r="268" spans="5:55" x14ac:dyDescent="0.25">
      <c r="E268" t="str">
        <f t="shared" si="12"/>
        <v/>
      </c>
      <c r="G268" t="str">
        <f ca="1">IFERROR(_xludf.XLOOKUP(F268,Lists!$A:$A,Lists!$B:$B,"",0),"")</f>
        <v/>
      </c>
      <c r="S268" t="str">
        <f t="shared" si="13"/>
        <v/>
      </c>
      <c r="AQ268" t="str">
        <f t="shared" si="14"/>
        <v/>
      </c>
      <c r="AX268" t="str">
        <f ca="1">IFERROR(_xludf.XLOOKUP($T268&amp;"|Fe",ASSAY_KEYS,ASSAY_VALUES,""),"")</f>
        <v/>
      </c>
      <c r="AY268" t="str">
        <f ca="1">IFERROR(_xludf.XLOOKUP($T268&amp;"|SiO2",ASSAY_KEYS,ASSAY_VALUES,""),"")</f>
        <v/>
      </c>
      <c r="AZ268" t="str">
        <f ca="1">IFERROR(_xludf.XLOOKUP($T268&amp;"|Al2O3",ASSAY_KEYS,ASSAY_VALUES,""),"")</f>
        <v/>
      </c>
      <c r="BA268" t="str">
        <f ca="1">IFERROR(_xludf.XLOOKUP($T268&amp;"|P",ASSAY_KEYS,ASSAY_VALUES,""),"")</f>
        <v/>
      </c>
      <c r="BB268" t="str">
        <f ca="1">IFERROR(_xludf.XLOOKUP($T268&amp;"|S",ASSAY_KEYS,ASSAY_VALUES,""),"")</f>
        <v/>
      </c>
      <c r="BC268" t="str">
        <f ca="1">IFERROR(_xludf.XLOOKUP($T268&amp;"|LOI",ASSAY_KEYS,ASSAY_VALUES,""),"")</f>
        <v/>
      </c>
    </row>
    <row r="269" spans="5:55" x14ac:dyDescent="0.25">
      <c r="E269" t="str">
        <f t="shared" si="12"/>
        <v/>
      </c>
      <c r="G269" t="str">
        <f ca="1">IFERROR(_xludf.XLOOKUP(F269,Lists!$A:$A,Lists!$B:$B,"",0),"")</f>
        <v/>
      </c>
      <c r="S269" t="str">
        <f t="shared" si="13"/>
        <v/>
      </c>
      <c r="AQ269" t="str">
        <f t="shared" si="14"/>
        <v/>
      </c>
      <c r="AX269" t="str">
        <f ca="1">IFERROR(_xludf.XLOOKUP($T269&amp;"|Fe",ASSAY_KEYS,ASSAY_VALUES,""),"")</f>
        <v/>
      </c>
      <c r="AY269" t="str">
        <f ca="1">IFERROR(_xludf.XLOOKUP($T269&amp;"|SiO2",ASSAY_KEYS,ASSAY_VALUES,""),"")</f>
        <v/>
      </c>
      <c r="AZ269" t="str">
        <f ca="1">IFERROR(_xludf.XLOOKUP($T269&amp;"|Al2O3",ASSAY_KEYS,ASSAY_VALUES,""),"")</f>
        <v/>
      </c>
      <c r="BA269" t="str">
        <f ca="1">IFERROR(_xludf.XLOOKUP($T269&amp;"|P",ASSAY_KEYS,ASSAY_VALUES,""),"")</f>
        <v/>
      </c>
      <c r="BB269" t="str">
        <f ca="1">IFERROR(_xludf.XLOOKUP($T269&amp;"|S",ASSAY_KEYS,ASSAY_VALUES,""),"")</f>
        <v/>
      </c>
      <c r="BC269" t="str">
        <f ca="1">IFERROR(_xludf.XLOOKUP($T269&amp;"|LOI",ASSAY_KEYS,ASSAY_VALUES,""),"")</f>
        <v/>
      </c>
    </row>
    <row r="270" spans="5:55" x14ac:dyDescent="0.25">
      <c r="E270" t="str">
        <f t="shared" si="12"/>
        <v/>
      </c>
      <c r="G270" t="str">
        <f ca="1">IFERROR(_xludf.XLOOKUP(F270,Lists!$A:$A,Lists!$B:$B,"",0),"")</f>
        <v/>
      </c>
      <c r="S270" t="str">
        <f t="shared" si="13"/>
        <v/>
      </c>
      <c r="AQ270" t="str">
        <f t="shared" si="14"/>
        <v/>
      </c>
      <c r="AX270" t="str">
        <f ca="1">IFERROR(_xludf.XLOOKUP($T270&amp;"|Fe",ASSAY_KEYS,ASSAY_VALUES,""),"")</f>
        <v/>
      </c>
      <c r="AY270" t="str">
        <f ca="1">IFERROR(_xludf.XLOOKUP($T270&amp;"|SiO2",ASSAY_KEYS,ASSAY_VALUES,""),"")</f>
        <v/>
      </c>
      <c r="AZ270" t="str">
        <f ca="1">IFERROR(_xludf.XLOOKUP($T270&amp;"|Al2O3",ASSAY_KEYS,ASSAY_VALUES,""),"")</f>
        <v/>
      </c>
      <c r="BA270" t="str">
        <f ca="1">IFERROR(_xludf.XLOOKUP($T270&amp;"|P",ASSAY_KEYS,ASSAY_VALUES,""),"")</f>
        <v/>
      </c>
      <c r="BB270" t="str">
        <f ca="1">IFERROR(_xludf.XLOOKUP($T270&amp;"|S",ASSAY_KEYS,ASSAY_VALUES,""),"")</f>
        <v/>
      </c>
      <c r="BC270" t="str">
        <f ca="1">IFERROR(_xludf.XLOOKUP($T270&amp;"|LOI",ASSAY_KEYS,ASSAY_VALUES,""),"")</f>
        <v/>
      </c>
    </row>
    <row r="271" spans="5:55" x14ac:dyDescent="0.25">
      <c r="E271" t="str">
        <f t="shared" si="12"/>
        <v/>
      </c>
      <c r="G271" t="str">
        <f ca="1">IFERROR(_xludf.XLOOKUP(F271,Lists!$A:$A,Lists!$B:$B,"",0),"")</f>
        <v/>
      </c>
      <c r="S271" t="str">
        <f t="shared" si="13"/>
        <v/>
      </c>
      <c r="AQ271" t="str">
        <f t="shared" si="14"/>
        <v/>
      </c>
      <c r="AX271" t="str">
        <f ca="1">IFERROR(_xludf.XLOOKUP($T271&amp;"|Fe",ASSAY_KEYS,ASSAY_VALUES,""),"")</f>
        <v/>
      </c>
      <c r="AY271" t="str">
        <f ca="1">IFERROR(_xludf.XLOOKUP($T271&amp;"|SiO2",ASSAY_KEYS,ASSAY_VALUES,""),"")</f>
        <v/>
      </c>
      <c r="AZ271" t="str">
        <f ca="1">IFERROR(_xludf.XLOOKUP($T271&amp;"|Al2O3",ASSAY_KEYS,ASSAY_VALUES,""),"")</f>
        <v/>
      </c>
      <c r="BA271" t="str">
        <f ca="1">IFERROR(_xludf.XLOOKUP($T271&amp;"|P",ASSAY_KEYS,ASSAY_VALUES,""),"")</f>
        <v/>
      </c>
      <c r="BB271" t="str">
        <f ca="1">IFERROR(_xludf.XLOOKUP($T271&amp;"|S",ASSAY_KEYS,ASSAY_VALUES,""),"")</f>
        <v/>
      </c>
      <c r="BC271" t="str">
        <f ca="1">IFERROR(_xludf.XLOOKUP($T271&amp;"|LOI",ASSAY_KEYS,ASSAY_VALUES,""),"")</f>
        <v/>
      </c>
    </row>
    <row r="272" spans="5:55" x14ac:dyDescent="0.25">
      <c r="E272" t="str">
        <f t="shared" si="12"/>
        <v/>
      </c>
      <c r="G272" t="str">
        <f ca="1">IFERROR(_xludf.XLOOKUP(F272,Lists!$A:$A,Lists!$B:$B,"",0),"")</f>
        <v/>
      </c>
      <c r="S272" t="str">
        <f t="shared" si="13"/>
        <v/>
      </c>
      <c r="AQ272" t="str">
        <f t="shared" si="14"/>
        <v/>
      </c>
      <c r="AX272" t="str">
        <f ca="1">IFERROR(_xludf.XLOOKUP($T272&amp;"|Fe",ASSAY_KEYS,ASSAY_VALUES,""),"")</f>
        <v/>
      </c>
      <c r="AY272" t="str">
        <f ca="1">IFERROR(_xludf.XLOOKUP($T272&amp;"|SiO2",ASSAY_KEYS,ASSAY_VALUES,""),"")</f>
        <v/>
      </c>
      <c r="AZ272" t="str">
        <f ca="1">IFERROR(_xludf.XLOOKUP($T272&amp;"|Al2O3",ASSAY_KEYS,ASSAY_VALUES,""),"")</f>
        <v/>
      </c>
      <c r="BA272" t="str">
        <f ca="1">IFERROR(_xludf.XLOOKUP($T272&amp;"|P",ASSAY_KEYS,ASSAY_VALUES,""),"")</f>
        <v/>
      </c>
      <c r="BB272" t="str">
        <f ca="1">IFERROR(_xludf.XLOOKUP($T272&amp;"|S",ASSAY_KEYS,ASSAY_VALUES,""),"")</f>
        <v/>
      </c>
      <c r="BC272" t="str">
        <f ca="1">IFERROR(_xludf.XLOOKUP($T272&amp;"|LOI",ASSAY_KEYS,ASSAY_VALUES,""),"")</f>
        <v/>
      </c>
    </row>
    <row r="273" spans="5:55" x14ac:dyDescent="0.25">
      <c r="E273" t="str">
        <f t="shared" si="12"/>
        <v/>
      </c>
      <c r="G273" t="str">
        <f ca="1">IFERROR(_xludf.XLOOKUP(F273,Lists!$A:$A,Lists!$B:$B,"",0),"")</f>
        <v/>
      </c>
      <c r="S273" t="str">
        <f t="shared" si="13"/>
        <v/>
      </c>
      <c r="AQ273" t="str">
        <f t="shared" si="14"/>
        <v/>
      </c>
      <c r="AX273" t="str">
        <f ca="1">IFERROR(_xludf.XLOOKUP($T273&amp;"|Fe",ASSAY_KEYS,ASSAY_VALUES,""),"")</f>
        <v/>
      </c>
      <c r="AY273" t="str">
        <f ca="1">IFERROR(_xludf.XLOOKUP($T273&amp;"|SiO2",ASSAY_KEYS,ASSAY_VALUES,""),"")</f>
        <v/>
      </c>
      <c r="AZ273" t="str">
        <f ca="1">IFERROR(_xludf.XLOOKUP($T273&amp;"|Al2O3",ASSAY_KEYS,ASSAY_VALUES,""),"")</f>
        <v/>
      </c>
      <c r="BA273" t="str">
        <f ca="1">IFERROR(_xludf.XLOOKUP($T273&amp;"|P",ASSAY_KEYS,ASSAY_VALUES,""),"")</f>
        <v/>
      </c>
      <c r="BB273" t="str">
        <f ca="1">IFERROR(_xludf.XLOOKUP($T273&amp;"|S",ASSAY_KEYS,ASSAY_VALUES,""),"")</f>
        <v/>
      </c>
      <c r="BC273" t="str">
        <f ca="1">IFERROR(_xludf.XLOOKUP($T273&amp;"|LOI",ASSAY_KEYS,ASSAY_VALUES,""),"")</f>
        <v/>
      </c>
    </row>
    <row r="274" spans="5:55" x14ac:dyDescent="0.25">
      <c r="E274" t="str">
        <f t="shared" si="12"/>
        <v/>
      </c>
      <c r="G274" t="str">
        <f ca="1">IFERROR(_xludf.XLOOKUP(F274,Lists!$A:$A,Lists!$B:$B,"",0),"")</f>
        <v/>
      </c>
      <c r="S274" t="str">
        <f t="shared" si="13"/>
        <v/>
      </c>
      <c r="AQ274" t="str">
        <f t="shared" si="14"/>
        <v/>
      </c>
      <c r="AX274" t="str">
        <f ca="1">IFERROR(_xludf.XLOOKUP($T274&amp;"|Fe",ASSAY_KEYS,ASSAY_VALUES,""),"")</f>
        <v/>
      </c>
      <c r="AY274" t="str">
        <f ca="1">IFERROR(_xludf.XLOOKUP($T274&amp;"|SiO2",ASSAY_KEYS,ASSAY_VALUES,""),"")</f>
        <v/>
      </c>
      <c r="AZ274" t="str">
        <f ca="1">IFERROR(_xludf.XLOOKUP($T274&amp;"|Al2O3",ASSAY_KEYS,ASSAY_VALUES,""),"")</f>
        <v/>
      </c>
      <c r="BA274" t="str">
        <f ca="1">IFERROR(_xludf.XLOOKUP($T274&amp;"|P",ASSAY_KEYS,ASSAY_VALUES,""),"")</f>
        <v/>
      </c>
      <c r="BB274" t="str">
        <f ca="1">IFERROR(_xludf.XLOOKUP($T274&amp;"|S",ASSAY_KEYS,ASSAY_VALUES,""),"")</f>
        <v/>
      </c>
      <c r="BC274" t="str">
        <f ca="1">IFERROR(_xludf.XLOOKUP($T274&amp;"|LOI",ASSAY_KEYS,ASSAY_VALUES,""),"")</f>
        <v/>
      </c>
    </row>
    <row r="275" spans="5:55" x14ac:dyDescent="0.25">
      <c r="E275" t="str">
        <f t="shared" si="12"/>
        <v/>
      </c>
      <c r="G275" t="str">
        <f ca="1">IFERROR(_xludf.XLOOKUP(F275,Lists!$A:$A,Lists!$B:$B,"",0),"")</f>
        <v/>
      </c>
      <c r="S275" t="str">
        <f t="shared" si="13"/>
        <v/>
      </c>
      <c r="AQ275" t="str">
        <f t="shared" si="14"/>
        <v/>
      </c>
      <c r="AX275" t="str">
        <f ca="1">IFERROR(_xludf.XLOOKUP($T275&amp;"|Fe",ASSAY_KEYS,ASSAY_VALUES,""),"")</f>
        <v/>
      </c>
      <c r="AY275" t="str">
        <f ca="1">IFERROR(_xludf.XLOOKUP($T275&amp;"|SiO2",ASSAY_KEYS,ASSAY_VALUES,""),"")</f>
        <v/>
      </c>
      <c r="AZ275" t="str">
        <f ca="1">IFERROR(_xludf.XLOOKUP($T275&amp;"|Al2O3",ASSAY_KEYS,ASSAY_VALUES,""),"")</f>
        <v/>
      </c>
      <c r="BA275" t="str">
        <f ca="1">IFERROR(_xludf.XLOOKUP($T275&amp;"|P",ASSAY_KEYS,ASSAY_VALUES,""),"")</f>
        <v/>
      </c>
      <c r="BB275" t="str">
        <f ca="1">IFERROR(_xludf.XLOOKUP($T275&amp;"|S",ASSAY_KEYS,ASSAY_VALUES,""),"")</f>
        <v/>
      </c>
      <c r="BC275" t="str">
        <f ca="1">IFERROR(_xludf.XLOOKUP($T275&amp;"|LOI",ASSAY_KEYS,ASSAY_VALUES,""),"")</f>
        <v/>
      </c>
    </row>
    <row r="276" spans="5:55" x14ac:dyDescent="0.25">
      <c r="E276" t="str">
        <f t="shared" si="12"/>
        <v/>
      </c>
      <c r="G276" t="str">
        <f ca="1">IFERROR(_xludf.XLOOKUP(F276,Lists!$A:$A,Lists!$B:$B,"",0),"")</f>
        <v/>
      </c>
      <c r="S276" t="str">
        <f t="shared" si="13"/>
        <v/>
      </c>
      <c r="AQ276" t="str">
        <f t="shared" si="14"/>
        <v/>
      </c>
      <c r="AX276" t="str">
        <f ca="1">IFERROR(_xludf.XLOOKUP($T276&amp;"|Fe",ASSAY_KEYS,ASSAY_VALUES,""),"")</f>
        <v/>
      </c>
      <c r="AY276" t="str">
        <f ca="1">IFERROR(_xludf.XLOOKUP($T276&amp;"|SiO2",ASSAY_KEYS,ASSAY_VALUES,""),"")</f>
        <v/>
      </c>
      <c r="AZ276" t="str">
        <f ca="1">IFERROR(_xludf.XLOOKUP($T276&amp;"|Al2O3",ASSAY_KEYS,ASSAY_VALUES,""),"")</f>
        <v/>
      </c>
      <c r="BA276" t="str">
        <f ca="1">IFERROR(_xludf.XLOOKUP($T276&amp;"|P",ASSAY_KEYS,ASSAY_VALUES,""),"")</f>
        <v/>
      </c>
      <c r="BB276" t="str">
        <f ca="1">IFERROR(_xludf.XLOOKUP($T276&amp;"|S",ASSAY_KEYS,ASSAY_VALUES,""),"")</f>
        <v/>
      </c>
      <c r="BC276" t="str">
        <f ca="1">IFERROR(_xludf.XLOOKUP($T276&amp;"|LOI",ASSAY_KEYS,ASSAY_VALUES,""),"")</f>
        <v/>
      </c>
    </row>
    <row r="277" spans="5:55" x14ac:dyDescent="0.25">
      <c r="E277" t="str">
        <f t="shared" si="12"/>
        <v/>
      </c>
      <c r="G277" t="str">
        <f ca="1">IFERROR(_xludf.XLOOKUP(F277,Lists!$A:$A,Lists!$B:$B,"",0),"")</f>
        <v/>
      </c>
      <c r="S277" t="str">
        <f t="shared" si="13"/>
        <v/>
      </c>
      <c r="AQ277" t="str">
        <f t="shared" si="14"/>
        <v/>
      </c>
      <c r="AX277" t="str">
        <f ca="1">IFERROR(_xludf.XLOOKUP($T277&amp;"|Fe",ASSAY_KEYS,ASSAY_VALUES,""),"")</f>
        <v/>
      </c>
      <c r="AY277" t="str">
        <f ca="1">IFERROR(_xludf.XLOOKUP($T277&amp;"|SiO2",ASSAY_KEYS,ASSAY_VALUES,""),"")</f>
        <v/>
      </c>
      <c r="AZ277" t="str">
        <f ca="1">IFERROR(_xludf.XLOOKUP($T277&amp;"|Al2O3",ASSAY_KEYS,ASSAY_VALUES,""),"")</f>
        <v/>
      </c>
      <c r="BA277" t="str">
        <f ca="1">IFERROR(_xludf.XLOOKUP($T277&amp;"|P",ASSAY_KEYS,ASSAY_VALUES,""),"")</f>
        <v/>
      </c>
      <c r="BB277" t="str">
        <f ca="1">IFERROR(_xludf.XLOOKUP($T277&amp;"|S",ASSAY_KEYS,ASSAY_VALUES,""),"")</f>
        <v/>
      </c>
      <c r="BC277" t="str">
        <f ca="1">IFERROR(_xludf.XLOOKUP($T277&amp;"|LOI",ASSAY_KEYS,ASSAY_VALUES,""),"")</f>
        <v/>
      </c>
    </row>
    <row r="278" spans="5:55" x14ac:dyDescent="0.25">
      <c r="E278" t="str">
        <f t="shared" si="12"/>
        <v/>
      </c>
      <c r="G278" t="str">
        <f ca="1">IFERROR(_xludf.XLOOKUP(F278,Lists!$A:$A,Lists!$B:$B,"",0),"")</f>
        <v/>
      </c>
      <c r="S278" t="str">
        <f t="shared" si="13"/>
        <v/>
      </c>
      <c r="AQ278" t="str">
        <f t="shared" si="14"/>
        <v/>
      </c>
      <c r="AX278" t="str">
        <f ca="1">IFERROR(_xludf.XLOOKUP($T278&amp;"|Fe",ASSAY_KEYS,ASSAY_VALUES,""),"")</f>
        <v/>
      </c>
      <c r="AY278" t="str">
        <f ca="1">IFERROR(_xludf.XLOOKUP($T278&amp;"|SiO2",ASSAY_KEYS,ASSAY_VALUES,""),"")</f>
        <v/>
      </c>
      <c r="AZ278" t="str">
        <f ca="1">IFERROR(_xludf.XLOOKUP($T278&amp;"|Al2O3",ASSAY_KEYS,ASSAY_VALUES,""),"")</f>
        <v/>
      </c>
      <c r="BA278" t="str">
        <f ca="1">IFERROR(_xludf.XLOOKUP($T278&amp;"|P",ASSAY_KEYS,ASSAY_VALUES,""),"")</f>
        <v/>
      </c>
      <c r="BB278" t="str">
        <f ca="1">IFERROR(_xludf.XLOOKUP($T278&amp;"|S",ASSAY_KEYS,ASSAY_VALUES,""),"")</f>
        <v/>
      </c>
      <c r="BC278" t="str">
        <f ca="1">IFERROR(_xludf.XLOOKUP($T278&amp;"|LOI",ASSAY_KEYS,ASSAY_VALUES,""),"")</f>
        <v/>
      </c>
    </row>
    <row r="279" spans="5:55" x14ac:dyDescent="0.25">
      <c r="E279" t="str">
        <f t="shared" si="12"/>
        <v/>
      </c>
      <c r="G279" t="str">
        <f ca="1">IFERROR(_xludf.XLOOKUP(F279,Lists!$A:$A,Lists!$B:$B,"",0),"")</f>
        <v/>
      </c>
      <c r="S279" t="str">
        <f t="shared" si="13"/>
        <v/>
      </c>
      <c r="AQ279" t="str">
        <f t="shared" si="14"/>
        <v/>
      </c>
      <c r="AX279" t="str">
        <f ca="1">IFERROR(_xludf.XLOOKUP($T279&amp;"|Fe",ASSAY_KEYS,ASSAY_VALUES,""),"")</f>
        <v/>
      </c>
      <c r="AY279" t="str">
        <f ca="1">IFERROR(_xludf.XLOOKUP($T279&amp;"|SiO2",ASSAY_KEYS,ASSAY_VALUES,""),"")</f>
        <v/>
      </c>
      <c r="AZ279" t="str">
        <f ca="1">IFERROR(_xludf.XLOOKUP($T279&amp;"|Al2O3",ASSAY_KEYS,ASSAY_VALUES,""),"")</f>
        <v/>
      </c>
      <c r="BA279" t="str">
        <f ca="1">IFERROR(_xludf.XLOOKUP($T279&amp;"|P",ASSAY_KEYS,ASSAY_VALUES,""),"")</f>
        <v/>
      </c>
      <c r="BB279" t="str">
        <f ca="1">IFERROR(_xludf.XLOOKUP($T279&amp;"|S",ASSAY_KEYS,ASSAY_VALUES,""),"")</f>
        <v/>
      </c>
      <c r="BC279" t="str">
        <f ca="1">IFERROR(_xludf.XLOOKUP($T279&amp;"|LOI",ASSAY_KEYS,ASSAY_VALUES,""),"")</f>
        <v/>
      </c>
    </row>
    <row r="280" spans="5:55" x14ac:dyDescent="0.25">
      <c r="E280" t="str">
        <f t="shared" si="12"/>
        <v/>
      </c>
      <c r="G280" t="str">
        <f ca="1">IFERROR(_xludf.XLOOKUP(F280,Lists!$A:$A,Lists!$B:$B,"",0),"")</f>
        <v/>
      </c>
      <c r="S280" t="str">
        <f t="shared" si="13"/>
        <v/>
      </c>
      <c r="AQ280" t="str">
        <f t="shared" si="14"/>
        <v/>
      </c>
      <c r="AX280" t="str">
        <f ca="1">IFERROR(_xludf.XLOOKUP($T280&amp;"|Fe",ASSAY_KEYS,ASSAY_VALUES,""),"")</f>
        <v/>
      </c>
      <c r="AY280" t="str">
        <f ca="1">IFERROR(_xludf.XLOOKUP($T280&amp;"|SiO2",ASSAY_KEYS,ASSAY_VALUES,""),"")</f>
        <v/>
      </c>
      <c r="AZ280" t="str">
        <f ca="1">IFERROR(_xludf.XLOOKUP($T280&amp;"|Al2O3",ASSAY_KEYS,ASSAY_VALUES,""),"")</f>
        <v/>
      </c>
      <c r="BA280" t="str">
        <f ca="1">IFERROR(_xludf.XLOOKUP($T280&amp;"|P",ASSAY_KEYS,ASSAY_VALUES,""),"")</f>
        <v/>
      </c>
      <c r="BB280" t="str">
        <f ca="1">IFERROR(_xludf.XLOOKUP($T280&amp;"|S",ASSAY_KEYS,ASSAY_VALUES,""),"")</f>
        <v/>
      </c>
      <c r="BC280" t="str">
        <f ca="1">IFERROR(_xludf.XLOOKUP($T280&amp;"|LOI",ASSAY_KEYS,ASSAY_VALUES,""),"")</f>
        <v/>
      </c>
    </row>
    <row r="281" spans="5:55" x14ac:dyDescent="0.25">
      <c r="E281" t="str">
        <f t="shared" si="12"/>
        <v/>
      </c>
      <c r="G281" t="str">
        <f ca="1">IFERROR(_xludf.XLOOKUP(F281,Lists!$A:$A,Lists!$B:$B,"",0),"")</f>
        <v/>
      </c>
      <c r="S281" t="str">
        <f t="shared" si="13"/>
        <v/>
      </c>
      <c r="AQ281" t="str">
        <f t="shared" si="14"/>
        <v/>
      </c>
      <c r="AX281" t="str">
        <f ca="1">IFERROR(_xludf.XLOOKUP($T281&amp;"|Fe",ASSAY_KEYS,ASSAY_VALUES,""),"")</f>
        <v/>
      </c>
      <c r="AY281" t="str">
        <f ca="1">IFERROR(_xludf.XLOOKUP($T281&amp;"|SiO2",ASSAY_KEYS,ASSAY_VALUES,""),"")</f>
        <v/>
      </c>
      <c r="AZ281" t="str">
        <f ca="1">IFERROR(_xludf.XLOOKUP($T281&amp;"|Al2O3",ASSAY_KEYS,ASSAY_VALUES,""),"")</f>
        <v/>
      </c>
      <c r="BA281" t="str">
        <f ca="1">IFERROR(_xludf.XLOOKUP($T281&amp;"|P",ASSAY_KEYS,ASSAY_VALUES,""),"")</f>
        <v/>
      </c>
      <c r="BB281" t="str">
        <f ca="1">IFERROR(_xludf.XLOOKUP($T281&amp;"|S",ASSAY_KEYS,ASSAY_VALUES,""),"")</f>
        <v/>
      </c>
      <c r="BC281" t="str">
        <f ca="1">IFERROR(_xludf.XLOOKUP($T281&amp;"|LOI",ASSAY_KEYS,ASSAY_VALUES,""),"")</f>
        <v/>
      </c>
    </row>
    <row r="282" spans="5:55" x14ac:dyDescent="0.25">
      <c r="E282" t="str">
        <f t="shared" si="12"/>
        <v/>
      </c>
      <c r="G282" t="str">
        <f ca="1">IFERROR(_xludf.XLOOKUP(F282,Lists!$A:$A,Lists!$B:$B,"",0),"")</f>
        <v/>
      </c>
      <c r="S282" t="str">
        <f t="shared" si="13"/>
        <v/>
      </c>
      <c r="AQ282" t="str">
        <f t="shared" si="14"/>
        <v/>
      </c>
      <c r="AX282" t="str">
        <f ca="1">IFERROR(_xludf.XLOOKUP($T282&amp;"|Fe",ASSAY_KEYS,ASSAY_VALUES,""),"")</f>
        <v/>
      </c>
      <c r="AY282" t="str">
        <f ca="1">IFERROR(_xludf.XLOOKUP($T282&amp;"|SiO2",ASSAY_KEYS,ASSAY_VALUES,""),"")</f>
        <v/>
      </c>
      <c r="AZ282" t="str">
        <f ca="1">IFERROR(_xludf.XLOOKUP($T282&amp;"|Al2O3",ASSAY_KEYS,ASSAY_VALUES,""),"")</f>
        <v/>
      </c>
      <c r="BA282" t="str">
        <f ca="1">IFERROR(_xludf.XLOOKUP($T282&amp;"|P",ASSAY_KEYS,ASSAY_VALUES,""),"")</f>
        <v/>
      </c>
      <c r="BB282" t="str">
        <f ca="1">IFERROR(_xludf.XLOOKUP($T282&amp;"|S",ASSAY_KEYS,ASSAY_VALUES,""),"")</f>
        <v/>
      </c>
      <c r="BC282" t="str">
        <f ca="1">IFERROR(_xludf.XLOOKUP($T282&amp;"|LOI",ASSAY_KEYS,ASSAY_VALUES,""),"")</f>
        <v/>
      </c>
    </row>
    <row r="283" spans="5:55" x14ac:dyDescent="0.25">
      <c r="E283" t="str">
        <f t="shared" si="12"/>
        <v/>
      </c>
      <c r="G283" t="str">
        <f ca="1">IFERROR(_xludf.XLOOKUP(F283,Lists!$A:$A,Lists!$B:$B,"",0),"")</f>
        <v/>
      </c>
      <c r="S283" t="str">
        <f t="shared" si="13"/>
        <v/>
      </c>
      <c r="AQ283" t="str">
        <f t="shared" si="14"/>
        <v/>
      </c>
      <c r="AX283" t="str">
        <f ca="1">IFERROR(_xludf.XLOOKUP($T283&amp;"|Fe",ASSAY_KEYS,ASSAY_VALUES,""),"")</f>
        <v/>
      </c>
      <c r="AY283" t="str">
        <f ca="1">IFERROR(_xludf.XLOOKUP($T283&amp;"|SiO2",ASSAY_KEYS,ASSAY_VALUES,""),"")</f>
        <v/>
      </c>
      <c r="AZ283" t="str">
        <f ca="1">IFERROR(_xludf.XLOOKUP($T283&amp;"|Al2O3",ASSAY_KEYS,ASSAY_VALUES,""),"")</f>
        <v/>
      </c>
      <c r="BA283" t="str">
        <f ca="1">IFERROR(_xludf.XLOOKUP($T283&amp;"|P",ASSAY_KEYS,ASSAY_VALUES,""),"")</f>
        <v/>
      </c>
      <c r="BB283" t="str">
        <f ca="1">IFERROR(_xludf.XLOOKUP($T283&amp;"|S",ASSAY_KEYS,ASSAY_VALUES,""),"")</f>
        <v/>
      </c>
      <c r="BC283" t="str">
        <f ca="1">IFERROR(_xludf.XLOOKUP($T283&amp;"|LOI",ASSAY_KEYS,ASSAY_VALUES,""),"")</f>
        <v/>
      </c>
    </row>
    <row r="284" spans="5:55" x14ac:dyDescent="0.25">
      <c r="E284" t="str">
        <f t="shared" si="12"/>
        <v/>
      </c>
      <c r="G284" t="str">
        <f ca="1">IFERROR(_xludf.XLOOKUP(F284,Lists!$A:$A,Lists!$B:$B,"",0),"")</f>
        <v/>
      </c>
      <c r="S284" t="str">
        <f t="shared" si="13"/>
        <v/>
      </c>
      <c r="AQ284" t="str">
        <f t="shared" si="14"/>
        <v/>
      </c>
      <c r="AX284" t="str">
        <f ca="1">IFERROR(_xludf.XLOOKUP($T284&amp;"|Fe",ASSAY_KEYS,ASSAY_VALUES,""),"")</f>
        <v/>
      </c>
      <c r="AY284" t="str">
        <f ca="1">IFERROR(_xludf.XLOOKUP($T284&amp;"|SiO2",ASSAY_KEYS,ASSAY_VALUES,""),"")</f>
        <v/>
      </c>
      <c r="AZ284" t="str">
        <f ca="1">IFERROR(_xludf.XLOOKUP($T284&amp;"|Al2O3",ASSAY_KEYS,ASSAY_VALUES,""),"")</f>
        <v/>
      </c>
      <c r="BA284" t="str">
        <f ca="1">IFERROR(_xludf.XLOOKUP($T284&amp;"|P",ASSAY_KEYS,ASSAY_VALUES,""),"")</f>
        <v/>
      </c>
      <c r="BB284" t="str">
        <f ca="1">IFERROR(_xludf.XLOOKUP($T284&amp;"|S",ASSAY_KEYS,ASSAY_VALUES,""),"")</f>
        <v/>
      </c>
      <c r="BC284" t="str">
        <f ca="1">IFERROR(_xludf.XLOOKUP($T284&amp;"|LOI",ASSAY_KEYS,ASSAY_VALUES,""),"")</f>
        <v/>
      </c>
    </row>
    <row r="285" spans="5:55" x14ac:dyDescent="0.25">
      <c r="E285" t="str">
        <f t="shared" si="12"/>
        <v/>
      </c>
      <c r="G285" t="str">
        <f ca="1">IFERROR(_xludf.XLOOKUP(F285,Lists!$A:$A,Lists!$B:$B,"",0),"")</f>
        <v/>
      </c>
      <c r="S285" t="str">
        <f t="shared" si="13"/>
        <v/>
      </c>
      <c r="AQ285" t="str">
        <f t="shared" si="14"/>
        <v/>
      </c>
      <c r="AX285" t="str">
        <f ca="1">IFERROR(_xludf.XLOOKUP($T285&amp;"|Fe",ASSAY_KEYS,ASSAY_VALUES,""),"")</f>
        <v/>
      </c>
      <c r="AY285" t="str">
        <f ca="1">IFERROR(_xludf.XLOOKUP($T285&amp;"|SiO2",ASSAY_KEYS,ASSAY_VALUES,""),"")</f>
        <v/>
      </c>
      <c r="AZ285" t="str">
        <f ca="1">IFERROR(_xludf.XLOOKUP($T285&amp;"|Al2O3",ASSAY_KEYS,ASSAY_VALUES,""),"")</f>
        <v/>
      </c>
      <c r="BA285" t="str">
        <f ca="1">IFERROR(_xludf.XLOOKUP($T285&amp;"|P",ASSAY_KEYS,ASSAY_VALUES,""),"")</f>
        <v/>
      </c>
      <c r="BB285" t="str">
        <f ca="1">IFERROR(_xludf.XLOOKUP($T285&amp;"|S",ASSAY_KEYS,ASSAY_VALUES,""),"")</f>
        <v/>
      </c>
      <c r="BC285" t="str">
        <f ca="1">IFERROR(_xludf.XLOOKUP($T285&amp;"|LOI",ASSAY_KEYS,ASSAY_VALUES,""),"")</f>
        <v/>
      </c>
    </row>
    <row r="286" spans="5:55" x14ac:dyDescent="0.25">
      <c r="E286" t="str">
        <f t="shared" si="12"/>
        <v/>
      </c>
      <c r="G286" t="str">
        <f ca="1">IFERROR(_xludf.XLOOKUP(F286,Lists!$A:$A,Lists!$B:$B,"",0),"")</f>
        <v/>
      </c>
      <c r="S286" t="str">
        <f t="shared" si="13"/>
        <v/>
      </c>
      <c r="AQ286" t="str">
        <f t="shared" si="14"/>
        <v/>
      </c>
      <c r="AX286" t="str">
        <f ca="1">IFERROR(_xludf.XLOOKUP($T286&amp;"|Fe",ASSAY_KEYS,ASSAY_VALUES,""),"")</f>
        <v/>
      </c>
      <c r="AY286" t="str">
        <f ca="1">IFERROR(_xludf.XLOOKUP($T286&amp;"|SiO2",ASSAY_KEYS,ASSAY_VALUES,""),"")</f>
        <v/>
      </c>
      <c r="AZ286" t="str">
        <f ca="1">IFERROR(_xludf.XLOOKUP($T286&amp;"|Al2O3",ASSAY_KEYS,ASSAY_VALUES,""),"")</f>
        <v/>
      </c>
      <c r="BA286" t="str">
        <f ca="1">IFERROR(_xludf.XLOOKUP($T286&amp;"|P",ASSAY_KEYS,ASSAY_VALUES,""),"")</f>
        <v/>
      </c>
      <c r="BB286" t="str">
        <f ca="1">IFERROR(_xludf.XLOOKUP($T286&amp;"|S",ASSAY_KEYS,ASSAY_VALUES,""),"")</f>
        <v/>
      </c>
      <c r="BC286" t="str">
        <f ca="1">IFERROR(_xludf.XLOOKUP($T286&amp;"|LOI",ASSAY_KEYS,ASSAY_VALUES,""),"")</f>
        <v/>
      </c>
    </row>
    <row r="287" spans="5:55" x14ac:dyDescent="0.25">
      <c r="E287" t="str">
        <f t="shared" si="12"/>
        <v/>
      </c>
      <c r="G287" t="str">
        <f ca="1">IFERROR(_xludf.XLOOKUP(F287,Lists!$A:$A,Lists!$B:$B,"",0),"")</f>
        <v/>
      </c>
      <c r="S287" t="str">
        <f t="shared" si="13"/>
        <v/>
      </c>
      <c r="AQ287" t="str">
        <f t="shared" si="14"/>
        <v/>
      </c>
      <c r="AX287" t="str">
        <f ca="1">IFERROR(_xludf.XLOOKUP($T287&amp;"|Fe",ASSAY_KEYS,ASSAY_VALUES,""),"")</f>
        <v/>
      </c>
      <c r="AY287" t="str">
        <f ca="1">IFERROR(_xludf.XLOOKUP($T287&amp;"|SiO2",ASSAY_KEYS,ASSAY_VALUES,""),"")</f>
        <v/>
      </c>
      <c r="AZ287" t="str">
        <f ca="1">IFERROR(_xludf.XLOOKUP($T287&amp;"|Al2O3",ASSAY_KEYS,ASSAY_VALUES,""),"")</f>
        <v/>
      </c>
      <c r="BA287" t="str">
        <f ca="1">IFERROR(_xludf.XLOOKUP($T287&amp;"|P",ASSAY_KEYS,ASSAY_VALUES,""),"")</f>
        <v/>
      </c>
      <c r="BB287" t="str">
        <f ca="1">IFERROR(_xludf.XLOOKUP($T287&amp;"|S",ASSAY_KEYS,ASSAY_VALUES,""),"")</f>
        <v/>
      </c>
      <c r="BC287" t="str">
        <f ca="1">IFERROR(_xludf.XLOOKUP($T287&amp;"|LOI",ASSAY_KEYS,ASSAY_VALUES,""),"")</f>
        <v/>
      </c>
    </row>
    <row r="288" spans="5:55" x14ac:dyDescent="0.25">
      <c r="E288" t="str">
        <f t="shared" si="12"/>
        <v/>
      </c>
      <c r="G288" t="str">
        <f ca="1">IFERROR(_xludf.XLOOKUP(F288,Lists!$A:$A,Lists!$B:$B,"",0),"")</f>
        <v/>
      </c>
      <c r="S288" t="str">
        <f t="shared" si="13"/>
        <v/>
      </c>
      <c r="AQ288" t="str">
        <f t="shared" si="14"/>
        <v/>
      </c>
      <c r="AX288" t="str">
        <f ca="1">IFERROR(_xludf.XLOOKUP($T288&amp;"|Fe",ASSAY_KEYS,ASSAY_VALUES,""),"")</f>
        <v/>
      </c>
      <c r="AY288" t="str">
        <f ca="1">IFERROR(_xludf.XLOOKUP($T288&amp;"|SiO2",ASSAY_KEYS,ASSAY_VALUES,""),"")</f>
        <v/>
      </c>
      <c r="AZ288" t="str">
        <f ca="1">IFERROR(_xludf.XLOOKUP($T288&amp;"|Al2O3",ASSAY_KEYS,ASSAY_VALUES,""),"")</f>
        <v/>
      </c>
      <c r="BA288" t="str">
        <f ca="1">IFERROR(_xludf.XLOOKUP($T288&amp;"|P",ASSAY_KEYS,ASSAY_VALUES,""),"")</f>
        <v/>
      </c>
      <c r="BB288" t="str">
        <f ca="1">IFERROR(_xludf.XLOOKUP($T288&amp;"|S",ASSAY_KEYS,ASSAY_VALUES,""),"")</f>
        <v/>
      </c>
      <c r="BC288" t="str">
        <f ca="1">IFERROR(_xludf.XLOOKUP($T288&amp;"|LOI",ASSAY_KEYS,ASSAY_VALUES,""),"")</f>
        <v/>
      </c>
    </row>
    <row r="289" spans="5:55" x14ac:dyDescent="0.25">
      <c r="E289" t="str">
        <f t="shared" si="12"/>
        <v/>
      </c>
      <c r="G289" t="str">
        <f ca="1">IFERROR(_xludf.XLOOKUP(F289,Lists!$A:$A,Lists!$B:$B,"",0),"")</f>
        <v/>
      </c>
      <c r="S289" t="str">
        <f t="shared" si="13"/>
        <v/>
      </c>
      <c r="AQ289" t="str">
        <f t="shared" si="14"/>
        <v/>
      </c>
      <c r="AX289" t="str">
        <f ca="1">IFERROR(_xludf.XLOOKUP($T289&amp;"|Fe",ASSAY_KEYS,ASSAY_VALUES,""),"")</f>
        <v/>
      </c>
      <c r="AY289" t="str">
        <f ca="1">IFERROR(_xludf.XLOOKUP($T289&amp;"|SiO2",ASSAY_KEYS,ASSAY_VALUES,""),"")</f>
        <v/>
      </c>
      <c r="AZ289" t="str">
        <f ca="1">IFERROR(_xludf.XLOOKUP($T289&amp;"|Al2O3",ASSAY_KEYS,ASSAY_VALUES,""),"")</f>
        <v/>
      </c>
      <c r="BA289" t="str">
        <f ca="1">IFERROR(_xludf.XLOOKUP($T289&amp;"|P",ASSAY_KEYS,ASSAY_VALUES,""),"")</f>
        <v/>
      </c>
      <c r="BB289" t="str">
        <f ca="1">IFERROR(_xludf.XLOOKUP($T289&amp;"|S",ASSAY_KEYS,ASSAY_VALUES,""),"")</f>
        <v/>
      </c>
      <c r="BC289" t="str">
        <f ca="1">IFERROR(_xludf.XLOOKUP($T289&amp;"|LOI",ASSAY_KEYS,ASSAY_VALUES,""),"")</f>
        <v/>
      </c>
    </row>
    <row r="290" spans="5:55" x14ac:dyDescent="0.25">
      <c r="E290" t="str">
        <f t="shared" si="12"/>
        <v/>
      </c>
      <c r="G290" t="str">
        <f ca="1">IFERROR(_xludf.XLOOKUP(F290,Lists!$A:$A,Lists!$B:$B,"",0),"")</f>
        <v/>
      </c>
      <c r="S290" t="str">
        <f t="shared" si="13"/>
        <v/>
      </c>
      <c r="AQ290" t="str">
        <f t="shared" si="14"/>
        <v/>
      </c>
      <c r="AX290" t="str">
        <f ca="1">IFERROR(_xludf.XLOOKUP($T290&amp;"|Fe",ASSAY_KEYS,ASSAY_VALUES,""),"")</f>
        <v/>
      </c>
      <c r="AY290" t="str">
        <f ca="1">IFERROR(_xludf.XLOOKUP($T290&amp;"|SiO2",ASSAY_KEYS,ASSAY_VALUES,""),"")</f>
        <v/>
      </c>
      <c r="AZ290" t="str">
        <f ca="1">IFERROR(_xludf.XLOOKUP($T290&amp;"|Al2O3",ASSAY_KEYS,ASSAY_VALUES,""),"")</f>
        <v/>
      </c>
      <c r="BA290" t="str">
        <f ca="1">IFERROR(_xludf.XLOOKUP($T290&amp;"|P",ASSAY_KEYS,ASSAY_VALUES,""),"")</f>
        <v/>
      </c>
      <c r="BB290" t="str">
        <f ca="1">IFERROR(_xludf.XLOOKUP($T290&amp;"|S",ASSAY_KEYS,ASSAY_VALUES,""),"")</f>
        <v/>
      </c>
      <c r="BC290" t="str">
        <f ca="1">IFERROR(_xludf.XLOOKUP($T290&amp;"|LOI",ASSAY_KEYS,ASSAY_VALUES,""),"")</f>
        <v/>
      </c>
    </row>
    <row r="291" spans="5:55" x14ac:dyDescent="0.25">
      <c r="E291" t="str">
        <f t="shared" si="12"/>
        <v/>
      </c>
      <c r="G291" t="str">
        <f ca="1">IFERROR(_xludf.XLOOKUP(F291,Lists!$A:$A,Lists!$B:$B,"",0),"")</f>
        <v/>
      </c>
      <c r="S291" t="str">
        <f t="shared" si="13"/>
        <v/>
      </c>
      <c r="AQ291" t="str">
        <f t="shared" si="14"/>
        <v/>
      </c>
      <c r="AX291" t="str">
        <f ca="1">IFERROR(_xludf.XLOOKUP($T291&amp;"|Fe",ASSAY_KEYS,ASSAY_VALUES,""),"")</f>
        <v/>
      </c>
      <c r="AY291" t="str">
        <f ca="1">IFERROR(_xludf.XLOOKUP($T291&amp;"|SiO2",ASSAY_KEYS,ASSAY_VALUES,""),"")</f>
        <v/>
      </c>
      <c r="AZ291" t="str">
        <f ca="1">IFERROR(_xludf.XLOOKUP($T291&amp;"|Al2O3",ASSAY_KEYS,ASSAY_VALUES,""),"")</f>
        <v/>
      </c>
      <c r="BA291" t="str">
        <f ca="1">IFERROR(_xludf.XLOOKUP($T291&amp;"|P",ASSAY_KEYS,ASSAY_VALUES,""),"")</f>
        <v/>
      </c>
      <c r="BB291" t="str">
        <f ca="1">IFERROR(_xludf.XLOOKUP($T291&amp;"|S",ASSAY_KEYS,ASSAY_VALUES,""),"")</f>
        <v/>
      </c>
      <c r="BC291" t="str">
        <f ca="1">IFERROR(_xludf.XLOOKUP($T291&amp;"|LOI",ASSAY_KEYS,ASSAY_VALUES,""),"")</f>
        <v/>
      </c>
    </row>
    <row r="292" spans="5:55" x14ac:dyDescent="0.25">
      <c r="E292" t="str">
        <f t="shared" si="12"/>
        <v/>
      </c>
      <c r="G292" t="str">
        <f ca="1">IFERROR(_xludf.XLOOKUP(F292,Lists!$A:$A,Lists!$B:$B,"",0),"")</f>
        <v/>
      </c>
      <c r="S292" t="str">
        <f t="shared" si="13"/>
        <v/>
      </c>
      <c r="AQ292" t="str">
        <f t="shared" si="14"/>
        <v/>
      </c>
      <c r="AX292" t="str">
        <f ca="1">IFERROR(_xludf.XLOOKUP($T292&amp;"|Fe",ASSAY_KEYS,ASSAY_VALUES,""),"")</f>
        <v/>
      </c>
      <c r="AY292" t="str">
        <f ca="1">IFERROR(_xludf.XLOOKUP($T292&amp;"|SiO2",ASSAY_KEYS,ASSAY_VALUES,""),"")</f>
        <v/>
      </c>
      <c r="AZ292" t="str">
        <f ca="1">IFERROR(_xludf.XLOOKUP($T292&amp;"|Al2O3",ASSAY_KEYS,ASSAY_VALUES,""),"")</f>
        <v/>
      </c>
      <c r="BA292" t="str">
        <f ca="1">IFERROR(_xludf.XLOOKUP($T292&amp;"|P",ASSAY_KEYS,ASSAY_VALUES,""),"")</f>
        <v/>
      </c>
      <c r="BB292" t="str">
        <f ca="1">IFERROR(_xludf.XLOOKUP($T292&amp;"|S",ASSAY_KEYS,ASSAY_VALUES,""),"")</f>
        <v/>
      </c>
      <c r="BC292" t="str">
        <f ca="1">IFERROR(_xludf.XLOOKUP($T292&amp;"|LOI",ASSAY_KEYS,ASSAY_VALUES,""),"")</f>
        <v/>
      </c>
    </row>
    <row r="293" spans="5:55" x14ac:dyDescent="0.25">
      <c r="E293" t="str">
        <f t="shared" si="12"/>
        <v/>
      </c>
      <c r="G293" t="str">
        <f ca="1">IFERROR(_xludf.XLOOKUP(F293,Lists!$A:$A,Lists!$B:$B,"",0),"")</f>
        <v/>
      </c>
      <c r="S293" t="str">
        <f t="shared" si="13"/>
        <v/>
      </c>
      <c r="AQ293" t="str">
        <f t="shared" si="14"/>
        <v/>
      </c>
      <c r="AX293" t="str">
        <f ca="1">IFERROR(_xludf.XLOOKUP($T293&amp;"|Fe",ASSAY_KEYS,ASSAY_VALUES,""),"")</f>
        <v/>
      </c>
      <c r="AY293" t="str">
        <f ca="1">IFERROR(_xludf.XLOOKUP($T293&amp;"|SiO2",ASSAY_KEYS,ASSAY_VALUES,""),"")</f>
        <v/>
      </c>
      <c r="AZ293" t="str">
        <f ca="1">IFERROR(_xludf.XLOOKUP($T293&amp;"|Al2O3",ASSAY_KEYS,ASSAY_VALUES,""),"")</f>
        <v/>
      </c>
      <c r="BA293" t="str">
        <f ca="1">IFERROR(_xludf.XLOOKUP($T293&amp;"|P",ASSAY_KEYS,ASSAY_VALUES,""),"")</f>
        <v/>
      </c>
      <c r="BB293" t="str">
        <f ca="1">IFERROR(_xludf.XLOOKUP($T293&amp;"|S",ASSAY_KEYS,ASSAY_VALUES,""),"")</f>
        <v/>
      </c>
      <c r="BC293" t="str">
        <f ca="1">IFERROR(_xludf.XLOOKUP($T293&amp;"|LOI",ASSAY_KEYS,ASSAY_VALUES,""),"")</f>
        <v/>
      </c>
    </row>
    <row r="294" spans="5:55" x14ac:dyDescent="0.25">
      <c r="E294" t="str">
        <f t="shared" si="12"/>
        <v/>
      </c>
      <c r="G294" t="str">
        <f ca="1">IFERROR(_xludf.XLOOKUP(F294,Lists!$A:$A,Lists!$B:$B,"",0),"")</f>
        <v/>
      </c>
      <c r="S294" t="str">
        <f t="shared" si="13"/>
        <v/>
      </c>
      <c r="AQ294" t="str">
        <f t="shared" si="14"/>
        <v/>
      </c>
      <c r="AX294" t="str">
        <f ca="1">IFERROR(_xludf.XLOOKUP($T294&amp;"|Fe",ASSAY_KEYS,ASSAY_VALUES,""),"")</f>
        <v/>
      </c>
      <c r="AY294" t="str">
        <f ca="1">IFERROR(_xludf.XLOOKUP($T294&amp;"|SiO2",ASSAY_KEYS,ASSAY_VALUES,""),"")</f>
        <v/>
      </c>
      <c r="AZ294" t="str">
        <f ca="1">IFERROR(_xludf.XLOOKUP($T294&amp;"|Al2O3",ASSAY_KEYS,ASSAY_VALUES,""),"")</f>
        <v/>
      </c>
      <c r="BA294" t="str">
        <f ca="1">IFERROR(_xludf.XLOOKUP($T294&amp;"|P",ASSAY_KEYS,ASSAY_VALUES,""),"")</f>
        <v/>
      </c>
      <c r="BB294" t="str">
        <f ca="1">IFERROR(_xludf.XLOOKUP($T294&amp;"|S",ASSAY_KEYS,ASSAY_VALUES,""),"")</f>
        <v/>
      </c>
      <c r="BC294" t="str">
        <f ca="1">IFERROR(_xludf.XLOOKUP($T294&amp;"|LOI",ASSAY_KEYS,ASSAY_VALUES,""),"")</f>
        <v/>
      </c>
    </row>
    <row r="295" spans="5:55" x14ac:dyDescent="0.25">
      <c r="E295" t="str">
        <f t="shared" si="12"/>
        <v/>
      </c>
      <c r="G295" t="str">
        <f ca="1">IFERROR(_xludf.XLOOKUP(F295,Lists!$A:$A,Lists!$B:$B,"",0),"")</f>
        <v/>
      </c>
      <c r="S295" t="str">
        <f t="shared" si="13"/>
        <v/>
      </c>
      <c r="AQ295" t="str">
        <f t="shared" si="14"/>
        <v/>
      </c>
      <c r="AX295" t="str">
        <f ca="1">IFERROR(_xludf.XLOOKUP($T295&amp;"|Fe",ASSAY_KEYS,ASSAY_VALUES,""),"")</f>
        <v/>
      </c>
      <c r="AY295" t="str">
        <f ca="1">IFERROR(_xludf.XLOOKUP($T295&amp;"|SiO2",ASSAY_KEYS,ASSAY_VALUES,""),"")</f>
        <v/>
      </c>
      <c r="AZ295" t="str">
        <f ca="1">IFERROR(_xludf.XLOOKUP($T295&amp;"|Al2O3",ASSAY_KEYS,ASSAY_VALUES,""),"")</f>
        <v/>
      </c>
      <c r="BA295" t="str">
        <f ca="1">IFERROR(_xludf.XLOOKUP($T295&amp;"|P",ASSAY_KEYS,ASSAY_VALUES,""),"")</f>
        <v/>
      </c>
      <c r="BB295" t="str">
        <f ca="1">IFERROR(_xludf.XLOOKUP($T295&amp;"|S",ASSAY_KEYS,ASSAY_VALUES,""),"")</f>
        <v/>
      </c>
      <c r="BC295" t="str">
        <f ca="1">IFERROR(_xludf.XLOOKUP($T295&amp;"|LOI",ASSAY_KEYS,ASSAY_VALUES,""),"")</f>
        <v/>
      </c>
    </row>
    <row r="296" spans="5:55" x14ac:dyDescent="0.25">
      <c r="E296" t="str">
        <f t="shared" si="12"/>
        <v/>
      </c>
      <c r="G296" t="str">
        <f ca="1">IFERROR(_xludf.XLOOKUP(F296,Lists!$A:$A,Lists!$B:$B,"",0),"")</f>
        <v/>
      </c>
      <c r="S296" t="str">
        <f t="shared" si="13"/>
        <v/>
      </c>
      <c r="AQ296" t="str">
        <f t="shared" si="14"/>
        <v/>
      </c>
      <c r="AX296" t="str">
        <f ca="1">IFERROR(_xludf.XLOOKUP($T296&amp;"|Fe",ASSAY_KEYS,ASSAY_VALUES,""),"")</f>
        <v/>
      </c>
      <c r="AY296" t="str">
        <f ca="1">IFERROR(_xludf.XLOOKUP($T296&amp;"|SiO2",ASSAY_KEYS,ASSAY_VALUES,""),"")</f>
        <v/>
      </c>
      <c r="AZ296" t="str">
        <f ca="1">IFERROR(_xludf.XLOOKUP($T296&amp;"|Al2O3",ASSAY_KEYS,ASSAY_VALUES,""),"")</f>
        <v/>
      </c>
      <c r="BA296" t="str">
        <f ca="1">IFERROR(_xludf.XLOOKUP($T296&amp;"|P",ASSAY_KEYS,ASSAY_VALUES,""),"")</f>
        <v/>
      </c>
      <c r="BB296" t="str">
        <f ca="1">IFERROR(_xludf.XLOOKUP($T296&amp;"|S",ASSAY_KEYS,ASSAY_VALUES,""),"")</f>
        <v/>
      </c>
      <c r="BC296" t="str">
        <f ca="1">IFERROR(_xludf.XLOOKUP($T296&amp;"|LOI",ASSAY_KEYS,ASSAY_VALUES,""),"")</f>
        <v/>
      </c>
    </row>
    <row r="297" spans="5:55" x14ac:dyDescent="0.25">
      <c r="E297" t="str">
        <f t="shared" si="12"/>
        <v/>
      </c>
      <c r="G297" t="str">
        <f ca="1">IFERROR(_xludf.XLOOKUP(F297,Lists!$A:$A,Lists!$B:$B,"",0),"")</f>
        <v/>
      </c>
      <c r="S297" t="str">
        <f t="shared" si="13"/>
        <v/>
      </c>
      <c r="AQ297" t="str">
        <f t="shared" si="14"/>
        <v/>
      </c>
      <c r="AX297" t="str">
        <f ca="1">IFERROR(_xludf.XLOOKUP($T297&amp;"|Fe",ASSAY_KEYS,ASSAY_VALUES,""),"")</f>
        <v/>
      </c>
      <c r="AY297" t="str">
        <f ca="1">IFERROR(_xludf.XLOOKUP($T297&amp;"|SiO2",ASSAY_KEYS,ASSAY_VALUES,""),"")</f>
        <v/>
      </c>
      <c r="AZ297" t="str">
        <f ca="1">IFERROR(_xludf.XLOOKUP($T297&amp;"|Al2O3",ASSAY_KEYS,ASSAY_VALUES,""),"")</f>
        <v/>
      </c>
      <c r="BA297" t="str">
        <f ca="1">IFERROR(_xludf.XLOOKUP($T297&amp;"|P",ASSAY_KEYS,ASSAY_VALUES,""),"")</f>
        <v/>
      </c>
      <c r="BB297" t="str">
        <f ca="1">IFERROR(_xludf.XLOOKUP($T297&amp;"|S",ASSAY_KEYS,ASSAY_VALUES,""),"")</f>
        <v/>
      </c>
      <c r="BC297" t="str">
        <f ca="1">IFERROR(_xludf.XLOOKUP($T297&amp;"|LOI",ASSAY_KEYS,ASSAY_VALUES,""),"")</f>
        <v/>
      </c>
    </row>
    <row r="298" spans="5:55" x14ac:dyDescent="0.25">
      <c r="E298" t="str">
        <f t="shared" si="12"/>
        <v/>
      </c>
      <c r="G298" t="str">
        <f ca="1">IFERROR(_xludf.XLOOKUP(F298,Lists!$A:$A,Lists!$B:$B,"",0),"")</f>
        <v/>
      </c>
      <c r="S298" t="str">
        <f t="shared" si="13"/>
        <v/>
      </c>
      <c r="AQ298" t="str">
        <f t="shared" si="14"/>
        <v/>
      </c>
      <c r="AX298" t="str">
        <f ca="1">IFERROR(_xludf.XLOOKUP($T298&amp;"|Fe",ASSAY_KEYS,ASSAY_VALUES,""),"")</f>
        <v/>
      </c>
      <c r="AY298" t="str">
        <f ca="1">IFERROR(_xludf.XLOOKUP($T298&amp;"|SiO2",ASSAY_KEYS,ASSAY_VALUES,""),"")</f>
        <v/>
      </c>
      <c r="AZ298" t="str">
        <f ca="1">IFERROR(_xludf.XLOOKUP($T298&amp;"|Al2O3",ASSAY_KEYS,ASSAY_VALUES,""),"")</f>
        <v/>
      </c>
      <c r="BA298" t="str">
        <f ca="1">IFERROR(_xludf.XLOOKUP($T298&amp;"|P",ASSAY_KEYS,ASSAY_VALUES,""),"")</f>
        <v/>
      </c>
      <c r="BB298" t="str">
        <f ca="1">IFERROR(_xludf.XLOOKUP($T298&amp;"|S",ASSAY_KEYS,ASSAY_VALUES,""),"")</f>
        <v/>
      </c>
      <c r="BC298" t="str">
        <f ca="1">IFERROR(_xludf.XLOOKUP($T298&amp;"|LOI",ASSAY_KEYS,ASSAY_VALUES,""),"")</f>
        <v/>
      </c>
    </row>
    <row r="299" spans="5:55" x14ac:dyDescent="0.25">
      <c r="E299" t="str">
        <f t="shared" si="12"/>
        <v/>
      </c>
      <c r="G299" t="str">
        <f ca="1">IFERROR(_xludf.XLOOKUP(F299,Lists!$A:$A,Lists!$B:$B,"",0),"")</f>
        <v/>
      </c>
      <c r="S299" t="str">
        <f t="shared" si="13"/>
        <v/>
      </c>
      <c r="AQ299" t="str">
        <f t="shared" si="14"/>
        <v/>
      </c>
      <c r="AX299" t="str">
        <f ca="1">IFERROR(_xludf.XLOOKUP($T299&amp;"|Fe",ASSAY_KEYS,ASSAY_VALUES,""),"")</f>
        <v/>
      </c>
      <c r="AY299" t="str">
        <f ca="1">IFERROR(_xludf.XLOOKUP($T299&amp;"|SiO2",ASSAY_KEYS,ASSAY_VALUES,""),"")</f>
        <v/>
      </c>
      <c r="AZ299" t="str">
        <f ca="1">IFERROR(_xludf.XLOOKUP($T299&amp;"|Al2O3",ASSAY_KEYS,ASSAY_VALUES,""),"")</f>
        <v/>
      </c>
      <c r="BA299" t="str">
        <f ca="1">IFERROR(_xludf.XLOOKUP($T299&amp;"|P",ASSAY_KEYS,ASSAY_VALUES,""),"")</f>
        <v/>
      </c>
      <c r="BB299" t="str">
        <f ca="1">IFERROR(_xludf.XLOOKUP($T299&amp;"|S",ASSAY_KEYS,ASSAY_VALUES,""),"")</f>
        <v/>
      </c>
      <c r="BC299" t="str">
        <f ca="1">IFERROR(_xludf.XLOOKUP($T299&amp;"|LOI",ASSAY_KEYS,ASSAY_VALUES,""),"")</f>
        <v/>
      </c>
    </row>
    <row r="300" spans="5:55" x14ac:dyDescent="0.25">
      <c r="E300" t="str">
        <f t="shared" si="12"/>
        <v/>
      </c>
      <c r="G300" t="str">
        <f ca="1">IFERROR(_xludf.XLOOKUP(F300,Lists!$A:$A,Lists!$B:$B,"",0),"")</f>
        <v/>
      </c>
      <c r="S300" t="str">
        <f t="shared" si="13"/>
        <v/>
      </c>
      <c r="AQ300" t="str">
        <f t="shared" si="14"/>
        <v/>
      </c>
      <c r="AX300" t="str">
        <f ca="1">IFERROR(_xludf.XLOOKUP($T300&amp;"|Fe",ASSAY_KEYS,ASSAY_VALUES,""),"")</f>
        <v/>
      </c>
      <c r="AY300" t="str">
        <f ca="1">IFERROR(_xludf.XLOOKUP($T300&amp;"|SiO2",ASSAY_KEYS,ASSAY_VALUES,""),"")</f>
        <v/>
      </c>
      <c r="AZ300" t="str">
        <f ca="1">IFERROR(_xludf.XLOOKUP($T300&amp;"|Al2O3",ASSAY_KEYS,ASSAY_VALUES,""),"")</f>
        <v/>
      </c>
      <c r="BA300" t="str">
        <f ca="1">IFERROR(_xludf.XLOOKUP($T300&amp;"|P",ASSAY_KEYS,ASSAY_VALUES,""),"")</f>
        <v/>
      </c>
      <c r="BB300" t="str">
        <f ca="1">IFERROR(_xludf.XLOOKUP($T300&amp;"|S",ASSAY_KEYS,ASSAY_VALUES,""),"")</f>
        <v/>
      </c>
      <c r="BC300" t="str">
        <f ca="1">IFERROR(_xludf.XLOOKUP($T300&amp;"|LOI",ASSAY_KEYS,ASSAY_VALUES,""),"")</f>
        <v/>
      </c>
    </row>
    <row r="301" spans="5:55" x14ac:dyDescent="0.25">
      <c r="E301" t="str">
        <f t="shared" si="12"/>
        <v/>
      </c>
      <c r="G301" t="str">
        <f ca="1">IFERROR(_xludf.XLOOKUP(F301,Lists!$A:$A,Lists!$B:$B,"",0),"")</f>
        <v/>
      </c>
      <c r="S301" t="str">
        <f t="shared" si="13"/>
        <v/>
      </c>
      <c r="AQ301" t="str">
        <f t="shared" si="14"/>
        <v/>
      </c>
      <c r="AX301" t="str">
        <f ca="1">IFERROR(_xludf.XLOOKUP($T301&amp;"|Fe",ASSAY_KEYS,ASSAY_VALUES,""),"")</f>
        <v/>
      </c>
      <c r="AY301" t="str">
        <f ca="1">IFERROR(_xludf.XLOOKUP($T301&amp;"|SiO2",ASSAY_KEYS,ASSAY_VALUES,""),"")</f>
        <v/>
      </c>
      <c r="AZ301" t="str">
        <f ca="1">IFERROR(_xludf.XLOOKUP($T301&amp;"|Al2O3",ASSAY_KEYS,ASSAY_VALUES,""),"")</f>
        <v/>
      </c>
      <c r="BA301" t="str">
        <f ca="1">IFERROR(_xludf.XLOOKUP($T301&amp;"|P",ASSAY_KEYS,ASSAY_VALUES,""),"")</f>
        <v/>
      </c>
      <c r="BB301" t="str">
        <f ca="1">IFERROR(_xludf.XLOOKUP($T301&amp;"|S",ASSAY_KEYS,ASSAY_VALUES,""),"")</f>
        <v/>
      </c>
      <c r="BC301" t="str">
        <f ca="1">IFERROR(_xludf.XLOOKUP($T301&amp;"|LOI",ASSAY_KEYS,ASSAY_VALUES,""),"")</f>
        <v/>
      </c>
    </row>
    <row r="302" spans="5:55" x14ac:dyDescent="0.25">
      <c r="E302" t="str">
        <f t="shared" si="12"/>
        <v/>
      </c>
      <c r="G302" t="str">
        <f ca="1">IFERROR(_xludf.XLOOKUP(F302,Lists!$A:$A,Lists!$B:$B,"",0),"")</f>
        <v/>
      </c>
      <c r="S302" t="str">
        <f t="shared" si="13"/>
        <v/>
      </c>
      <c r="AQ302" t="str">
        <f t="shared" si="14"/>
        <v/>
      </c>
      <c r="AX302" t="str">
        <f ca="1">IFERROR(_xludf.XLOOKUP($T302&amp;"|Fe",ASSAY_KEYS,ASSAY_VALUES,""),"")</f>
        <v/>
      </c>
      <c r="AY302" t="str">
        <f ca="1">IFERROR(_xludf.XLOOKUP($T302&amp;"|SiO2",ASSAY_KEYS,ASSAY_VALUES,""),"")</f>
        <v/>
      </c>
      <c r="AZ302" t="str">
        <f ca="1">IFERROR(_xludf.XLOOKUP($T302&amp;"|Al2O3",ASSAY_KEYS,ASSAY_VALUES,""),"")</f>
        <v/>
      </c>
      <c r="BA302" t="str">
        <f ca="1">IFERROR(_xludf.XLOOKUP($T302&amp;"|P",ASSAY_KEYS,ASSAY_VALUES,""),"")</f>
        <v/>
      </c>
      <c r="BB302" t="str">
        <f ca="1">IFERROR(_xludf.XLOOKUP($T302&amp;"|S",ASSAY_KEYS,ASSAY_VALUES,""),"")</f>
        <v/>
      </c>
      <c r="BC302" t="str">
        <f ca="1">IFERROR(_xludf.XLOOKUP($T302&amp;"|LOI",ASSAY_KEYS,ASSAY_VALUES,""),"")</f>
        <v/>
      </c>
    </row>
    <row r="303" spans="5:55" x14ac:dyDescent="0.25">
      <c r="E303" t="str">
        <f t="shared" si="12"/>
        <v/>
      </c>
      <c r="G303" t="str">
        <f ca="1">IFERROR(_xludf.XLOOKUP(F303,Lists!$A:$A,Lists!$B:$B,"",0),"")</f>
        <v/>
      </c>
      <c r="S303" t="str">
        <f t="shared" si="13"/>
        <v/>
      </c>
      <c r="AQ303" t="str">
        <f t="shared" si="14"/>
        <v/>
      </c>
      <c r="AX303" t="str">
        <f ca="1">IFERROR(_xludf.XLOOKUP($T303&amp;"|Fe",ASSAY_KEYS,ASSAY_VALUES,""),"")</f>
        <v/>
      </c>
      <c r="AY303" t="str">
        <f ca="1">IFERROR(_xludf.XLOOKUP($T303&amp;"|SiO2",ASSAY_KEYS,ASSAY_VALUES,""),"")</f>
        <v/>
      </c>
      <c r="AZ303" t="str">
        <f ca="1">IFERROR(_xludf.XLOOKUP($T303&amp;"|Al2O3",ASSAY_KEYS,ASSAY_VALUES,""),"")</f>
        <v/>
      </c>
      <c r="BA303" t="str">
        <f ca="1">IFERROR(_xludf.XLOOKUP($T303&amp;"|P",ASSAY_KEYS,ASSAY_VALUES,""),"")</f>
        <v/>
      </c>
      <c r="BB303" t="str">
        <f ca="1">IFERROR(_xludf.XLOOKUP($T303&amp;"|S",ASSAY_KEYS,ASSAY_VALUES,""),"")</f>
        <v/>
      </c>
      <c r="BC303" t="str">
        <f ca="1">IFERROR(_xludf.XLOOKUP($T303&amp;"|LOI",ASSAY_KEYS,ASSAY_VALUES,""),"")</f>
        <v/>
      </c>
    </row>
    <row r="304" spans="5:55" x14ac:dyDescent="0.25">
      <c r="E304" t="str">
        <f t="shared" si="12"/>
        <v/>
      </c>
      <c r="G304" t="str">
        <f ca="1">IFERROR(_xludf.XLOOKUP(F304,Lists!$A:$A,Lists!$B:$B,"",0),"")</f>
        <v/>
      </c>
      <c r="S304" t="str">
        <f t="shared" si="13"/>
        <v/>
      </c>
      <c r="AQ304" t="str">
        <f t="shared" si="14"/>
        <v/>
      </c>
      <c r="AX304" t="str">
        <f ca="1">IFERROR(_xludf.XLOOKUP($T304&amp;"|Fe",ASSAY_KEYS,ASSAY_VALUES,""),"")</f>
        <v/>
      </c>
      <c r="AY304" t="str">
        <f ca="1">IFERROR(_xludf.XLOOKUP($T304&amp;"|SiO2",ASSAY_KEYS,ASSAY_VALUES,""),"")</f>
        <v/>
      </c>
      <c r="AZ304" t="str">
        <f ca="1">IFERROR(_xludf.XLOOKUP($T304&amp;"|Al2O3",ASSAY_KEYS,ASSAY_VALUES,""),"")</f>
        <v/>
      </c>
      <c r="BA304" t="str">
        <f ca="1">IFERROR(_xludf.XLOOKUP($T304&amp;"|P",ASSAY_KEYS,ASSAY_VALUES,""),"")</f>
        <v/>
      </c>
      <c r="BB304" t="str">
        <f ca="1">IFERROR(_xludf.XLOOKUP($T304&amp;"|S",ASSAY_KEYS,ASSAY_VALUES,""),"")</f>
        <v/>
      </c>
      <c r="BC304" t="str">
        <f ca="1">IFERROR(_xludf.XLOOKUP($T304&amp;"|LOI",ASSAY_KEYS,ASSAY_VALUES,""),"")</f>
        <v/>
      </c>
    </row>
    <row r="305" spans="5:55" x14ac:dyDescent="0.25">
      <c r="E305" t="str">
        <f t="shared" si="12"/>
        <v/>
      </c>
      <c r="G305" t="str">
        <f ca="1">IFERROR(_xludf.XLOOKUP(F305,Lists!$A:$A,Lists!$B:$B,"",0),"")</f>
        <v/>
      </c>
      <c r="S305" t="str">
        <f t="shared" si="13"/>
        <v/>
      </c>
      <c r="AQ305" t="str">
        <f t="shared" si="14"/>
        <v/>
      </c>
      <c r="AX305" t="str">
        <f ca="1">IFERROR(_xludf.XLOOKUP($T305&amp;"|Fe",ASSAY_KEYS,ASSAY_VALUES,""),"")</f>
        <v/>
      </c>
      <c r="AY305" t="str">
        <f ca="1">IFERROR(_xludf.XLOOKUP($T305&amp;"|SiO2",ASSAY_KEYS,ASSAY_VALUES,""),"")</f>
        <v/>
      </c>
      <c r="AZ305" t="str">
        <f ca="1">IFERROR(_xludf.XLOOKUP($T305&amp;"|Al2O3",ASSAY_KEYS,ASSAY_VALUES,""),"")</f>
        <v/>
      </c>
      <c r="BA305" t="str">
        <f ca="1">IFERROR(_xludf.XLOOKUP($T305&amp;"|P",ASSAY_KEYS,ASSAY_VALUES,""),"")</f>
        <v/>
      </c>
      <c r="BB305" t="str">
        <f ca="1">IFERROR(_xludf.XLOOKUP($T305&amp;"|S",ASSAY_KEYS,ASSAY_VALUES,""),"")</f>
        <v/>
      </c>
      <c r="BC305" t="str">
        <f ca="1">IFERROR(_xludf.XLOOKUP($T305&amp;"|LOI",ASSAY_KEYS,ASSAY_VALUES,""),"")</f>
        <v/>
      </c>
    </row>
    <row r="306" spans="5:55" x14ac:dyDescent="0.25">
      <c r="E306" t="str">
        <f t="shared" si="12"/>
        <v/>
      </c>
      <c r="G306" t="str">
        <f ca="1">IFERROR(_xludf.XLOOKUP(F306,Lists!$A:$A,Lists!$B:$B,"",0),"")</f>
        <v/>
      </c>
      <c r="S306" t="str">
        <f t="shared" si="13"/>
        <v/>
      </c>
      <c r="AQ306" t="str">
        <f t="shared" si="14"/>
        <v/>
      </c>
      <c r="AX306" t="str">
        <f ca="1">IFERROR(_xludf.XLOOKUP($T306&amp;"|Fe",ASSAY_KEYS,ASSAY_VALUES,""),"")</f>
        <v/>
      </c>
      <c r="AY306" t="str">
        <f ca="1">IFERROR(_xludf.XLOOKUP($T306&amp;"|SiO2",ASSAY_KEYS,ASSAY_VALUES,""),"")</f>
        <v/>
      </c>
      <c r="AZ306" t="str">
        <f ca="1">IFERROR(_xludf.XLOOKUP($T306&amp;"|Al2O3",ASSAY_KEYS,ASSAY_VALUES,""),"")</f>
        <v/>
      </c>
      <c r="BA306" t="str">
        <f ca="1">IFERROR(_xludf.XLOOKUP($T306&amp;"|P",ASSAY_KEYS,ASSAY_VALUES,""),"")</f>
        <v/>
      </c>
      <c r="BB306" t="str">
        <f ca="1">IFERROR(_xludf.XLOOKUP($T306&amp;"|S",ASSAY_KEYS,ASSAY_VALUES,""),"")</f>
        <v/>
      </c>
      <c r="BC306" t="str">
        <f ca="1">IFERROR(_xludf.XLOOKUP($T306&amp;"|LOI",ASSAY_KEYS,ASSAY_VALUES,""),"")</f>
        <v/>
      </c>
    </row>
    <row r="307" spans="5:55" x14ac:dyDescent="0.25">
      <c r="E307" t="str">
        <f t="shared" si="12"/>
        <v/>
      </c>
      <c r="G307" t="str">
        <f ca="1">IFERROR(_xludf.XLOOKUP(F307,Lists!$A:$A,Lists!$B:$B,"",0),"")</f>
        <v/>
      </c>
      <c r="S307" t="str">
        <f t="shared" si="13"/>
        <v/>
      </c>
      <c r="AQ307" t="str">
        <f t="shared" si="14"/>
        <v/>
      </c>
      <c r="AX307" t="str">
        <f ca="1">IFERROR(_xludf.XLOOKUP($T307&amp;"|Fe",ASSAY_KEYS,ASSAY_VALUES,""),"")</f>
        <v/>
      </c>
      <c r="AY307" t="str">
        <f ca="1">IFERROR(_xludf.XLOOKUP($T307&amp;"|SiO2",ASSAY_KEYS,ASSAY_VALUES,""),"")</f>
        <v/>
      </c>
      <c r="AZ307" t="str">
        <f ca="1">IFERROR(_xludf.XLOOKUP($T307&amp;"|Al2O3",ASSAY_KEYS,ASSAY_VALUES,""),"")</f>
        <v/>
      </c>
      <c r="BA307" t="str">
        <f ca="1">IFERROR(_xludf.XLOOKUP($T307&amp;"|P",ASSAY_KEYS,ASSAY_VALUES,""),"")</f>
        <v/>
      </c>
      <c r="BB307" t="str">
        <f ca="1">IFERROR(_xludf.XLOOKUP($T307&amp;"|S",ASSAY_KEYS,ASSAY_VALUES,""),"")</f>
        <v/>
      </c>
      <c r="BC307" t="str">
        <f ca="1">IFERROR(_xludf.XLOOKUP($T307&amp;"|LOI",ASSAY_KEYS,ASSAY_VALUES,""),"")</f>
        <v/>
      </c>
    </row>
    <row r="308" spans="5:55" x14ac:dyDescent="0.25">
      <c r="E308" t="str">
        <f t="shared" si="12"/>
        <v/>
      </c>
      <c r="G308" t="str">
        <f ca="1">IFERROR(_xludf.XLOOKUP(F308,Lists!$A:$A,Lists!$B:$B,"",0),"")</f>
        <v/>
      </c>
      <c r="S308" t="str">
        <f t="shared" si="13"/>
        <v/>
      </c>
      <c r="AQ308" t="str">
        <f t="shared" si="14"/>
        <v/>
      </c>
      <c r="AX308" t="str">
        <f ca="1">IFERROR(_xludf.XLOOKUP($T308&amp;"|Fe",ASSAY_KEYS,ASSAY_VALUES,""),"")</f>
        <v/>
      </c>
      <c r="AY308" t="str">
        <f ca="1">IFERROR(_xludf.XLOOKUP($T308&amp;"|SiO2",ASSAY_KEYS,ASSAY_VALUES,""),"")</f>
        <v/>
      </c>
      <c r="AZ308" t="str">
        <f ca="1">IFERROR(_xludf.XLOOKUP($T308&amp;"|Al2O3",ASSAY_KEYS,ASSAY_VALUES,""),"")</f>
        <v/>
      </c>
      <c r="BA308" t="str">
        <f ca="1">IFERROR(_xludf.XLOOKUP($T308&amp;"|P",ASSAY_KEYS,ASSAY_VALUES,""),"")</f>
        <v/>
      </c>
      <c r="BB308" t="str">
        <f ca="1">IFERROR(_xludf.XLOOKUP($T308&amp;"|S",ASSAY_KEYS,ASSAY_VALUES,""),"")</f>
        <v/>
      </c>
      <c r="BC308" t="str">
        <f ca="1">IFERROR(_xludf.XLOOKUP($T308&amp;"|LOI",ASSAY_KEYS,ASSAY_VALUES,""),"")</f>
        <v/>
      </c>
    </row>
    <row r="309" spans="5:55" x14ac:dyDescent="0.25">
      <c r="E309" t="str">
        <f t="shared" si="12"/>
        <v/>
      </c>
      <c r="G309" t="str">
        <f ca="1">IFERROR(_xludf.XLOOKUP(F309,Lists!$A:$A,Lists!$B:$B,"",0),"")</f>
        <v/>
      </c>
      <c r="S309" t="str">
        <f t="shared" si="13"/>
        <v/>
      </c>
      <c r="AQ309" t="str">
        <f t="shared" si="14"/>
        <v/>
      </c>
      <c r="AX309" t="str">
        <f ca="1">IFERROR(_xludf.XLOOKUP($T309&amp;"|Fe",ASSAY_KEYS,ASSAY_VALUES,""),"")</f>
        <v/>
      </c>
      <c r="AY309" t="str">
        <f ca="1">IFERROR(_xludf.XLOOKUP($T309&amp;"|SiO2",ASSAY_KEYS,ASSAY_VALUES,""),"")</f>
        <v/>
      </c>
      <c r="AZ309" t="str">
        <f ca="1">IFERROR(_xludf.XLOOKUP($T309&amp;"|Al2O3",ASSAY_KEYS,ASSAY_VALUES,""),"")</f>
        <v/>
      </c>
      <c r="BA309" t="str">
        <f ca="1">IFERROR(_xludf.XLOOKUP($T309&amp;"|P",ASSAY_KEYS,ASSAY_VALUES,""),"")</f>
        <v/>
      </c>
      <c r="BB309" t="str">
        <f ca="1">IFERROR(_xludf.XLOOKUP($T309&amp;"|S",ASSAY_KEYS,ASSAY_VALUES,""),"")</f>
        <v/>
      </c>
      <c r="BC309" t="str">
        <f ca="1">IFERROR(_xludf.XLOOKUP($T309&amp;"|LOI",ASSAY_KEYS,ASSAY_VALUES,""),"")</f>
        <v/>
      </c>
    </row>
    <row r="310" spans="5:55" x14ac:dyDescent="0.25">
      <c r="E310" t="str">
        <f t="shared" si="12"/>
        <v/>
      </c>
      <c r="G310" t="str">
        <f ca="1">IFERROR(_xludf.XLOOKUP(F310,Lists!$A:$A,Lists!$B:$B,"",0),"")</f>
        <v/>
      </c>
      <c r="S310" t="str">
        <f t="shared" si="13"/>
        <v/>
      </c>
      <c r="AQ310" t="str">
        <f t="shared" si="14"/>
        <v/>
      </c>
      <c r="AX310" t="str">
        <f ca="1">IFERROR(_xludf.XLOOKUP($T310&amp;"|Fe",ASSAY_KEYS,ASSAY_VALUES,""),"")</f>
        <v/>
      </c>
      <c r="AY310" t="str">
        <f ca="1">IFERROR(_xludf.XLOOKUP($T310&amp;"|SiO2",ASSAY_KEYS,ASSAY_VALUES,""),"")</f>
        <v/>
      </c>
      <c r="AZ310" t="str">
        <f ca="1">IFERROR(_xludf.XLOOKUP($T310&amp;"|Al2O3",ASSAY_KEYS,ASSAY_VALUES,""),"")</f>
        <v/>
      </c>
      <c r="BA310" t="str">
        <f ca="1">IFERROR(_xludf.XLOOKUP($T310&amp;"|P",ASSAY_KEYS,ASSAY_VALUES,""),"")</f>
        <v/>
      </c>
      <c r="BB310" t="str">
        <f ca="1">IFERROR(_xludf.XLOOKUP($T310&amp;"|S",ASSAY_KEYS,ASSAY_VALUES,""),"")</f>
        <v/>
      </c>
      <c r="BC310" t="str">
        <f ca="1">IFERROR(_xludf.XLOOKUP($T310&amp;"|LOI",ASSAY_KEYS,ASSAY_VALUES,""),"")</f>
        <v/>
      </c>
    </row>
    <row r="311" spans="5:55" x14ac:dyDescent="0.25">
      <c r="E311" t="str">
        <f t="shared" si="12"/>
        <v/>
      </c>
      <c r="G311" t="str">
        <f ca="1">IFERROR(_xludf.XLOOKUP(F311,Lists!$A:$A,Lists!$B:$B,"",0),"")</f>
        <v/>
      </c>
      <c r="S311" t="str">
        <f t="shared" si="13"/>
        <v/>
      </c>
      <c r="AQ311" t="str">
        <f t="shared" si="14"/>
        <v/>
      </c>
      <c r="AX311" t="str">
        <f ca="1">IFERROR(_xludf.XLOOKUP($T311&amp;"|Fe",ASSAY_KEYS,ASSAY_VALUES,""),"")</f>
        <v/>
      </c>
      <c r="AY311" t="str">
        <f ca="1">IFERROR(_xludf.XLOOKUP($T311&amp;"|SiO2",ASSAY_KEYS,ASSAY_VALUES,""),"")</f>
        <v/>
      </c>
      <c r="AZ311" t="str">
        <f ca="1">IFERROR(_xludf.XLOOKUP($T311&amp;"|Al2O3",ASSAY_KEYS,ASSAY_VALUES,""),"")</f>
        <v/>
      </c>
      <c r="BA311" t="str">
        <f ca="1">IFERROR(_xludf.XLOOKUP($T311&amp;"|P",ASSAY_KEYS,ASSAY_VALUES,""),"")</f>
        <v/>
      </c>
      <c r="BB311" t="str">
        <f ca="1">IFERROR(_xludf.XLOOKUP($T311&amp;"|S",ASSAY_KEYS,ASSAY_VALUES,""),"")</f>
        <v/>
      </c>
      <c r="BC311" t="str">
        <f ca="1">IFERROR(_xludf.XLOOKUP($T311&amp;"|LOI",ASSAY_KEYS,ASSAY_VALUES,""),"")</f>
        <v/>
      </c>
    </row>
    <row r="312" spans="5:55" x14ac:dyDescent="0.25">
      <c r="E312" t="str">
        <f t="shared" si="12"/>
        <v/>
      </c>
      <c r="G312" t="str">
        <f ca="1">IFERROR(_xludf.XLOOKUP(F312,Lists!$A:$A,Lists!$B:$B,"",0),"")</f>
        <v/>
      </c>
      <c r="S312" t="str">
        <f t="shared" si="13"/>
        <v/>
      </c>
      <c r="AQ312" t="str">
        <f t="shared" si="14"/>
        <v/>
      </c>
      <c r="AX312" t="str">
        <f ca="1">IFERROR(_xludf.XLOOKUP($T312&amp;"|Fe",ASSAY_KEYS,ASSAY_VALUES,""),"")</f>
        <v/>
      </c>
      <c r="AY312" t="str">
        <f ca="1">IFERROR(_xludf.XLOOKUP($T312&amp;"|SiO2",ASSAY_KEYS,ASSAY_VALUES,""),"")</f>
        <v/>
      </c>
      <c r="AZ312" t="str">
        <f ca="1">IFERROR(_xludf.XLOOKUP($T312&amp;"|Al2O3",ASSAY_KEYS,ASSAY_VALUES,""),"")</f>
        <v/>
      </c>
      <c r="BA312" t="str">
        <f ca="1">IFERROR(_xludf.XLOOKUP($T312&amp;"|P",ASSAY_KEYS,ASSAY_VALUES,""),"")</f>
        <v/>
      </c>
      <c r="BB312" t="str">
        <f ca="1">IFERROR(_xludf.XLOOKUP($T312&amp;"|S",ASSAY_KEYS,ASSAY_VALUES,""),"")</f>
        <v/>
      </c>
      <c r="BC312" t="str">
        <f ca="1">IFERROR(_xludf.XLOOKUP($T312&amp;"|LOI",ASSAY_KEYS,ASSAY_VALUES,""),"")</f>
        <v/>
      </c>
    </row>
    <row r="313" spans="5:55" x14ac:dyDescent="0.25">
      <c r="E313" t="str">
        <f t="shared" si="12"/>
        <v/>
      </c>
      <c r="G313" t="str">
        <f ca="1">IFERROR(_xludf.XLOOKUP(F313,Lists!$A:$A,Lists!$B:$B,"",0),"")</f>
        <v/>
      </c>
      <c r="S313" t="str">
        <f t="shared" si="13"/>
        <v/>
      </c>
      <c r="AQ313" t="str">
        <f t="shared" si="14"/>
        <v/>
      </c>
      <c r="AX313" t="str">
        <f ca="1">IFERROR(_xludf.XLOOKUP($T313&amp;"|Fe",ASSAY_KEYS,ASSAY_VALUES,""),"")</f>
        <v/>
      </c>
      <c r="AY313" t="str">
        <f ca="1">IFERROR(_xludf.XLOOKUP($T313&amp;"|SiO2",ASSAY_KEYS,ASSAY_VALUES,""),"")</f>
        <v/>
      </c>
      <c r="AZ313" t="str">
        <f ca="1">IFERROR(_xludf.XLOOKUP($T313&amp;"|Al2O3",ASSAY_KEYS,ASSAY_VALUES,""),"")</f>
        <v/>
      </c>
      <c r="BA313" t="str">
        <f ca="1">IFERROR(_xludf.XLOOKUP($T313&amp;"|P",ASSAY_KEYS,ASSAY_VALUES,""),"")</f>
        <v/>
      </c>
      <c r="BB313" t="str">
        <f ca="1">IFERROR(_xludf.XLOOKUP($T313&amp;"|S",ASSAY_KEYS,ASSAY_VALUES,""),"")</f>
        <v/>
      </c>
      <c r="BC313" t="str">
        <f ca="1">IFERROR(_xludf.XLOOKUP($T313&amp;"|LOI",ASSAY_KEYS,ASSAY_VALUES,""),"")</f>
        <v/>
      </c>
    </row>
    <row r="314" spans="5:55" x14ac:dyDescent="0.25">
      <c r="E314" t="str">
        <f t="shared" si="12"/>
        <v/>
      </c>
      <c r="G314" t="str">
        <f ca="1">IFERROR(_xludf.XLOOKUP(F314,Lists!$A:$A,Lists!$B:$B,"",0),"")</f>
        <v/>
      </c>
      <c r="S314" t="str">
        <f t="shared" si="13"/>
        <v/>
      </c>
      <c r="AQ314" t="str">
        <f t="shared" si="14"/>
        <v/>
      </c>
      <c r="AX314" t="str">
        <f ca="1">IFERROR(_xludf.XLOOKUP($T314&amp;"|Fe",ASSAY_KEYS,ASSAY_VALUES,""),"")</f>
        <v/>
      </c>
      <c r="AY314" t="str">
        <f ca="1">IFERROR(_xludf.XLOOKUP($T314&amp;"|SiO2",ASSAY_KEYS,ASSAY_VALUES,""),"")</f>
        <v/>
      </c>
      <c r="AZ314" t="str">
        <f ca="1">IFERROR(_xludf.XLOOKUP($T314&amp;"|Al2O3",ASSAY_KEYS,ASSAY_VALUES,""),"")</f>
        <v/>
      </c>
      <c r="BA314" t="str">
        <f ca="1">IFERROR(_xludf.XLOOKUP($T314&amp;"|P",ASSAY_KEYS,ASSAY_VALUES,""),"")</f>
        <v/>
      </c>
      <c r="BB314" t="str">
        <f ca="1">IFERROR(_xludf.XLOOKUP($T314&amp;"|S",ASSAY_KEYS,ASSAY_VALUES,""),"")</f>
        <v/>
      </c>
      <c r="BC314" t="str">
        <f ca="1">IFERROR(_xludf.XLOOKUP($T314&amp;"|LOI",ASSAY_KEYS,ASSAY_VALUES,""),"")</f>
        <v/>
      </c>
    </row>
    <row r="315" spans="5:55" x14ac:dyDescent="0.25">
      <c r="E315" t="str">
        <f t="shared" si="12"/>
        <v/>
      </c>
      <c r="G315" t="str">
        <f ca="1">IFERROR(_xludf.XLOOKUP(F315,Lists!$A:$A,Lists!$B:$B,"",0),"")</f>
        <v/>
      </c>
      <c r="S315" t="str">
        <f t="shared" si="13"/>
        <v/>
      </c>
      <c r="AQ315" t="str">
        <f t="shared" si="14"/>
        <v/>
      </c>
      <c r="AX315" t="str">
        <f ca="1">IFERROR(_xludf.XLOOKUP($T315&amp;"|Fe",ASSAY_KEYS,ASSAY_VALUES,""),"")</f>
        <v/>
      </c>
      <c r="AY315" t="str">
        <f ca="1">IFERROR(_xludf.XLOOKUP($T315&amp;"|SiO2",ASSAY_KEYS,ASSAY_VALUES,""),"")</f>
        <v/>
      </c>
      <c r="AZ315" t="str">
        <f ca="1">IFERROR(_xludf.XLOOKUP($T315&amp;"|Al2O3",ASSAY_KEYS,ASSAY_VALUES,""),"")</f>
        <v/>
      </c>
      <c r="BA315" t="str">
        <f ca="1">IFERROR(_xludf.XLOOKUP($T315&amp;"|P",ASSAY_KEYS,ASSAY_VALUES,""),"")</f>
        <v/>
      </c>
      <c r="BB315" t="str">
        <f ca="1">IFERROR(_xludf.XLOOKUP($T315&amp;"|S",ASSAY_KEYS,ASSAY_VALUES,""),"")</f>
        <v/>
      </c>
      <c r="BC315" t="str">
        <f ca="1">IFERROR(_xludf.XLOOKUP($T315&amp;"|LOI",ASSAY_KEYS,ASSAY_VALUES,""),"")</f>
        <v/>
      </c>
    </row>
    <row r="316" spans="5:55" x14ac:dyDescent="0.25">
      <c r="E316" t="str">
        <f t="shared" si="12"/>
        <v/>
      </c>
      <c r="G316" t="str">
        <f ca="1">IFERROR(_xludf.XLOOKUP(F316,Lists!$A:$A,Lists!$B:$B,"",0),"")</f>
        <v/>
      </c>
      <c r="S316" t="str">
        <f t="shared" si="13"/>
        <v/>
      </c>
      <c r="AQ316" t="str">
        <f t="shared" si="14"/>
        <v/>
      </c>
      <c r="AX316" t="str">
        <f ca="1">IFERROR(_xludf.XLOOKUP($T316&amp;"|Fe",ASSAY_KEYS,ASSAY_VALUES,""),"")</f>
        <v/>
      </c>
      <c r="AY316" t="str">
        <f ca="1">IFERROR(_xludf.XLOOKUP($T316&amp;"|SiO2",ASSAY_KEYS,ASSAY_VALUES,""),"")</f>
        <v/>
      </c>
      <c r="AZ316" t="str">
        <f ca="1">IFERROR(_xludf.XLOOKUP($T316&amp;"|Al2O3",ASSAY_KEYS,ASSAY_VALUES,""),"")</f>
        <v/>
      </c>
      <c r="BA316" t="str">
        <f ca="1">IFERROR(_xludf.XLOOKUP($T316&amp;"|P",ASSAY_KEYS,ASSAY_VALUES,""),"")</f>
        <v/>
      </c>
      <c r="BB316" t="str">
        <f ca="1">IFERROR(_xludf.XLOOKUP($T316&amp;"|S",ASSAY_KEYS,ASSAY_VALUES,""),"")</f>
        <v/>
      </c>
      <c r="BC316" t="str">
        <f ca="1">IFERROR(_xludf.XLOOKUP($T316&amp;"|LOI",ASSAY_KEYS,ASSAY_VALUES,""),"")</f>
        <v/>
      </c>
    </row>
    <row r="317" spans="5:55" x14ac:dyDescent="0.25">
      <c r="E317" t="str">
        <f t="shared" si="12"/>
        <v/>
      </c>
      <c r="G317" t="str">
        <f ca="1">IFERROR(_xludf.XLOOKUP(F317,Lists!$A:$A,Lists!$B:$B,"",0),"")</f>
        <v/>
      </c>
      <c r="S317" t="str">
        <f t="shared" si="13"/>
        <v/>
      </c>
      <c r="AQ317" t="str">
        <f t="shared" si="14"/>
        <v/>
      </c>
      <c r="AX317" t="str">
        <f ca="1">IFERROR(_xludf.XLOOKUP($T317&amp;"|Fe",ASSAY_KEYS,ASSAY_VALUES,""),"")</f>
        <v/>
      </c>
      <c r="AY317" t="str">
        <f ca="1">IFERROR(_xludf.XLOOKUP($T317&amp;"|SiO2",ASSAY_KEYS,ASSAY_VALUES,""),"")</f>
        <v/>
      </c>
      <c r="AZ317" t="str">
        <f ca="1">IFERROR(_xludf.XLOOKUP($T317&amp;"|Al2O3",ASSAY_KEYS,ASSAY_VALUES,""),"")</f>
        <v/>
      </c>
      <c r="BA317" t="str">
        <f ca="1">IFERROR(_xludf.XLOOKUP($T317&amp;"|P",ASSAY_KEYS,ASSAY_VALUES,""),"")</f>
        <v/>
      </c>
      <c r="BB317" t="str">
        <f ca="1">IFERROR(_xludf.XLOOKUP($T317&amp;"|S",ASSAY_KEYS,ASSAY_VALUES,""),"")</f>
        <v/>
      </c>
      <c r="BC317" t="str">
        <f ca="1">IFERROR(_xludf.XLOOKUP($T317&amp;"|LOI",ASSAY_KEYS,ASSAY_VALUES,""),"")</f>
        <v/>
      </c>
    </row>
    <row r="318" spans="5:55" x14ac:dyDescent="0.25">
      <c r="E318" t="str">
        <f t="shared" si="12"/>
        <v/>
      </c>
      <c r="G318" t="str">
        <f ca="1">IFERROR(_xludf.XLOOKUP(F318,Lists!$A:$A,Lists!$B:$B,"",0),"")</f>
        <v/>
      </c>
      <c r="S318" t="str">
        <f t="shared" si="13"/>
        <v/>
      </c>
      <c r="AQ318" t="str">
        <f t="shared" si="14"/>
        <v/>
      </c>
      <c r="AX318" t="str">
        <f ca="1">IFERROR(_xludf.XLOOKUP($T318&amp;"|Fe",ASSAY_KEYS,ASSAY_VALUES,""),"")</f>
        <v/>
      </c>
      <c r="AY318" t="str">
        <f ca="1">IFERROR(_xludf.XLOOKUP($T318&amp;"|SiO2",ASSAY_KEYS,ASSAY_VALUES,""),"")</f>
        <v/>
      </c>
      <c r="AZ318" t="str">
        <f ca="1">IFERROR(_xludf.XLOOKUP($T318&amp;"|Al2O3",ASSAY_KEYS,ASSAY_VALUES,""),"")</f>
        <v/>
      </c>
      <c r="BA318" t="str">
        <f ca="1">IFERROR(_xludf.XLOOKUP($T318&amp;"|P",ASSAY_KEYS,ASSAY_VALUES,""),"")</f>
        <v/>
      </c>
      <c r="BB318" t="str">
        <f ca="1">IFERROR(_xludf.XLOOKUP($T318&amp;"|S",ASSAY_KEYS,ASSAY_VALUES,""),"")</f>
        <v/>
      </c>
      <c r="BC318" t="str">
        <f ca="1">IFERROR(_xludf.XLOOKUP($T318&amp;"|LOI",ASSAY_KEYS,ASSAY_VALUES,""),"")</f>
        <v/>
      </c>
    </row>
    <row r="319" spans="5:55" x14ac:dyDescent="0.25">
      <c r="E319" t="str">
        <f t="shared" si="12"/>
        <v/>
      </c>
      <c r="G319" t="str">
        <f ca="1">IFERROR(_xludf.XLOOKUP(F319,Lists!$A:$A,Lists!$B:$B,"",0),"")</f>
        <v/>
      </c>
      <c r="S319" t="str">
        <f t="shared" si="13"/>
        <v/>
      </c>
      <c r="AQ319" t="str">
        <f t="shared" si="14"/>
        <v/>
      </c>
      <c r="AX319" t="str">
        <f ca="1">IFERROR(_xludf.XLOOKUP($T319&amp;"|Fe",ASSAY_KEYS,ASSAY_VALUES,""),"")</f>
        <v/>
      </c>
      <c r="AY319" t="str">
        <f ca="1">IFERROR(_xludf.XLOOKUP($T319&amp;"|SiO2",ASSAY_KEYS,ASSAY_VALUES,""),"")</f>
        <v/>
      </c>
      <c r="AZ319" t="str">
        <f ca="1">IFERROR(_xludf.XLOOKUP($T319&amp;"|Al2O3",ASSAY_KEYS,ASSAY_VALUES,""),"")</f>
        <v/>
      </c>
      <c r="BA319" t="str">
        <f ca="1">IFERROR(_xludf.XLOOKUP($T319&amp;"|P",ASSAY_KEYS,ASSAY_VALUES,""),"")</f>
        <v/>
      </c>
      <c r="BB319" t="str">
        <f ca="1">IFERROR(_xludf.XLOOKUP($T319&amp;"|S",ASSAY_KEYS,ASSAY_VALUES,""),"")</f>
        <v/>
      </c>
      <c r="BC319" t="str">
        <f ca="1">IFERROR(_xludf.XLOOKUP($T319&amp;"|LOI",ASSAY_KEYS,ASSAY_VALUES,""),"")</f>
        <v/>
      </c>
    </row>
    <row r="320" spans="5:55" x14ac:dyDescent="0.25">
      <c r="E320" t="str">
        <f t="shared" si="12"/>
        <v/>
      </c>
      <c r="G320" t="str">
        <f ca="1">IFERROR(_xludf.XLOOKUP(F320,Lists!$A:$A,Lists!$B:$B,"",0),"")</f>
        <v/>
      </c>
      <c r="S320" t="str">
        <f t="shared" si="13"/>
        <v/>
      </c>
      <c r="AQ320" t="str">
        <f t="shared" si="14"/>
        <v/>
      </c>
      <c r="AX320" t="str">
        <f ca="1">IFERROR(_xludf.XLOOKUP($T320&amp;"|Fe",ASSAY_KEYS,ASSAY_VALUES,""),"")</f>
        <v/>
      </c>
      <c r="AY320" t="str">
        <f ca="1">IFERROR(_xludf.XLOOKUP($T320&amp;"|SiO2",ASSAY_KEYS,ASSAY_VALUES,""),"")</f>
        <v/>
      </c>
      <c r="AZ320" t="str">
        <f ca="1">IFERROR(_xludf.XLOOKUP($T320&amp;"|Al2O3",ASSAY_KEYS,ASSAY_VALUES,""),"")</f>
        <v/>
      </c>
      <c r="BA320" t="str">
        <f ca="1">IFERROR(_xludf.XLOOKUP($T320&amp;"|P",ASSAY_KEYS,ASSAY_VALUES,""),"")</f>
        <v/>
      </c>
      <c r="BB320" t="str">
        <f ca="1">IFERROR(_xludf.XLOOKUP($T320&amp;"|S",ASSAY_KEYS,ASSAY_VALUES,""),"")</f>
        <v/>
      </c>
      <c r="BC320" t="str">
        <f ca="1">IFERROR(_xludf.XLOOKUP($T320&amp;"|LOI",ASSAY_KEYS,ASSAY_VALUES,""),"")</f>
        <v/>
      </c>
    </row>
    <row r="321" spans="5:55" x14ac:dyDescent="0.25">
      <c r="E321" t="str">
        <f t="shared" si="12"/>
        <v/>
      </c>
      <c r="G321" t="str">
        <f ca="1">IFERROR(_xludf.XLOOKUP(F321,Lists!$A:$A,Lists!$B:$B,"",0),"")</f>
        <v/>
      </c>
      <c r="S321" t="str">
        <f t="shared" si="13"/>
        <v/>
      </c>
      <c r="AQ321" t="str">
        <f t="shared" si="14"/>
        <v/>
      </c>
      <c r="AX321" t="str">
        <f ca="1">IFERROR(_xludf.XLOOKUP($T321&amp;"|Fe",ASSAY_KEYS,ASSAY_VALUES,""),"")</f>
        <v/>
      </c>
      <c r="AY321" t="str">
        <f ca="1">IFERROR(_xludf.XLOOKUP($T321&amp;"|SiO2",ASSAY_KEYS,ASSAY_VALUES,""),"")</f>
        <v/>
      </c>
      <c r="AZ321" t="str">
        <f ca="1">IFERROR(_xludf.XLOOKUP($T321&amp;"|Al2O3",ASSAY_KEYS,ASSAY_VALUES,""),"")</f>
        <v/>
      </c>
      <c r="BA321" t="str">
        <f ca="1">IFERROR(_xludf.XLOOKUP($T321&amp;"|P",ASSAY_KEYS,ASSAY_VALUES,""),"")</f>
        <v/>
      </c>
      <c r="BB321" t="str">
        <f ca="1">IFERROR(_xludf.XLOOKUP($T321&amp;"|S",ASSAY_KEYS,ASSAY_VALUES,""),"")</f>
        <v/>
      </c>
      <c r="BC321" t="str">
        <f ca="1">IFERROR(_xludf.XLOOKUP($T321&amp;"|LOI",ASSAY_KEYS,ASSAY_VALUES,""),"")</f>
        <v/>
      </c>
    </row>
    <row r="322" spans="5:55" x14ac:dyDescent="0.25">
      <c r="E322" t="str">
        <f t="shared" ref="E322:E385" si="15">IF(AND(C322&lt;&gt;"",D322&lt;&gt;""),D322-C322,"")</f>
        <v/>
      </c>
      <c r="G322" t="str">
        <f ca="1">IFERROR(_xludf.XLOOKUP(F322,Lists!$A:$A,Lists!$B:$B,"",0),"")</f>
        <v/>
      </c>
      <c r="S322" t="str">
        <f t="shared" ref="S322:S385" si="16">IF(COUNTA(N322:P322)=3,N322+O322+P322,"")</f>
        <v/>
      </c>
      <c r="AQ322" t="str">
        <f t="shared" ref="AQ322:AQ385" si="17">IF(AND(AN322&lt;&gt;"",AO322&lt;&gt;"",AP322&lt;&gt;""),AP322/(AO322-AN322)*100,"")</f>
        <v/>
      </c>
      <c r="AX322" t="str">
        <f ca="1">IFERROR(_xludf.XLOOKUP($T322&amp;"|Fe",ASSAY_KEYS,ASSAY_VALUES,""),"")</f>
        <v/>
      </c>
      <c r="AY322" t="str">
        <f ca="1">IFERROR(_xludf.XLOOKUP($T322&amp;"|SiO2",ASSAY_KEYS,ASSAY_VALUES,""),"")</f>
        <v/>
      </c>
      <c r="AZ322" t="str">
        <f ca="1">IFERROR(_xludf.XLOOKUP($T322&amp;"|Al2O3",ASSAY_KEYS,ASSAY_VALUES,""),"")</f>
        <v/>
      </c>
      <c r="BA322" t="str">
        <f ca="1">IFERROR(_xludf.XLOOKUP($T322&amp;"|P",ASSAY_KEYS,ASSAY_VALUES,""),"")</f>
        <v/>
      </c>
      <c r="BB322" t="str">
        <f ca="1">IFERROR(_xludf.XLOOKUP($T322&amp;"|S",ASSAY_KEYS,ASSAY_VALUES,""),"")</f>
        <v/>
      </c>
      <c r="BC322" t="str">
        <f ca="1">IFERROR(_xludf.XLOOKUP($T322&amp;"|LOI",ASSAY_KEYS,ASSAY_VALUES,""),"")</f>
        <v/>
      </c>
    </row>
    <row r="323" spans="5:55" x14ac:dyDescent="0.25">
      <c r="E323" t="str">
        <f t="shared" si="15"/>
        <v/>
      </c>
      <c r="G323" t="str">
        <f ca="1">IFERROR(_xludf.XLOOKUP(F323,Lists!$A:$A,Lists!$B:$B,"",0),"")</f>
        <v/>
      </c>
      <c r="S323" t="str">
        <f t="shared" si="16"/>
        <v/>
      </c>
      <c r="AQ323" t="str">
        <f t="shared" si="17"/>
        <v/>
      </c>
      <c r="AX323" t="str">
        <f ca="1">IFERROR(_xludf.XLOOKUP($T323&amp;"|Fe",ASSAY_KEYS,ASSAY_VALUES,""),"")</f>
        <v/>
      </c>
      <c r="AY323" t="str">
        <f ca="1">IFERROR(_xludf.XLOOKUP($T323&amp;"|SiO2",ASSAY_KEYS,ASSAY_VALUES,""),"")</f>
        <v/>
      </c>
      <c r="AZ323" t="str">
        <f ca="1">IFERROR(_xludf.XLOOKUP($T323&amp;"|Al2O3",ASSAY_KEYS,ASSAY_VALUES,""),"")</f>
        <v/>
      </c>
      <c r="BA323" t="str">
        <f ca="1">IFERROR(_xludf.XLOOKUP($T323&amp;"|P",ASSAY_KEYS,ASSAY_VALUES,""),"")</f>
        <v/>
      </c>
      <c r="BB323" t="str">
        <f ca="1">IFERROR(_xludf.XLOOKUP($T323&amp;"|S",ASSAY_KEYS,ASSAY_VALUES,""),"")</f>
        <v/>
      </c>
      <c r="BC323" t="str">
        <f ca="1">IFERROR(_xludf.XLOOKUP($T323&amp;"|LOI",ASSAY_KEYS,ASSAY_VALUES,""),"")</f>
        <v/>
      </c>
    </row>
    <row r="324" spans="5:55" x14ac:dyDescent="0.25">
      <c r="E324" t="str">
        <f t="shared" si="15"/>
        <v/>
      </c>
      <c r="G324" t="str">
        <f ca="1">IFERROR(_xludf.XLOOKUP(F324,Lists!$A:$A,Lists!$B:$B,"",0),"")</f>
        <v/>
      </c>
      <c r="S324" t="str">
        <f t="shared" si="16"/>
        <v/>
      </c>
      <c r="AQ324" t="str">
        <f t="shared" si="17"/>
        <v/>
      </c>
      <c r="AX324" t="str">
        <f ca="1">IFERROR(_xludf.XLOOKUP($T324&amp;"|Fe",ASSAY_KEYS,ASSAY_VALUES,""),"")</f>
        <v/>
      </c>
      <c r="AY324" t="str">
        <f ca="1">IFERROR(_xludf.XLOOKUP($T324&amp;"|SiO2",ASSAY_KEYS,ASSAY_VALUES,""),"")</f>
        <v/>
      </c>
      <c r="AZ324" t="str">
        <f ca="1">IFERROR(_xludf.XLOOKUP($T324&amp;"|Al2O3",ASSAY_KEYS,ASSAY_VALUES,""),"")</f>
        <v/>
      </c>
      <c r="BA324" t="str">
        <f ca="1">IFERROR(_xludf.XLOOKUP($T324&amp;"|P",ASSAY_KEYS,ASSAY_VALUES,""),"")</f>
        <v/>
      </c>
      <c r="BB324" t="str">
        <f ca="1">IFERROR(_xludf.XLOOKUP($T324&amp;"|S",ASSAY_KEYS,ASSAY_VALUES,""),"")</f>
        <v/>
      </c>
      <c r="BC324" t="str">
        <f ca="1">IFERROR(_xludf.XLOOKUP($T324&amp;"|LOI",ASSAY_KEYS,ASSAY_VALUES,""),"")</f>
        <v/>
      </c>
    </row>
    <row r="325" spans="5:55" x14ac:dyDescent="0.25">
      <c r="E325" t="str">
        <f t="shared" si="15"/>
        <v/>
      </c>
      <c r="G325" t="str">
        <f ca="1">IFERROR(_xludf.XLOOKUP(F325,Lists!$A:$A,Lists!$B:$B,"",0),"")</f>
        <v/>
      </c>
      <c r="S325" t="str">
        <f t="shared" si="16"/>
        <v/>
      </c>
      <c r="AQ325" t="str">
        <f t="shared" si="17"/>
        <v/>
      </c>
      <c r="AX325" t="str">
        <f ca="1">IFERROR(_xludf.XLOOKUP($T325&amp;"|Fe",ASSAY_KEYS,ASSAY_VALUES,""),"")</f>
        <v/>
      </c>
      <c r="AY325" t="str">
        <f ca="1">IFERROR(_xludf.XLOOKUP($T325&amp;"|SiO2",ASSAY_KEYS,ASSAY_VALUES,""),"")</f>
        <v/>
      </c>
      <c r="AZ325" t="str">
        <f ca="1">IFERROR(_xludf.XLOOKUP($T325&amp;"|Al2O3",ASSAY_KEYS,ASSAY_VALUES,""),"")</f>
        <v/>
      </c>
      <c r="BA325" t="str">
        <f ca="1">IFERROR(_xludf.XLOOKUP($T325&amp;"|P",ASSAY_KEYS,ASSAY_VALUES,""),"")</f>
        <v/>
      </c>
      <c r="BB325" t="str">
        <f ca="1">IFERROR(_xludf.XLOOKUP($T325&amp;"|S",ASSAY_KEYS,ASSAY_VALUES,""),"")</f>
        <v/>
      </c>
      <c r="BC325" t="str">
        <f ca="1">IFERROR(_xludf.XLOOKUP($T325&amp;"|LOI",ASSAY_KEYS,ASSAY_VALUES,""),"")</f>
        <v/>
      </c>
    </row>
    <row r="326" spans="5:55" x14ac:dyDescent="0.25">
      <c r="E326" t="str">
        <f t="shared" si="15"/>
        <v/>
      </c>
      <c r="G326" t="str">
        <f ca="1">IFERROR(_xludf.XLOOKUP(F326,Lists!$A:$A,Lists!$B:$B,"",0),"")</f>
        <v/>
      </c>
      <c r="S326" t="str">
        <f t="shared" si="16"/>
        <v/>
      </c>
      <c r="AQ326" t="str">
        <f t="shared" si="17"/>
        <v/>
      </c>
      <c r="AX326" t="str">
        <f ca="1">IFERROR(_xludf.XLOOKUP($T326&amp;"|Fe",ASSAY_KEYS,ASSAY_VALUES,""),"")</f>
        <v/>
      </c>
      <c r="AY326" t="str">
        <f ca="1">IFERROR(_xludf.XLOOKUP($T326&amp;"|SiO2",ASSAY_KEYS,ASSAY_VALUES,""),"")</f>
        <v/>
      </c>
      <c r="AZ326" t="str">
        <f ca="1">IFERROR(_xludf.XLOOKUP($T326&amp;"|Al2O3",ASSAY_KEYS,ASSAY_VALUES,""),"")</f>
        <v/>
      </c>
      <c r="BA326" t="str">
        <f ca="1">IFERROR(_xludf.XLOOKUP($T326&amp;"|P",ASSAY_KEYS,ASSAY_VALUES,""),"")</f>
        <v/>
      </c>
      <c r="BB326" t="str">
        <f ca="1">IFERROR(_xludf.XLOOKUP($T326&amp;"|S",ASSAY_KEYS,ASSAY_VALUES,""),"")</f>
        <v/>
      </c>
      <c r="BC326" t="str">
        <f ca="1">IFERROR(_xludf.XLOOKUP($T326&amp;"|LOI",ASSAY_KEYS,ASSAY_VALUES,""),"")</f>
        <v/>
      </c>
    </row>
    <row r="327" spans="5:55" x14ac:dyDescent="0.25">
      <c r="E327" t="str">
        <f t="shared" si="15"/>
        <v/>
      </c>
      <c r="G327" t="str">
        <f ca="1">IFERROR(_xludf.XLOOKUP(F327,Lists!$A:$A,Lists!$B:$B,"",0),"")</f>
        <v/>
      </c>
      <c r="S327" t="str">
        <f t="shared" si="16"/>
        <v/>
      </c>
      <c r="AQ327" t="str">
        <f t="shared" si="17"/>
        <v/>
      </c>
      <c r="AX327" t="str">
        <f ca="1">IFERROR(_xludf.XLOOKUP($T327&amp;"|Fe",ASSAY_KEYS,ASSAY_VALUES,""),"")</f>
        <v/>
      </c>
      <c r="AY327" t="str">
        <f ca="1">IFERROR(_xludf.XLOOKUP($T327&amp;"|SiO2",ASSAY_KEYS,ASSAY_VALUES,""),"")</f>
        <v/>
      </c>
      <c r="AZ327" t="str">
        <f ca="1">IFERROR(_xludf.XLOOKUP($T327&amp;"|Al2O3",ASSAY_KEYS,ASSAY_VALUES,""),"")</f>
        <v/>
      </c>
      <c r="BA327" t="str">
        <f ca="1">IFERROR(_xludf.XLOOKUP($T327&amp;"|P",ASSAY_KEYS,ASSAY_VALUES,""),"")</f>
        <v/>
      </c>
      <c r="BB327" t="str">
        <f ca="1">IFERROR(_xludf.XLOOKUP($T327&amp;"|S",ASSAY_KEYS,ASSAY_VALUES,""),"")</f>
        <v/>
      </c>
      <c r="BC327" t="str">
        <f ca="1">IFERROR(_xludf.XLOOKUP($T327&amp;"|LOI",ASSAY_KEYS,ASSAY_VALUES,""),"")</f>
        <v/>
      </c>
    </row>
    <row r="328" spans="5:55" x14ac:dyDescent="0.25">
      <c r="E328" t="str">
        <f t="shared" si="15"/>
        <v/>
      </c>
      <c r="G328" t="str">
        <f ca="1">IFERROR(_xludf.XLOOKUP(F328,Lists!$A:$A,Lists!$B:$B,"",0),"")</f>
        <v/>
      </c>
      <c r="S328" t="str">
        <f t="shared" si="16"/>
        <v/>
      </c>
      <c r="AQ328" t="str">
        <f t="shared" si="17"/>
        <v/>
      </c>
      <c r="AX328" t="str">
        <f ca="1">IFERROR(_xludf.XLOOKUP($T328&amp;"|Fe",ASSAY_KEYS,ASSAY_VALUES,""),"")</f>
        <v/>
      </c>
      <c r="AY328" t="str">
        <f ca="1">IFERROR(_xludf.XLOOKUP($T328&amp;"|SiO2",ASSAY_KEYS,ASSAY_VALUES,""),"")</f>
        <v/>
      </c>
      <c r="AZ328" t="str">
        <f ca="1">IFERROR(_xludf.XLOOKUP($T328&amp;"|Al2O3",ASSAY_KEYS,ASSAY_VALUES,""),"")</f>
        <v/>
      </c>
      <c r="BA328" t="str">
        <f ca="1">IFERROR(_xludf.XLOOKUP($T328&amp;"|P",ASSAY_KEYS,ASSAY_VALUES,""),"")</f>
        <v/>
      </c>
      <c r="BB328" t="str">
        <f ca="1">IFERROR(_xludf.XLOOKUP($T328&amp;"|S",ASSAY_KEYS,ASSAY_VALUES,""),"")</f>
        <v/>
      </c>
      <c r="BC328" t="str">
        <f ca="1">IFERROR(_xludf.XLOOKUP($T328&amp;"|LOI",ASSAY_KEYS,ASSAY_VALUES,""),"")</f>
        <v/>
      </c>
    </row>
    <row r="329" spans="5:55" x14ac:dyDescent="0.25">
      <c r="E329" t="str">
        <f t="shared" si="15"/>
        <v/>
      </c>
      <c r="G329" t="str">
        <f ca="1">IFERROR(_xludf.XLOOKUP(F329,Lists!$A:$A,Lists!$B:$B,"",0),"")</f>
        <v/>
      </c>
      <c r="S329" t="str">
        <f t="shared" si="16"/>
        <v/>
      </c>
      <c r="AQ329" t="str">
        <f t="shared" si="17"/>
        <v/>
      </c>
      <c r="AX329" t="str">
        <f ca="1">IFERROR(_xludf.XLOOKUP($T329&amp;"|Fe",ASSAY_KEYS,ASSAY_VALUES,""),"")</f>
        <v/>
      </c>
      <c r="AY329" t="str">
        <f ca="1">IFERROR(_xludf.XLOOKUP($T329&amp;"|SiO2",ASSAY_KEYS,ASSAY_VALUES,""),"")</f>
        <v/>
      </c>
      <c r="AZ329" t="str">
        <f ca="1">IFERROR(_xludf.XLOOKUP($T329&amp;"|Al2O3",ASSAY_KEYS,ASSAY_VALUES,""),"")</f>
        <v/>
      </c>
      <c r="BA329" t="str">
        <f ca="1">IFERROR(_xludf.XLOOKUP($T329&amp;"|P",ASSAY_KEYS,ASSAY_VALUES,""),"")</f>
        <v/>
      </c>
      <c r="BB329" t="str">
        <f ca="1">IFERROR(_xludf.XLOOKUP($T329&amp;"|S",ASSAY_KEYS,ASSAY_VALUES,""),"")</f>
        <v/>
      </c>
      <c r="BC329" t="str">
        <f ca="1">IFERROR(_xludf.XLOOKUP($T329&amp;"|LOI",ASSAY_KEYS,ASSAY_VALUES,""),"")</f>
        <v/>
      </c>
    </row>
    <row r="330" spans="5:55" x14ac:dyDescent="0.25">
      <c r="E330" t="str">
        <f t="shared" si="15"/>
        <v/>
      </c>
      <c r="G330" t="str">
        <f ca="1">IFERROR(_xludf.XLOOKUP(F330,Lists!$A:$A,Lists!$B:$B,"",0),"")</f>
        <v/>
      </c>
      <c r="S330" t="str">
        <f t="shared" si="16"/>
        <v/>
      </c>
      <c r="AQ330" t="str">
        <f t="shared" si="17"/>
        <v/>
      </c>
      <c r="AX330" t="str">
        <f ca="1">IFERROR(_xludf.XLOOKUP($T330&amp;"|Fe",ASSAY_KEYS,ASSAY_VALUES,""),"")</f>
        <v/>
      </c>
      <c r="AY330" t="str">
        <f ca="1">IFERROR(_xludf.XLOOKUP($T330&amp;"|SiO2",ASSAY_KEYS,ASSAY_VALUES,""),"")</f>
        <v/>
      </c>
      <c r="AZ330" t="str">
        <f ca="1">IFERROR(_xludf.XLOOKUP($T330&amp;"|Al2O3",ASSAY_KEYS,ASSAY_VALUES,""),"")</f>
        <v/>
      </c>
      <c r="BA330" t="str">
        <f ca="1">IFERROR(_xludf.XLOOKUP($T330&amp;"|P",ASSAY_KEYS,ASSAY_VALUES,""),"")</f>
        <v/>
      </c>
      <c r="BB330" t="str">
        <f ca="1">IFERROR(_xludf.XLOOKUP($T330&amp;"|S",ASSAY_KEYS,ASSAY_VALUES,""),"")</f>
        <v/>
      </c>
      <c r="BC330" t="str">
        <f ca="1">IFERROR(_xludf.XLOOKUP($T330&amp;"|LOI",ASSAY_KEYS,ASSAY_VALUES,""),"")</f>
        <v/>
      </c>
    </row>
    <row r="331" spans="5:55" x14ac:dyDescent="0.25">
      <c r="E331" t="str">
        <f t="shared" si="15"/>
        <v/>
      </c>
      <c r="G331" t="str">
        <f ca="1">IFERROR(_xludf.XLOOKUP(F331,Lists!$A:$A,Lists!$B:$B,"",0),"")</f>
        <v/>
      </c>
      <c r="S331" t="str">
        <f t="shared" si="16"/>
        <v/>
      </c>
      <c r="AQ331" t="str">
        <f t="shared" si="17"/>
        <v/>
      </c>
      <c r="AX331" t="str">
        <f ca="1">IFERROR(_xludf.XLOOKUP($T331&amp;"|Fe",ASSAY_KEYS,ASSAY_VALUES,""),"")</f>
        <v/>
      </c>
      <c r="AY331" t="str">
        <f ca="1">IFERROR(_xludf.XLOOKUP($T331&amp;"|SiO2",ASSAY_KEYS,ASSAY_VALUES,""),"")</f>
        <v/>
      </c>
      <c r="AZ331" t="str">
        <f ca="1">IFERROR(_xludf.XLOOKUP($T331&amp;"|Al2O3",ASSAY_KEYS,ASSAY_VALUES,""),"")</f>
        <v/>
      </c>
      <c r="BA331" t="str">
        <f ca="1">IFERROR(_xludf.XLOOKUP($T331&amp;"|P",ASSAY_KEYS,ASSAY_VALUES,""),"")</f>
        <v/>
      </c>
      <c r="BB331" t="str">
        <f ca="1">IFERROR(_xludf.XLOOKUP($T331&amp;"|S",ASSAY_KEYS,ASSAY_VALUES,""),"")</f>
        <v/>
      </c>
      <c r="BC331" t="str">
        <f ca="1">IFERROR(_xludf.XLOOKUP($T331&amp;"|LOI",ASSAY_KEYS,ASSAY_VALUES,""),"")</f>
        <v/>
      </c>
    </row>
    <row r="332" spans="5:55" x14ac:dyDescent="0.25">
      <c r="E332" t="str">
        <f t="shared" si="15"/>
        <v/>
      </c>
      <c r="G332" t="str">
        <f ca="1">IFERROR(_xludf.XLOOKUP(F332,Lists!$A:$A,Lists!$B:$B,"",0),"")</f>
        <v/>
      </c>
      <c r="S332" t="str">
        <f t="shared" si="16"/>
        <v/>
      </c>
      <c r="AQ332" t="str">
        <f t="shared" si="17"/>
        <v/>
      </c>
      <c r="AX332" t="str">
        <f ca="1">IFERROR(_xludf.XLOOKUP($T332&amp;"|Fe",ASSAY_KEYS,ASSAY_VALUES,""),"")</f>
        <v/>
      </c>
      <c r="AY332" t="str">
        <f ca="1">IFERROR(_xludf.XLOOKUP($T332&amp;"|SiO2",ASSAY_KEYS,ASSAY_VALUES,""),"")</f>
        <v/>
      </c>
      <c r="AZ332" t="str">
        <f ca="1">IFERROR(_xludf.XLOOKUP($T332&amp;"|Al2O3",ASSAY_KEYS,ASSAY_VALUES,""),"")</f>
        <v/>
      </c>
      <c r="BA332" t="str">
        <f ca="1">IFERROR(_xludf.XLOOKUP($T332&amp;"|P",ASSAY_KEYS,ASSAY_VALUES,""),"")</f>
        <v/>
      </c>
      <c r="BB332" t="str">
        <f ca="1">IFERROR(_xludf.XLOOKUP($T332&amp;"|S",ASSAY_KEYS,ASSAY_VALUES,""),"")</f>
        <v/>
      </c>
      <c r="BC332" t="str">
        <f ca="1">IFERROR(_xludf.XLOOKUP($T332&amp;"|LOI",ASSAY_KEYS,ASSAY_VALUES,""),"")</f>
        <v/>
      </c>
    </row>
    <row r="333" spans="5:55" x14ac:dyDescent="0.25">
      <c r="E333" t="str">
        <f t="shared" si="15"/>
        <v/>
      </c>
      <c r="G333" t="str">
        <f ca="1">IFERROR(_xludf.XLOOKUP(F333,Lists!$A:$A,Lists!$B:$B,"",0),"")</f>
        <v/>
      </c>
      <c r="S333" t="str">
        <f t="shared" si="16"/>
        <v/>
      </c>
      <c r="AQ333" t="str">
        <f t="shared" si="17"/>
        <v/>
      </c>
      <c r="AX333" t="str">
        <f ca="1">IFERROR(_xludf.XLOOKUP($T333&amp;"|Fe",ASSAY_KEYS,ASSAY_VALUES,""),"")</f>
        <v/>
      </c>
      <c r="AY333" t="str">
        <f ca="1">IFERROR(_xludf.XLOOKUP($T333&amp;"|SiO2",ASSAY_KEYS,ASSAY_VALUES,""),"")</f>
        <v/>
      </c>
      <c r="AZ333" t="str">
        <f ca="1">IFERROR(_xludf.XLOOKUP($T333&amp;"|Al2O3",ASSAY_KEYS,ASSAY_VALUES,""),"")</f>
        <v/>
      </c>
      <c r="BA333" t="str">
        <f ca="1">IFERROR(_xludf.XLOOKUP($T333&amp;"|P",ASSAY_KEYS,ASSAY_VALUES,""),"")</f>
        <v/>
      </c>
      <c r="BB333" t="str">
        <f ca="1">IFERROR(_xludf.XLOOKUP($T333&amp;"|S",ASSAY_KEYS,ASSAY_VALUES,""),"")</f>
        <v/>
      </c>
      <c r="BC333" t="str">
        <f ca="1">IFERROR(_xludf.XLOOKUP($T333&amp;"|LOI",ASSAY_KEYS,ASSAY_VALUES,""),"")</f>
        <v/>
      </c>
    </row>
    <row r="334" spans="5:55" x14ac:dyDescent="0.25">
      <c r="E334" t="str">
        <f t="shared" si="15"/>
        <v/>
      </c>
      <c r="G334" t="str">
        <f ca="1">IFERROR(_xludf.XLOOKUP(F334,Lists!$A:$A,Lists!$B:$B,"",0),"")</f>
        <v/>
      </c>
      <c r="S334" t="str">
        <f t="shared" si="16"/>
        <v/>
      </c>
      <c r="AQ334" t="str">
        <f t="shared" si="17"/>
        <v/>
      </c>
      <c r="AX334" t="str">
        <f ca="1">IFERROR(_xludf.XLOOKUP($T334&amp;"|Fe",ASSAY_KEYS,ASSAY_VALUES,""),"")</f>
        <v/>
      </c>
      <c r="AY334" t="str">
        <f ca="1">IFERROR(_xludf.XLOOKUP($T334&amp;"|SiO2",ASSAY_KEYS,ASSAY_VALUES,""),"")</f>
        <v/>
      </c>
      <c r="AZ334" t="str">
        <f ca="1">IFERROR(_xludf.XLOOKUP($T334&amp;"|Al2O3",ASSAY_KEYS,ASSAY_VALUES,""),"")</f>
        <v/>
      </c>
      <c r="BA334" t="str">
        <f ca="1">IFERROR(_xludf.XLOOKUP($T334&amp;"|P",ASSAY_KEYS,ASSAY_VALUES,""),"")</f>
        <v/>
      </c>
      <c r="BB334" t="str">
        <f ca="1">IFERROR(_xludf.XLOOKUP($T334&amp;"|S",ASSAY_KEYS,ASSAY_VALUES,""),"")</f>
        <v/>
      </c>
      <c r="BC334" t="str">
        <f ca="1">IFERROR(_xludf.XLOOKUP($T334&amp;"|LOI",ASSAY_KEYS,ASSAY_VALUES,""),"")</f>
        <v/>
      </c>
    </row>
    <row r="335" spans="5:55" x14ac:dyDescent="0.25">
      <c r="E335" t="str">
        <f t="shared" si="15"/>
        <v/>
      </c>
      <c r="G335" t="str">
        <f ca="1">IFERROR(_xludf.XLOOKUP(F335,Lists!$A:$A,Lists!$B:$B,"",0),"")</f>
        <v/>
      </c>
      <c r="S335" t="str">
        <f t="shared" si="16"/>
        <v/>
      </c>
      <c r="AQ335" t="str">
        <f t="shared" si="17"/>
        <v/>
      </c>
      <c r="AX335" t="str">
        <f ca="1">IFERROR(_xludf.XLOOKUP($T335&amp;"|Fe",ASSAY_KEYS,ASSAY_VALUES,""),"")</f>
        <v/>
      </c>
      <c r="AY335" t="str">
        <f ca="1">IFERROR(_xludf.XLOOKUP($T335&amp;"|SiO2",ASSAY_KEYS,ASSAY_VALUES,""),"")</f>
        <v/>
      </c>
      <c r="AZ335" t="str">
        <f ca="1">IFERROR(_xludf.XLOOKUP($T335&amp;"|Al2O3",ASSAY_KEYS,ASSAY_VALUES,""),"")</f>
        <v/>
      </c>
      <c r="BA335" t="str">
        <f ca="1">IFERROR(_xludf.XLOOKUP($T335&amp;"|P",ASSAY_KEYS,ASSAY_VALUES,""),"")</f>
        <v/>
      </c>
      <c r="BB335" t="str">
        <f ca="1">IFERROR(_xludf.XLOOKUP($T335&amp;"|S",ASSAY_KEYS,ASSAY_VALUES,""),"")</f>
        <v/>
      </c>
      <c r="BC335" t="str">
        <f ca="1">IFERROR(_xludf.XLOOKUP($T335&amp;"|LOI",ASSAY_KEYS,ASSAY_VALUES,""),"")</f>
        <v/>
      </c>
    </row>
    <row r="336" spans="5:55" x14ac:dyDescent="0.25">
      <c r="E336" t="str">
        <f t="shared" si="15"/>
        <v/>
      </c>
      <c r="G336" t="str">
        <f ca="1">IFERROR(_xludf.XLOOKUP(F336,Lists!$A:$A,Lists!$B:$B,"",0),"")</f>
        <v/>
      </c>
      <c r="S336" t="str">
        <f t="shared" si="16"/>
        <v/>
      </c>
      <c r="AQ336" t="str">
        <f t="shared" si="17"/>
        <v/>
      </c>
      <c r="AX336" t="str">
        <f ca="1">IFERROR(_xludf.XLOOKUP($T336&amp;"|Fe",ASSAY_KEYS,ASSAY_VALUES,""),"")</f>
        <v/>
      </c>
      <c r="AY336" t="str">
        <f ca="1">IFERROR(_xludf.XLOOKUP($T336&amp;"|SiO2",ASSAY_KEYS,ASSAY_VALUES,""),"")</f>
        <v/>
      </c>
      <c r="AZ336" t="str">
        <f ca="1">IFERROR(_xludf.XLOOKUP($T336&amp;"|Al2O3",ASSAY_KEYS,ASSAY_VALUES,""),"")</f>
        <v/>
      </c>
      <c r="BA336" t="str">
        <f ca="1">IFERROR(_xludf.XLOOKUP($T336&amp;"|P",ASSAY_KEYS,ASSAY_VALUES,""),"")</f>
        <v/>
      </c>
      <c r="BB336" t="str">
        <f ca="1">IFERROR(_xludf.XLOOKUP($T336&amp;"|S",ASSAY_KEYS,ASSAY_VALUES,""),"")</f>
        <v/>
      </c>
      <c r="BC336" t="str">
        <f ca="1">IFERROR(_xludf.XLOOKUP($T336&amp;"|LOI",ASSAY_KEYS,ASSAY_VALUES,""),"")</f>
        <v/>
      </c>
    </row>
    <row r="337" spans="5:55" x14ac:dyDescent="0.25">
      <c r="E337" t="str">
        <f t="shared" si="15"/>
        <v/>
      </c>
      <c r="G337" t="str">
        <f ca="1">IFERROR(_xludf.XLOOKUP(F337,Lists!$A:$A,Lists!$B:$B,"",0),"")</f>
        <v/>
      </c>
      <c r="S337" t="str">
        <f t="shared" si="16"/>
        <v/>
      </c>
      <c r="AQ337" t="str">
        <f t="shared" si="17"/>
        <v/>
      </c>
      <c r="AX337" t="str">
        <f ca="1">IFERROR(_xludf.XLOOKUP($T337&amp;"|Fe",ASSAY_KEYS,ASSAY_VALUES,""),"")</f>
        <v/>
      </c>
      <c r="AY337" t="str">
        <f ca="1">IFERROR(_xludf.XLOOKUP($T337&amp;"|SiO2",ASSAY_KEYS,ASSAY_VALUES,""),"")</f>
        <v/>
      </c>
      <c r="AZ337" t="str">
        <f ca="1">IFERROR(_xludf.XLOOKUP($T337&amp;"|Al2O3",ASSAY_KEYS,ASSAY_VALUES,""),"")</f>
        <v/>
      </c>
      <c r="BA337" t="str">
        <f ca="1">IFERROR(_xludf.XLOOKUP($T337&amp;"|P",ASSAY_KEYS,ASSAY_VALUES,""),"")</f>
        <v/>
      </c>
      <c r="BB337" t="str">
        <f ca="1">IFERROR(_xludf.XLOOKUP($T337&amp;"|S",ASSAY_KEYS,ASSAY_VALUES,""),"")</f>
        <v/>
      </c>
      <c r="BC337" t="str">
        <f ca="1">IFERROR(_xludf.XLOOKUP($T337&amp;"|LOI",ASSAY_KEYS,ASSAY_VALUES,""),"")</f>
        <v/>
      </c>
    </row>
    <row r="338" spans="5:55" x14ac:dyDescent="0.25">
      <c r="E338" t="str">
        <f t="shared" si="15"/>
        <v/>
      </c>
      <c r="G338" t="str">
        <f ca="1">IFERROR(_xludf.XLOOKUP(F338,Lists!$A:$A,Lists!$B:$B,"",0),"")</f>
        <v/>
      </c>
      <c r="S338" t="str">
        <f t="shared" si="16"/>
        <v/>
      </c>
      <c r="AQ338" t="str">
        <f t="shared" si="17"/>
        <v/>
      </c>
      <c r="AX338" t="str">
        <f ca="1">IFERROR(_xludf.XLOOKUP($T338&amp;"|Fe",ASSAY_KEYS,ASSAY_VALUES,""),"")</f>
        <v/>
      </c>
      <c r="AY338" t="str">
        <f ca="1">IFERROR(_xludf.XLOOKUP($T338&amp;"|SiO2",ASSAY_KEYS,ASSAY_VALUES,""),"")</f>
        <v/>
      </c>
      <c r="AZ338" t="str">
        <f ca="1">IFERROR(_xludf.XLOOKUP($T338&amp;"|Al2O3",ASSAY_KEYS,ASSAY_VALUES,""),"")</f>
        <v/>
      </c>
      <c r="BA338" t="str">
        <f ca="1">IFERROR(_xludf.XLOOKUP($T338&amp;"|P",ASSAY_KEYS,ASSAY_VALUES,""),"")</f>
        <v/>
      </c>
      <c r="BB338" t="str">
        <f ca="1">IFERROR(_xludf.XLOOKUP($T338&amp;"|S",ASSAY_KEYS,ASSAY_VALUES,""),"")</f>
        <v/>
      </c>
      <c r="BC338" t="str">
        <f ca="1">IFERROR(_xludf.XLOOKUP($T338&amp;"|LOI",ASSAY_KEYS,ASSAY_VALUES,""),"")</f>
        <v/>
      </c>
    </row>
    <row r="339" spans="5:55" x14ac:dyDescent="0.25">
      <c r="E339" t="str">
        <f t="shared" si="15"/>
        <v/>
      </c>
      <c r="G339" t="str">
        <f ca="1">IFERROR(_xludf.XLOOKUP(F339,Lists!$A:$A,Lists!$B:$B,"",0),"")</f>
        <v/>
      </c>
      <c r="S339" t="str">
        <f t="shared" si="16"/>
        <v/>
      </c>
      <c r="AQ339" t="str">
        <f t="shared" si="17"/>
        <v/>
      </c>
      <c r="AX339" t="str">
        <f ca="1">IFERROR(_xludf.XLOOKUP($T339&amp;"|Fe",ASSAY_KEYS,ASSAY_VALUES,""),"")</f>
        <v/>
      </c>
      <c r="AY339" t="str">
        <f ca="1">IFERROR(_xludf.XLOOKUP($T339&amp;"|SiO2",ASSAY_KEYS,ASSAY_VALUES,""),"")</f>
        <v/>
      </c>
      <c r="AZ339" t="str">
        <f ca="1">IFERROR(_xludf.XLOOKUP($T339&amp;"|Al2O3",ASSAY_KEYS,ASSAY_VALUES,""),"")</f>
        <v/>
      </c>
      <c r="BA339" t="str">
        <f ca="1">IFERROR(_xludf.XLOOKUP($T339&amp;"|P",ASSAY_KEYS,ASSAY_VALUES,""),"")</f>
        <v/>
      </c>
      <c r="BB339" t="str">
        <f ca="1">IFERROR(_xludf.XLOOKUP($T339&amp;"|S",ASSAY_KEYS,ASSAY_VALUES,""),"")</f>
        <v/>
      </c>
      <c r="BC339" t="str">
        <f ca="1">IFERROR(_xludf.XLOOKUP($T339&amp;"|LOI",ASSAY_KEYS,ASSAY_VALUES,""),"")</f>
        <v/>
      </c>
    </row>
    <row r="340" spans="5:55" x14ac:dyDescent="0.25">
      <c r="E340" t="str">
        <f t="shared" si="15"/>
        <v/>
      </c>
      <c r="G340" t="str">
        <f ca="1">IFERROR(_xludf.XLOOKUP(F340,Lists!$A:$A,Lists!$B:$B,"",0),"")</f>
        <v/>
      </c>
      <c r="S340" t="str">
        <f t="shared" si="16"/>
        <v/>
      </c>
      <c r="AQ340" t="str">
        <f t="shared" si="17"/>
        <v/>
      </c>
      <c r="AX340" t="str">
        <f ca="1">IFERROR(_xludf.XLOOKUP($T340&amp;"|Fe",ASSAY_KEYS,ASSAY_VALUES,""),"")</f>
        <v/>
      </c>
      <c r="AY340" t="str">
        <f ca="1">IFERROR(_xludf.XLOOKUP($T340&amp;"|SiO2",ASSAY_KEYS,ASSAY_VALUES,""),"")</f>
        <v/>
      </c>
      <c r="AZ340" t="str">
        <f ca="1">IFERROR(_xludf.XLOOKUP($T340&amp;"|Al2O3",ASSAY_KEYS,ASSAY_VALUES,""),"")</f>
        <v/>
      </c>
      <c r="BA340" t="str">
        <f ca="1">IFERROR(_xludf.XLOOKUP($T340&amp;"|P",ASSAY_KEYS,ASSAY_VALUES,""),"")</f>
        <v/>
      </c>
      <c r="BB340" t="str">
        <f ca="1">IFERROR(_xludf.XLOOKUP($T340&amp;"|S",ASSAY_KEYS,ASSAY_VALUES,""),"")</f>
        <v/>
      </c>
      <c r="BC340" t="str">
        <f ca="1">IFERROR(_xludf.XLOOKUP($T340&amp;"|LOI",ASSAY_KEYS,ASSAY_VALUES,""),"")</f>
        <v/>
      </c>
    </row>
    <row r="341" spans="5:55" x14ac:dyDescent="0.25">
      <c r="E341" t="str">
        <f t="shared" si="15"/>
        <v/>
      </c>
      <c r="G341" t="str">
        <f ca="1">IFERROR(_xludf.XLOOKUP(F341,Lists!$A:$A,Lists!$B:$B,"",0),"")</f>
        <v/>
      </c>
      <c r="S341" t="str">
        <f t="shared" si="16"/>
        <v/>
      </c>
      <c r="AQ341" t="str">
        <f t="shared" si="17"/>
        <v/>
      </c>
      <c r="AX341" t="str">
        <f ca="1">IFERROR(_xludf.XLOOKUP($T341&amp;"|Fe",ASSAY_KEYS,ASSAY_VALUES,""),"")</f>
        <v/>
      </c>
      <c r="AY341" t="str">
        <f ca="1">IFERROR(_xludf.XLOOKUP($T341&amp;"|SiO2",ASSAY_KEYS,ASSAY_VALUES,""),"")</f>
        <v/>
      </c>
      <c r="AZ341" t="str">
        <f ca="1">IFERROR(_xludf.XLOOKUP($T341&amp;"|Al2O3",ASSAY_KEYS,ASSAY_VALUES,""),"")</f>
        <v/>
      </c>
      <c r="BA341" t="str">
        <f ca="1">IFERROR(_xludf.XLOOKUP($T341&amp;"|P",ASSAY_KEYS,ASSAY_VALUES,""),"")</f>
        <v/>
      </c>
      <c r="BB341" t="str">
        <f ca="1">IFERROR(_xludf.XLOOKUP($T341&amp;"|S",ASSAY_KEYS,ASSAY_VALUES,""),"")</f>
        <v/>
      </c>
      <c r="BC341" t="str">
        <f ca="1">IFERROR(_xludf.XLOOKUP($T341&amp;"|LOI",ASSAY_KEYS,ASSAY_VALUES,""),"")</f>
        <v/>
      </c>
    </row>
    <row r="342" spans="5:55" x14ac:dyDescent="0.25">
      <c r="E342" t="str">
        <f t="shared" si="15"/>
        <v/>
      </c>
      <c r="G342" t="str">
        <f ca="1">IFERROR(_xludf.XLOOKUP(F342,Lists!$A:$A,Lists!$B:$B,"",0),"")</f>
        <v/>
      </c>
      <c r="S342" t="str">
        <f t="shared" si="16"/>
        <v/>
      </c>
      <c r="AQ342" t="str">
        <f t="shared" si="17"/>
        <v/>
      </c>
      <c r="AX342" t="str">
        <f ca="1">IFERROR(_xludf.XLOOKUP($T342&amp;"|Fe",ASSAY_KEYS,ASSAY_VALUES,""),"")</f>
        <v/>
      </c>
      <c r="AY342" t="str">
        <f ca="1">IFERROR(_xludf.XLOOKUP($T342&amp;"|SiO2",ASSAY_KEYS,ASSAY_VALUES,""),"")</f>
        <v/>
      </c>
      <c r="AZ342" t="str">
        <f ca="1">IFERROR(_xludf.XLOOKUP($T342&amp;"|Al2O3",ASSAY_KEYS,ASSAY_VALUES,""),"")</f>
        <v/>
      </c>
      <c r="BA342" t="str">
        <f ca="1">IFERROR(_xludf.XLOOKUP($T342&amp;"|P",ASSAY_KEYS,ASSAY_VALUES,""),"")</f>
        <v/>
      </c>
      <c r="BB342" t="str">
        <f ca="1">IFERROR(_xludf.XLOOKUP($T342&amp;"|S",ASSAY_KEYS,ASSAY_VALUES,""),"")</f>
        <v/>
      </c>
      <c r="BC342" t="str">
        <f ca="1">IFERROR(_xludf.XLOOKUP($T342&amp;"|LOI",ASSAY_KEYS,ASSAY_VALUES,""),"")</f>
        <v/>
      </c>
    </row>
    <row r="343" spans="5:55" x14ac:dyDescent="0.25">
      <c r="E343" t="str">
        <f t="shared" si="15"/>
        <v/>
      </c>
      <c r="G343" t="str">
        <f ca="1">IFERROR(_xludf.XLOOKUP(F343,Lists!$A:$A,Lists!$B:$B,"",0),"")</f>
        <v/>
      </c>
      <c r="S343" t="str">
        <f t="shared" si="16"/>
        <v/>
      </c>
      <c r="AQ343" t="str">
        <f t="shared" si="17"/>
        <v/>
      </c>
      <c r="AX343" t="str">
        <f ca="1">IFERROR(_xludf.XLOOKUP($T343&amp;"|Fe",ASSAY_KEYS,ASSAY_VALUES,""),"")</f>
        <v/>
      </c>
      <c r="AY343" t="str">
        <f ca="1">IFERROR(_xludf.XLOOKUP($T343&amp;"|SiO2",ASSAY_KEYS,ASSAY_VALUES,""),"")</f>
        <v/>
      </c>
      <c r="AZ343" t="str">
        <f ca="1">IFERROR(_xludf.XLOOKUP($T343&amp;"|Al2O3",ASSAY_KEYS,ASSAY_VALUES,""),"")</f>
        <v/>
      </c>
      <c r="BA343" t="str">
        <f ca="1">IFERROR(_xludf.XLOOKUP($T343&amp;"|P",ASSAY_KEYS,ASSAY_VALUES,""),"")</f>
        <v/>
      </c>
      <c r="BB343" t="str">
        <f ca="1">IFERROR(_xludf.XLOOKUP($T343&amp;"|S",ASSAY_KEYS,ASSAY_VALUES,""),"")</f>
        <v/>
      </c>
      <c r="BC343" t="str">
        <f ca="1">IFERROR(_xludf.XLOOKUP($T343&amp;"|LOI",ASSAY_KEYS,ASSAY_VALUES,""),"")</f>
        <v/>
      </c>
    </row>
    <row r="344" spans="5:55" x14ac:dyDescent="0.25">
      <c r="E344" t="str">
        <f t="shared" si="15"/>
        <v/>
      </c>
      <c r="G344" t="str">
        <f ca="1">IFERROR(_xludf.XLOOKUP(F344,Lists!$A:$A,Lists!$B:$B,"",0),"")</f>
        <v/>
      </c>
      <c r="S344" t="str">
        <f t="shared" si="16"/>
        <v/>
      </c>
      <c r="AQ344" t="str">
        <f t="shared" si="17"/>
        <v/>
      </c>
      <c r="AX344" t="str">
        <f ca="1">IFERROR(_xludf.XLOOKUP($T344&amp;"|Fe",ASSAY_KEYS,ASSAY_VALUES,""),"")</f>
        <v/>
      </c>
      <c r="AY344" t="str">
        <f ca="1">IFERROR(_xludf.XLOOKUP($T344&amp;"|SiO2",ASSAY_KEYS,ASSAY_VALUES,""),"")</f>
        <v/>
      </c>
      <c r="AZ344" t="str">
        <f ca="1">IFERROR(_xludf.XLOOKUP($T344&amp;"|Al2O3",ASSAY_KEYS,ASSAY_VALUES,""),"")</f>
        <v/>
      </c>
      <c r="BA344" t="str">
        <f ca="1">IFERROR(_xludf.XLOOKUP($T344&amp;"|P",ASSAY_KEYS,ASSAY_VALUES,""),"")</f>
        <v/>
      </c>
      <c r="BB344" t="str">
        <f ca="1">IFERROR(_xludf.XLOOKUP($T344&amp;"|S",ASSAY_KEYS,ASSAY_VALUES,""),"")</f>
        <v/>
      </c>
      <c r="BC344" t="str">
        <f ca="1">IFERROR(_xludf.XLOOKUP($T344&amp;"|LOI",ASSAY_KEYS,ASSAY_VALUES,""),"")</f>
        <v/>
      </c>
    </row>
    <row r="345" spans="5:55" x14ac:dyDescent="0.25">
      <c r="E345" t="str">
        <f t="shared" si="15"/>
        <v/>
      </c>
      <c r="G345" t="str">
        <f ca="1">IFERROR(_xludf.XLOOKUP(F345,Lists!$A:$A,Lists!$B:$B,"",0),"")</f>
        <v/>
      </c>
      <c r="S345" t="str">
        <f t="shared" si="16"/>
        <v/>
      </c>
      <c r="AQ345" t="str">
        <f t="shared" si="17"/>
        <v/>
      </c>
      <c r="AX345" t="str">
        <f ca="1">IFERROR(_xludf.XLOOKUP($T345&amp;"|Fe",ASSAY_KEYS,ASSAY_VALUES,""),"")</f>
        <v/>
      </c>
      <c r="AY345" t="str">
        <f ca="1">IFERROR(_xludf.XLOOKUP($T345&amp;"|SiO2",ASSAY_KEYS,ASSAY_VALUES,""),"")</f>
        <v/>
      </c>
      <c r="AZ345" t="str">
        <f ca="1">IFERROR(_xludf.XLOOKUP($T345&amp;"|Al2O3",ASSAY_KEYS,ASSAY_VALUES,""),"")</f>
        <v/>
      </c>
      <c r="BA345" t="str">
        <f ca="1">IFERROR(_xludf.XLOOKUP($T345&amp;"|P",ASSAY_KEYS,ASSAY_VALUES,""),"")</f>
        <v/>
      </c>
      <c r="BB345" t="str">
        <f ca="1">IFERROR(_xludf.XLOOKUP($T345&amp;"|S",ASSAY_KEYS,ASSAY_VALUES,""),"")</f>
        <v/>
      </c>
      <c r="BC345" t="str">
        <f ca="1">IFERROR(_xludf.XLOOKUP($T345&amp;"|LOI",ASSAY_KEYS,ASSAY_VALUES,""),"")</f>
        <v/>
      </c>
    </row>
    <row r="346" spans="5:55" x14ac:dyDescent="0.25">
      <c r="E346" t="str">
        <f t="shared" si="15"/>
        <v/>
      </c>
      <c r="G346" t="str">
        <f ca="1">IFERROR(_xludf.XLOOKUP(F346,Lists!$A:$A,Lists!$B:$B,"",0),"")</f>
        <v/>
      </c>
      <c r="S346" t="str">
        <f t="shared" si="16"/>
        <v/>
      </c>
      <c r="AQ346" t="str">
        <f t="shared" si="17"/>
        <v/>
      </c>
      <c r="AX346" t="str">
        <f ca="1">IFERROR(_xludf.XLOOKUP($T346&amp;"|Fe",ASSAY_KEYS,ASSAY_VALUES,""),"")</f>
        <v/>
      </c>
      <c r="AY346" t="str">
        <f ca="1">IFERROR(_xludf.XLOOKUP($T346&amp;"|SiO2",ASSAY_KEYS,ASSAY_VALUES,""),"")</f>
        <v/>
      </c>
      <c r="AZ346" t="str">
        <f ca="1">IFERROR(_xludf.XLOOKUP($T346&amp;"|Al2O3",ASSAY_KEYS,ASSAY_VALUES,""),"")</f>
        <v/>
      </c>
      <c r="BA346" t="str">
        <f ca="1">IFERROR(_xludf.XLOOKUP($T346&amp;"|P",ASSAY_KEYS,ASSAY_VALUES,""),"")</f>
        <v/>
      </c>
      <c r="BB346" t="str">
        <f ca="1">IFERROR(_xludf.XLOOKUP($T346&amp;"|S",ASSAY_KEYS,ASSAY_VALUES,""),"")</f>
        <v/>
      </c>
      <c r="BC346" t="str">
        <f ca="1">IFERROR(_xludf.XLOOKUP($T346&amp;"|LOI",ASSAY_KEYS,ASSAY_VALUES,""),"")</f>
        <v/>
      </c>
    </row>
    <row r="347" spans="5:55" x14ac:dyDescent="0.25">
      <c r="E347" t="str">
        <f t="shared" si="15"/>
        <v/>
      </c>
      <c r="G347" t="str">
        <f ca="1">IFERROR(_xludf.XLOOKUP(F347,Lists!$A:$A,Lists!$B:$B,"",0),"")</f>
        <v/>
      </c>
      <c r="S347" t="str">
        <f t="shared" si="16"/>
        <v/>
      </c>
      <c r="AQ347" t="str">
        <f t="shared" si="17"/>
        <v/>
      </c>
      <c r="AX347" t="str">
        <f ca="1">IFERROR(_xludf.XLOOKUP($T347&amp;"|Fe",ASSAY_KEYS,ASSAY_VALUES,""),"")</f>
        <v/>
      </c>
      <c r="AY347" t="str">
        <f ca="1">IFERROR(_xludf.XLOOKUP($T347&amp;"|SiO2",ASSAY_KEYS,ASSAY_VALUES,""),"")</f>
        <v/>
      </c>
      <c r="AZ347" t="str">
        <f ca="1">IFERROR(_xludf.XLOOKUP($T347&amp;"|Al2O3",ASSAY_KEYS,ASSAY_VALUES,""),"")</f>
        <v/>
      </c>
      <c r="BA347" t="str">
        <f ca="1">IFERROR(_xludf.XLOOKUP($T347&amp;"|P",ASSAY_KEYS,ASSAY_VALUES,""),"")</f>
        <v/>
      </c>
      <c r="BB347" t="str">
        <f ca="1">IFERROR(_xludf.XLOOKUP($T347&amp;"|S",ASSAY_KEYS,ASSAY_VALUES,""),"")</f>
        <v/>
      </c>
      <c r="BC347" t="str">
        <f ca="1">IFERROR(_xludf.XLOOKUP($T347&amp;"|LOI",ASSAY_KEYS,ASSAY_VALUES,""),"")</f>
        <v/>
      </c>
    </row>
    <row r="348" spans="5:55" x14ac:dyDescent="0.25">
      <c r="E348" t="str">
        <f t="shared" si="15"/>
        <v/>
      </c>
      <c r="G348" t="str">
        <f ca="1">IFERROR(_xludf.XLOOKUP(F348,Lists!$A:$A,Lists!$B:$B,"",0),"")</f>
        <v/>
      </c>
      <c r="S348" t="str">
        <f t="shared" si="16"/>
        <v/>
      </c>
      <c r="AQ348" t="str">
        <f t="shared" si="17"/>
        <v/>
      </c>
      <c r="AX348" t="str">
        <f ca="1">IFERROR(_xludf.XLOOKUP($T348&amp;"|Fe",ASSAY_KEYS,ASSAY_VALUES,""),"")</f>
        <v/>
      </c>
      <c r="AY348" t="str">
        <f ca="1">IFERROR(_xludf.XLOOKUP($T348&amp;"|SiO2",ASSAY_KEYS,ASSAY_VALUES,""),"")</f>
        <v/>
      </c>
      <c r="AZ348" t="str">
        <f ca="1">IFERROR(_xludf.XLOOKUP($T348&amp;"|Al2O3",ASSAY_KEYS,ASSAY_VALUES,""),"")</f>
        <v/>
      </c>
      <c r="BA348" t="str">
        <f ca="1">IFERROR(_xludf.XLOOKUP($T348&amp;"|P",ASSAY_KEYS,ASSAY_VALUES,""),"")</f>
        <v/>
      </c>
      <c r="BB348" t="str">
        <f ca="1">IFERROR(_xludf.XLOOKUP($T348&amp;"|S",ASSAY_KEYS,ASSAY_VALUES,""),"")</f>
        <v/>
      </c>
      <c r="BC348" t="str">
        <f ca="1">IFERROR(_xludf.XLOOKUP($T348&amp;"|LOI",ASSAY_KEYS,ASSAY_VALUES,""),"")</f>
        <v/>
      </c>
    </row>
    <row r="349" spans="5:55" x14ac:dyDescent="0.25">
      <c r="E349" t="str">
        <f t="shared" si="15"/>
        <v/>
      </c>
      <c r="G349" t="str">
        <f ca="1">IFERROR(_xludf.XLOOKUP(F349,Lists!$A:$A,Lists!$B:$B,"",0),"")</f>
        <v/>
      </c>
      <c r="S349" t="str">
        <f t="shared" si="16"/>
        <v/>
      </c>
      <c r="AQ349" t="str">
        <f t="shared" si="17"/>
        <v/>
      </c>
      <c r="AX349" t="str">
        <f ca="1">IFERROR(_xludf.XLOOKUP($T349&amp;"|Fe",ASSAY_KEYS,ASSAY_VALUES,""),"")</f>
        <v/>
      </c>
      <c r="AY349" t="str">
        <f ca="1">IFERROR(_xludf.XLOOKUP($T349&amp;"|SiO2",ASSAY_KEYS,ASSAY_VALUES,""),"")</f>
        <v/>
      </c>
      <c r="AZ349" t="str">
        <f ca="1">IFERROR(_xludf.XLOOKUP($T349&amp;"|Al2O3",ASSAY_KEYS,ASSAY_VALUES,""),"")</f>
        <v/>
      </c>
      <c r="BA349" t="str">
        <f ca="1">IFERROR(_xludf.XLOOKUP($T349&amp;"|P",ASSAY_KEYS,ASSAY_VALUES,""),"")</f>
        <v/>
      </c>
      <c r="BB349" t="str">
        <f ca="1">IFERROR(_xludf.XLOOKUP($T349&amp;"|S",ASSAY_KEYS,ASSAY_VALUES,""),"")</f>
        <v/>
      </c>
      <c r="BC349" t="str">
        <f ca="1">IFERROR(_xludf.XLOOKUP($T349&amp;"|LOI",ASSAY_KEYS,ASSAY_VALUES,""),"")</f>
        <v/>
      </c>
    </row>
    <row r="350" spans="5:55" x14ac:dyDescent="0.25">
      <c r="E350" t="str">
        <f t="shared" si="15"/>
        <v/>
      </c>
      <c r="G350" t="str">
        <f ca="1">IFERROR(_xludf.XLOOKUP(F350,Lists!$A:$A,Lists!$B:$B,"",0),"")</f>
        <v/>
      </c>
      <c r="S350" t="str">
        <f t="shared" si="16"/>
        <v/>
      </c>
      <c r="AQ350" t="str">
        <f t="shared" si="17"/>
        <v/>
      </c>
      <c r="AX350" t="str">
        <f ca="1">IFERROR(_xludf.XLOOKUP($T350&amp;"|Fe",ASSAY_KEYS,ASSAY_VALUES,""),"")</f>
        <v/>
      </c>
      <c r="AY350" t="str">
        <f ca="1">IFERROR(_xludf.XLOOKUP($T350&amp;"|SiO2",ASSAY_KEYS,ASSAY_VALUES,""),"")</f>
        <v/>
      </c>
      <c r="AZ350" t="str">
        <f ca="1">IFERROR(_xludf.XLOOKUP($T350&amp;"|Al2O3",ASSAY_KEYS,ASSAY_VALUES,""),"")</f>
        <v/>
      </c>
      <c r="BA350" t="str">
        <f ca="1">IFERROR(_xludf.XLOOKUP($T350&amp;"|P",ASSAY_KEYS,ASSAY_VALUES,""),"")</f>
        <v/>
      </c>
      <c r="BB350" t="str">
        <f ca="1">IFERROR(_xludf.XLOOKUP($T350&amp;"|S",ASSAY_KEYS,ASSAY_VALUES,""),"")</f>
        <v/>
      </c>
      <c r="BC350" t="str">
        <f ca="1">IFERROR(_xludf.XLOOKUP($T350&amp;"|LOI",ASSAY_KEYS,ASSAY_VALUES,""),"")</f>
        <v/>
      </c>
    </row>
    <row r="351" spans="5:55" x14ac:dyDescent="0.25">
      <c r="E351" t="str">
        <f t="shared" si="15"/>
        <v/>
      </c>
      <c r="G351" t="str">
        <f ca="1">IFERROR(_xludf.XLOOKUP(F351,Lists!$A:$A,Lists!$B:$B,"",0),"")</f>
        <v/>
      </c>
      <c r="S351" t="str">
        <f t="shared" si="16"/>
        <v/>
      </c>
      <c r="AQ351" t="str">
        <f t="shared" si="17"/>
        <v/>
      </c>
      <c r="AX351" t="str">
        <f ca="1">IFERROR(_xludf.XLOOKUP($T351&amp;"|Fe",ASSAY_KEYS,ASSAY_VALUES,""),"")</f>
        <v/>
      </c>
      <c r="AY351" t="str">
        <f ca="1">IFERROR(_xludf.XLOOKUP($T351&amp;"|SiO2",ASSAY_KEYS,ASSAY_VALUES,""),"")</f>
        <v/>
      </c>
      <c r="AZ351" t="str">
        <f ca="1">IFERROR(_xludf.XLOOKUP($T351&amp;"|Al2O3",ASSAY_KEYS,ASSAY_VALUES,""),"")</f>
        <v/>
      </c>
      <c r="BA351" t="str">
        <f ca="1">IFERROR(_xludf.XLOOKUP($T351&amp;"|P",ASSAY_KEYS,ASSAY_VALUES,""),"")</f>
        <v/>
      </c>
      <c r="BB351" t="str">
        <f ca="1">IFERROR(_xludf.XLOOKUP($T351&amp;"|S",ASSAY_KEYS,ASSAY_VALUES,""),"")</f>
        <v/>
      </c>
      <c r="BC351" t="str">
        <f ca="1">IFERROR(_xludf.XLOOKUP($T351&amp;"|LOI",ASSAY_KEYS,ASSAY_VALUES,""),"")</f>
        <v/>
      </c>
    </row>
    <row r="352" spans="5:55" x14ac:dyDescent="0.25">
      <c r="E352" t="str">
        <f t="shared" si="15"/>
        <v/>
      </c>
      <c r="G352" t="str">
        <f ca="1">IFERROR(_xludf.XLOOKUP(F352,Lists!$A:$A,Lists!$B:$B,"",0),"")</f>
        <v/>
      </c>
      <c r="S352" t="str">
        <f t="shared" si="16"/>
        <v/>
      </c>
      <c r="AQ352" t="str">
        <f t="shared" si="17"/>
        <v/>
      </c>
      <c r="AX352" t="str">
        <f ca="1">IFERROR(_xludf.XLOOKUP($T352&amp;"|Fe",ASSAY_KEYS,ASSAY_VALUES,""),"")</f>
        <v/>
      </c>
      <c r="AY352" t="str">
        <f ca="1">IFERROR(_xludf.XLOOKUP($T352&amp;"|SiO2",ASSAY_KEYS,ASSAY_VALUES,""),"")</f>
        <v/>
      </c>
      <c r="AZ352" t="str">
        <f ca="1">IFERROR(_xludf.XLOOKUP($T352&amp;"|Al2O3",ASSAY_KEYS,ASSAY_VALUES,""),"")</f>
        <v/>
      </c>
      <c r="BA352" t="str">
        <f ca="1">IFERROR(_xludf.XLOOKUP($T352&amp;"|P",ASSAY_KEYS,ASSAY_VALUES,""),"")</f>
        <v/>
      </c>
      <c r="BB352" t="str">
        <f ca="1">IFERROR(_xludf.XLOOKUP($T352&amp;"|S",ASSAY_KEYS,ASSAY_VALUES,""),"")</f>
        <v/>
      </c>
      <c r="BC352" t="str">
        <f ca="1">IFERROR(_xludf.XLOOKUP($T352&amp;"|LOI",ASSAY_KEYS,ASSAY_VALUES,""),"")</f>
        <v/>
      </c>
    </row>
    <row r="353" spans="5:55" x14ac:dyDescent="0.25">
      <c r="E353" t="str">
        <f t="shared" si="15"/>
        <v/>
      </c>
      <c r="G353" t="str">
        <f ca="1">IFERROR(_xludf.XLOOKUP(F353,Lists!$A:$A,Lists!$B:$B,"",0),"")</f>
        <v/>
      </c>
      <c r="S353" t="str">
        <f t="shared" si="16"/>
        <v/>
      </c>
      <c r="AQ353" t="str">
        <f t="shared" si="17"/>
        <v/>
      </c>
      <c r="AX353" t="str">
        <f ca="1">IFERROR(_xludf.XLOOKUP($T353&amp;"|Fe",ASSAY_KEYS,ASSAY_VALUES,""),"")</f>
        <v/>
      </c>
      <c r="AY353" t="str">
        <f ca="1">IFERROR(_xludf.XLOOKUP($T353&amp;"|SiO2",ASSAY_KEYS,ASSAY_VALUES,""),"")</f>
        <v/>
      </c>
      <c r="AZ353" t="str">
        <f ca="1">IFERROR(_xludf.XLOOKUP($T353&amp;"|Al2O3",ASSAY_KEYS,ASSAY_VALUES,""),"")</f>
        <v/>
      </c>
      <c r="BA353" t="str">
        <f ca="1">IFERROR(_xludf.XLOOKUP($T353&amp;"|P",ASSAY_KEYS,ASSAY_VALUES,""),"")</f>
        <v/>
      </c>
      <c r="BB353" t="str">
        <f ca="1">IFERROR(_xludf.XLOOKUP($T353&amp;"|S",ASSAY_KEYS,ASSAY_VALUES,""),"")</f>
        <v/>
      </c>
      <c r="BC353" t="str">
        <f ca="1">IFERROR(_xludf.XLOOKUP($T353&amp;"|LOI",ASSAY_KEYS,ASSAY_VALUES,""),"")</f>
        <v/>
      </c>
    </row>
    <row r="354" spans="5:55" x14ac:dyDescent="0.25">
      <c r="E354" t="str">
        <f t="shared" si="15"/>
        <v/>
      </c>
      <c r="G354" t="str">
        <f ca="1">IFERROR(_xludf.XLOOKUP(F354,Lists!$A:$A,Lists!$B:$B,"",0),"")</f>
        <v/>
      </c>
      <c r="S354" t="str">
        <f t="shared" si="16"/>
        <v/>
      </c>
      <c r="AQ354" t="str">
        <f t="shared" si="17"/>
        <v/>
      </c>
      <c r="AX354" t="str">
        <f ca="1">IFERROR(_xludf.XLOOKUP($T354&amp;"|Fe",ASSAY_KEYS,ASSAY_VALUES,""),"")</f>
        <v/>
      </c>
      <c r="AY354" t="str">
        <f ca="1">IFERROR(_xludf.XLOOKUP($T354&amp;"|SiO2",ASSAY_KEYS,ASSAY_VALUES,""),"")</f>
        <v/>
      </c>
      <c r="AZ354" t="str">
        <f ca="1">IFERROR(_xludf.XLOOKUP($T354&amp;"|Al2O3",ASSAY_KEYS,ASSAY_VALUES,""),"")</f>
        <v/>
      </c>
      <c r="BA354" t="str">
        <f ca="1">IFERROR(_xludf.XLOOKUP($T354&amp;"|P",ASSAY_KEYS,ASSAY_VALUES,""),"")</f>
        <v/>
      </c>
      <c r="BB354" t="str">
        <f ca="1">IFERROR(_xludf.XLOOKUP($T354&amp;"|S",ASSAY_KEYS,ASSAY_VALUES,""),"")</f>
        <v/>
      </c>
      <c r="BC354" t="str">
        <f ca="1">IFERROR(_xludf.XLOOKUP($T354&amp;"|LOI",ASSAY_KEYS,ASSAY_VALUES,""),"")</f>
        <v/>
      </c>
    </row>
    <row r="355" spans="5:55" x14ac:dyDescent="0.25">
      <c r="E355" t="str">
        <f t="shared" si="15"/>
        <v/>
      </c>
      <c r="G355" t="str">
        <f ca="1">IFERROR(_xludf.XLOOKUP(F355,Lists!$A:$A,Lists!$B:$B,"",0),"")</f>
        <v/>
      </c>
      <c r="S355" t="str">
        <f t="shared" si="16"/>
        <v/>
      </c>
      <c r="AQ355" t="str">
        <f t="shared" si="17"/>
        <v/>
      </c>
      <c r="AX355" t="str">
        <f ca="1">IFERROR(_xludf.XLOOKUP($T355&amp;"|Fe",ASSAY_KEYS,ASSAY_VALUES,""),"")</f>
        <v/>
      </c>
      <c r="AY355" t="str">
        <f ca="1">IFERROR(_xludf.XLOOKUP($T355&amp;"|SiO2",ASSAY_KEYS,ASSAY_VALUES,""),"")</f>
        <v/>
      </c>
      <c r="AZ355" t="str">
        <f ca="1">IFERROR(_xludf.XLOOKUP($T355&amp;"|Al2O3",ASSAY_KEYS,ASSAY_VALUES,""),"")</f>
        <v/>
      </c>
      <c r="BA355" t="str">
        <f ca="1">IFERROR(_xludf.XLOOKUP($T355&amp;"|P",ASSAY_KEYS,ASSAY_VALUES,""),"")</f>
        <v/>
      </c>
      <c r="BB355" t="str">
        <f ca="1">IFERROR(_xludf.XLOOKUP($T355&amp;"|S",ASSAY_KEYS,ASSAY_VALUES,""),"")</f>
        <v/>
      </c>
      <c r="BC355" t="str">
        <f ca="1">IFERROR(_xludf.XLOOKUP($T355&amp;"|LOI",ASSAY_KEYS,ASSAY_VALUES,""),"")</f>
        <v/>
      </c>
    </row>
    <row r="356" spans="5:55" x14ac:dyDescent="0.25">
      <c r="E356" t="str">
        <f t="shared" si="15"/>
        <v/>
      </c>
      <c r="G356" t="str">
        <f ca="1">IFERROR(_xludf.XLOOKUP(F356,Lists!$A:$A,Lists!$B:$B,"",0),"")</f>
        <v/>
      </c>
      <c r="S356" t="str">
        <f t="shared" si="16"/>
        <v/>
      </c>
      <c r="AQ356" t="str">
        <f t="shared" si="17"/>
        <v/>
      </c>
      <c r="AX356" t="str">
        <f ca="1">IFERROR(_xludf.XLOOKUP($T356&amp;"|Fe",ASSAY_KEYS,ASSAY_VALUES,""),"")</f>
        <v/>
      </c>
      <c r="AY356" t="str">
        <f ca="1">IFERROR(_xludf.XLOOKUP($T356&amp;"|SiO2",ASSAY_KEYS,ASSAY_VALUES,""),"")</f>
        <v/>
      </c>
      <c r="AZ356" t="str">
        <f ca="1">IFERROR(_xludf.XLOOKUP($T356&amp;"|Al2O3",ASSAY_KEYS,ASSAY_VALUES,""),"")</f>
        <v/>
      </c>
      <c r="BA356" t="str">
        <f ca="1">IFERROR(_xludf.XLOOKUP($T356&amp;"|P",ASSAY_KEYS,ASSAY_VALUES,""),"")</f>
        <v/>
      </c>
      <c r="BB356" t="str">
        <f ca="1">IFERROR(_xludf.XLOOKUP($T356&amp;"|S",ASSAY_KEYS,ASSAY_VALUES,""),"")</f>
        <v/>
      </c>
      <c r="BC356" t="str">
        <f ca="1">IFERROR(_xludf.XLOOKUP($T356&amp;"|LOI",ASSAY_KEYS,ASSAY_VALUES,""),"")</f>
        <v/>
      </c>
    </row>
    <row r="357" spans="5:55" x14ac:dyDescent="0.25">
      <c r="E357" t="str">
        <f t="shared" si="15"/>
        <v/>
      </c>
      <c r="G357" t="str">
        <f ca="1">IFERROR(_xludf.XLOOKUP(F357,Lists!$A:$A,Lists!$B:$B,"",0),"")</f>
        <v/>
      </c>
      <c r="S357" t="str">
        <f t="shared" si="16"/>
        <v/>
      </c>
      <c r="AQ357" t="str">
        <f t="shared" si="17"/>
        <v/>
      </c>
      <c r="AX357" t="str">
        <f ca="1">IFERROR(_xludf.XLOOKUP($T357&amp;"|Fe",ASSAY_KEYS,ASSAY_VALUES,""),"")</f>
        <v/>
      </c>
      <c r="AY357" t="str">
        <f ca="1">IFERROR(_xludf.XLOOKUP($T357&amp;"|SiO2",ASSAY_KEYS,ASSAY_VALUES,""),"")</f>
        <v/>
      </c>
      <c r="AZ357" t="str">
        <f ca="1">IFERROR(_xludf.XLOOKUP($T357&amp;"|Al2O3",ASSAY_KEYS,ASSAY_VALUES,""),"")</f>
        <v/>
      </c>
      <c r="BA357" t="str">
        <f ca="1">IFERROR(_xludf.XLOOKUP($T357&amp;"|P",ASSAY_KEYS,ASSAY_VALUES,""),"")</f>
        <v/>
      </c>
      <c r="BB357" t="str">
        <f ca="1">IFERROR(_xludf.XLOOKUP($T357&amp;"|S",ASSAY_KEYS,ASSAY_VALUES,""),"")</f>
        <v/>
      </c>
      <c r="BC357" t="str">
        <f ca="1">IFERROR(_xludf.XLOOKUP($T357&amp;"|LOI",ASSAY_KEYS,ASSAY_VALUES,""),"")</f>
        <v/>
      </c>
    </row>
    <row r="358" spans="5:55" x14ac:dyDescent="0.25">
      <c r="E358" t="str">
        <f t="shared" si="15"/>
        <v/>
      </c>
      <c r="G358" t="str">
        <f ca="1">IFERROR(_xludf.XLOOKUP(F358,Lists!$A:$A,Lists!$B:$B,"",0),"")</f>
        <v/>
      </c>
      <c r="S358" t="str">
        <f t="shared" si="16"/>
        <v/>
      </c>
      <c r="AQ358" t="str">
        <f t="shared" si="17"/>
        <v/>
      </c>
      <c r="AX358" t="str">
        <f ca="1">IFERROR(_xludf.XLOOKUP($T358&amp;"|Fe",ASSAY_KEYS,ASSAY_VALUES,""),"")</f>
        <v/>
      </c>
      <c r="AY358" t="str">
        <f ca="1">IFERROR(_xludf.XLOOKUP($T358&amp;"|SiO2",ASSAY_KEYS,ASSAY_VALUES,""),"")</f>
        <v/>
      </c>
      <c r="AZ358" t="str">
        <f ca="1">IFERROR(_xludf.XLOOKUP($T358&amp;"|Al2O3",ASSAY_KEYS,ASSAY_VALUES,""),"")</f>
        <v/>
      </c>
      <c r="BA358" t="str">
        <f ca="1">IFERROR(_xludf.XLOOKUP($T358&amp;"|P",ASSAY_KEYS,ASSAY_VALUES,""),"")</f>
        <v/>
      </c>
      <c r="BB358" t="str">
        <f ca="1">IFERROR(_xludf.XLOOKUP($T358&amp;"|S",ASSAY_KEYS,ASSAY_VALUES,""),"")</f>
        <v/>
      </c>
      <c r="BC358" t="str">
        <f ca="1">IFERROR(_xludf.XLOOKUP($T358&amp;"|LOI",ASSAY_KEYS,ASSAY_VALUES,""),"")</f>
        <v/>
      </c>
    </row>
    <row r="359" spans="5:55" x14ac:dyDescent="0.25">
      <c r="E359" t="str">
        <f t="shared" si="15"/>
        <v/>
      </c>
      <c r="G359" t="str">
        <f ca="1">IFERROR(_xludf.XLOOKUP(F359,Lists!$A:$A,Lists!$B:$B,"",0),"")</f>
        <v/>
      </c>
      <c r="S359" t="str">
        <f t="shared" si="16"/>
        <v/>
      </c>
      <c r="AQ359" t="str">
        <f t="shared" si="17"/>
        <v/>
      </c>
      <c r="AX359" t="str">
        <f ca="1">IFERROR(_xludf.XLOOKUP($T359&amp;"|Fe",ASSAY_KEYS,ASSAY_VALUES,""),"")</f>
        <v/>
      </c>
      <c r="AY359" t="str">
        <f ca="1">IFERROR(_xludf.XLOOKUP($T359&amp;"|SiO2",ASSAY_KEYS,ASSAY_VALUES,""),"")</f>
        <v/>
      </c>
      <c r="AZ359" t="str">
        <f ca="1">IFERROR(_xludf.XLOOKUP($T359&amp;"|Al2O3",ASSAY_KEYS,ASSAY_VALUES,""),"")</f>
        <v/>
      </c>
      <c r="BA359" t="str">
        <f ca="1">IFERROR(_xludf.XLOOKUP($T359&amp;"|P",ASSAY_KEYS,ASSAY_VALUES,""),"")</f>
        <v/>
      </c>
      <c r="BB359" t="str">
        <f ca="1">IFERROR(_xludf.XLOOKUP($T359&amp;"|S",ASSAY_KEYS,ASSAY_VALUES,""),"")</f>
        <v/>
      </c>
      <c r="BC359" t="str">
        <f ca="1">IFERROR(_xludf.XLOOKUP($T359&amp;"|LOI",ASSAY_KEYS,ASSAY_VALUES,""),"")</f>
        <v/>
      </c>
    </row>
    <row r="360" spans="5:55" x14ac:dyDescent="0.25">
      <c r="E360" t="str">
        <f t="shared" si="15"/>
        <v/>
      </c>
      <c r="G360" t="str">
        <f ca="1">IFERROR(_xludf.XLOOKUP(F360,Lists!$A:$A,Lists!$B:$B,"",0),"")</f>
        <v/>
      </c>
      <c r="S360" t="str">
        <f t="shared" si="16"/>
        <v/>
      </c>
      <c r="AQ360" t="str">
        <f t="shared" si="17"/>
        <v/>
      </c>
      <c r="AX360" t="str">
        <f ca="1">IFERROR(_xludf.XLOOKUP($T360&amp;"|Fe",ASSAY_KEYS,ASSAY_VALUES,""),"")</f>
        <v/>
      </c>
      <c r="AY360" t="str">
        <f ca="1">IFERROR(_xludf.XLOOKUP($T360&amp;"|SiO2",ASSAY_KEYS,ASSAY_VALUES,""),"")</f>
        <v/>
      </c>
      <c r="AZ360" t="str">
        <f ca="1">IFERROR(_xludf.XLOOKUP($T360&amp;"|Al2O3",ASSAY_KEYS,ASSAY_VALUES,""),"")</f>
        <v/>
      </c>
      <c r="BA360" t="str">
        <f ca="1">IFERROR(_xludf.XLOOKUP($T360&amp;"|P",ASSAY_KEYS,ASSAY_VALUES,""),"")</f>
        <v/>
      </c>
      <c r="BB360" t="str">
        <f ca="1">IFERROR(_xludf.XLOOKUP($T360&amp;"|S",ASSAY_KEYS,ASSAY_VALUES,""),"")</f>
        <v/>
      </c>
      <c r="BC360" t="str">
        <f ca="1">IFERROR(_xludf.XLOOKUP($T360&amp;"|LOI",ASSAY_KEYS,ASSAY_VALUES,""),"")</f>
        <v/>
      </c>
    </row>
    <row r="361" spans="5:55" x14ac:dyDescent="0.25">
      <c r="E361" t="str">
        <f t="shared" si="15"/>
        <v/>
      </c>
      <c r="G361" t="str">
        <f ca="1">IFERROR(_xludf.XLOOKUP(F361,Lists!$A:$A,Lists!$B:$B,"",0),"")</f>
        <v/>
      </c>
      <c r="S361" t="str">
        <f t="shared" si="16"/>
        <v/>
      </c>
      <c r="AQ361" t="str">
        <f t="shared" si="17"/>
        <v/>
      </c>
      <c r="AX361" t="str">
        <f ca="1">IFERROR(_xludf.XLOOKUP($T361&amp;"|Fe",ASSAY_KEYS,ASSAY_VALUES,""),"")</f>
        <v/>
      </c>
      <c r="AY361" t="str">
        <f ca="1">IFERROR(_xludf.XLOOKUP($T361&amp;"|SiO2",ASSAY_KEYS,ASSAY_VALUES,""),"")</f>
        <v/>
      </c>
      <c r="AZ361" t="str">
        <f ca="1">IFERROR(_xludf.XLOOKUP($T361&amp;"|Al2O3",ASSAY_KEYS,ASSAY_VALUES,""),"")</f>
        <v/>
      </c>
      <c r="BA361" t="str">
        <f ca="1">IFERROR(_xludf.XLOOKUP($T361&amp;"|P",ASSAY_KEYS,ASSAY_VALUES,""),"")</f>
        <v/>
      </c>
      <c r="BB361" t="str">
        <f ca="1">IFERROR(_xludf.XLOOKUP($T361&amp;"|S",ASSAY_KEYS,ASSAY_VALUES,""),"")</f>
        <v/>
      </c>
      <c r="BC361" t="str">
        <f ca="1">IFERROR(_xludf.XLOOKUP($T361&amp;"|LOI",ASSAY_KEYS,ASSAY_VALUES,""),"")</f>
        <v/>
      </c>
    </row>
    <row r="362" spans="5:55" x14ac:dyDescent="0.25">
      <c r="E362" t="str">
        <f t="shared" si="15"/>
        <v/>
      </c>
      <c r="G362" t="str">
        <f ca="1">IFERROR(_xludf.XLOOKUP(F362,Lists!$A:$A,Lists!$B:$B,"",0),"")</f>
        <v/>
      </c>
      <c r="S362" t="str">
        <f t="shared" si="16"/>
        <v/>
      </c>
      <c r="AQ362" t="str">
        <f t="shared" si="17"/>
        <v/>
      </c>
      <c r="AX362" t="str">
        <f ca="1">IFERROR(_xludf.XLOOKUP($T362&amp;"|Fe",ASSAY_KEYS,ASSAY_VALUES,""),"")</f>
        <v/>
      </c>
      <c r="AY362" t="str">
        <f ca="1">IFERROR(_xludf.XLOOKUP($T362&amp;"|SiO2",ASSAY_KEYS,ASSAY_VALUES,""),"")</f>
        <v/>
      </c>
      <c r="AZ362" t="str">
        <f ca="1">IFERROR(_xludf.XLOOKUP($T362&amp;"|Al2O3",ASSAY_KEYS,ASSAY_VALUES,""),"")</f>
        <v/>
      </c>
      <c r="BA362" t="str">
        <f ca="1">IFERROR(_xludf.XLOOKUP($T362&amp;"|P",ASSAY_KEYS,ASSAY_VALUES,""),"")</f>
        <v/>
      </c>
      <c r="BB362" t="str">
        <f ca="1">IFERROR(_xludf.XLOOKUP($T362&amp;"|S",ASSAY_KEYS,ASSAY_VALUES,""),"")</f>
        <v/>
      </c>
      <c r="BC362" t="str">
        <f ca="1">IFERROR(_xludf.XLOOKUP($T362&amp;"|LOI",ASSAY_KEYS,ASSAY_VALUES,""),"")</f>
        <v/>
      </c>
    </row>
    <row r="363" spans="5:55" x14ac:dyDescent="0.25">
      <c r="E363" t="str">
        <f t="shared" si="15"/>
        <v/>
      </c>
      <c r="G363" t="str">
        <f ca="1">IFERROR(_xludf.XLOOKUP(F363,Lists!$A:$A,Lists!$B:$B,"",0),"")</f>
        <v/>
      </c>
      <c r="S363" t="str">
        <f t="shared" si="16"/>
        <v/>
      </c>
      <c r="AQ363" t="str">
        <f t="shared" si="17"/>
        <v/>
      </c>
      <c r="AX363" t="str">
        <f ca="1">IFERROR(_xludf.XLOOKUP($T363&amp;"|Fe",ASSAY_KEYS,ASSAY_VALUES,""),"")</f>
        <v/>
      </c>
      <c r="AY363" t="str">
        <f ca="1">IFERROR(_xludf.XLOOKUP($T363&amp;"|SiO2",ASSAY_KEYS,ASSAY_VALUES,""),"")</f>
        <v/>
      </c>
      <c r="AZ363" t="str">
        <f ca="1">IFERROR(_xludf.XLOOKUP($T363&amp;"|Al2O3",ASSAY_KEYS,ASSAY_VALUES,""),"")</f>
        <v/>
      </c>
      <c r="BA363" t="str">
        <f ca="1">IFERROR(_xludf.XLOOKUP($T363&amp;"|P",ASSAY_KEYS,ASSAY_VALUES,""),"")</f>
        <v/>
      </c>
      <c r="BB363" t="str">
        <f ca="1">IFERROR(_xludf.XLOOKUP($T363&amp;"|S",ASSAY_KEYS,ASSAY_VALUES,""),"")</f>
        <v/>
      </c>
      <c r="BC363" t="str">
        <f ca="1">IFERROR(_xludf.XLOOKUP($T363&amp;"|LOI",ASSAY_KEYS,ASSAY_VALUES,""),"")</f>
        <v/>
      </c>
    </row>
    <row r="364" spans="5:55" x14ac:dyDescent="0.25">
      <c r="E364" t="str">
        <f t="shared" si="15"/>
        <v/>
      </c>
      <c r="G364" t="str">
        <f ca="1">IFERROR(_xludf.XLOOKUP(F364,Lists!$A:$A,Lists!$B:$B,"",0),"")</f>
        <v/>
      </c>
      <c r="S364" t="str">
        <f t="shared" si="16"/>
        <v/>
      </c>
      <c r="AQ364" t="str">
        <f t="shared" si="17"/>
        <v/>
      </c>
      <c r="AX364" t="str">
        <f ca="1">IFERROR(_xludf.XLOOKUP($T364&amp;"|Fe",ASSAY_KEYS,ASSAY_VALUES,""),"")</f>
        <v/>
      </c>
      <c r="AY364" t="str">
        <f ca="1">IFERROR(_xludf.XLOOKUP($T364&amp;"|SiO2",ASSAY_KEYS,ASSAY_VALUES,""),"")</f>
        <v/>
      </c>
      <c r="AZ364" t="str">
        <f ca="1">IFERROR(_xludf.XLOOKUP($T364&amp;"|Al2O3",ASSAY_KEYS,ASSAY_VALUES,""),"")</f>
        <v/>
      </c>
      <c r="BA364" t="str">
        <f ca="1">IFERROR(_xludf.XLOOKUP($T364&amp;"|P",ASSAY_KEYS,ASSAY_VALUES,""),"")</f>
        <v/>
      </c>
      <c r="BB364" t="str">
        <f ca="1">IFERROR(_xludf.XLOOKUP($T364&amp;"|S",ASSAY_KEYS,ASSAY_VALUES,""),"")</f>
        <v/>
      </c>
      <c r="BC364" t="str">
        <f ca="1">IFERROR(_xludf.XLOOKUP($T364&amp;"|LOI",ASSAY_KEYS,ASSAY_VALUES,""),"")</f>
        <v/>
      </c>
    </row>
    <row r="365" spans="5:55" x14ac:dyDescent="0.25">
      <c r="E365" t="str">
        <f t="shared" si="15"/>
        <v/>
      </c>
      <c r="G365" t="str">
        <f ca="1">IFERROR(_xludf.XLOOKUP(F365,Lists!$A:$A,Lists!$B:$B,"",0),"")</f>
        <v/>
      </c>
      <c r="S365" t="str">
        <f t="shared" si="16"/>
        <v/>
      </c>
      <c r="AQ365" t="str">
        <f t="shared" si="17"/>
        <v/>
      </c>
      <c r="AX365" t="str">
        <f ca="1">IFERROR(_xludf.XLOOKUP($T365&amp;"|Fe",ASSAY_KEYS,ASSAY_VALUES,""),"")</f>
        <v/>
      </c>
      <c r="AY365" t="str">
        <f ca="1">IFERROR(_xludf.XLOOKUP($T365&amp;"|SiO2",ASSAY_KEYS,ASSAY_VALUES,""),"")</f>
        <v/>
      </c>
      <c r="AZ365" t="str">
        <f ca="1">IFERROR(_xludf.XLOOKUP($T365&amp;"|Al2O3",ASSAY_KEYS,ASSAY_VALUES,""),"")</f>
        <v/>
      </c>
      <c r="BA365" t="str">
        <f ca="1">IFERROR(_xludf.XLOOKUP($T365&amp;"|P",ASSAY_KEYS,ASSAY_VALUES,""),"")</f>
        <v/>
      </c>
      <c r="BB365" t="str">
        <f ca="1">IFERROR(_xludf.XLOOKUP($T365&amp;"|S",ASSAY_KEYS,ASSAY_VALUES,""),"")</f>
        <v/>
      </c>
      <c r="BC365" t="str">
        <f ca="1">IFERROR(_xludf.XLOOKUP($T365&amp;"|LOI",ASSAY_KEYS,ASSAY_VALUES,""),"")</f>
        <v/>
      </c>
    </row>
    <row r="366" spans="5:55" x14ac:dyDescent="0.25">
      <c r="E366" t="str">
        <f t="shared" si="15"/>
        <v/>
      </c>
      <c r="G366" t="str">
        <f ca="1">IFERROR(_xludf.XLOOKUP(F366,Lists!$A:$A,Lists!$B:$B,"",0),"")</f>
        <v/>
      </c>
      <c r="S366" t="str">
        <f t="shared" si="16"/>
        <v/>
      </c>
      <c r="AQ366" t="str">
        <f t="shared" si="17"/>
        <v/>
      </c>
      <c r="AX366" t="str">
        <f ca="1">IFERROR(_xludf.XLOOKUP($T366&amp;"|Fe",ASSAY_KEYS,ASSAY_VALUES,""),"")</f>
        <v/>
      </c>
      <c r="AY366" t="str">
        <f ca="1">IFERROR(_xludf.XLOOKUP($T366&amp;"|SiO2",ASSAY_KEYS,ASSAY_VALUES,""),"")</f>
        <v/>
      </c>
      <c r="AZ366" t="str">
        <f ca="1">IFERROR(_xludf.XLOOKUP($T366&amp;"|Al2O3",ASSAY_KEYS,ASSAY_VALUES,""),"")</f>
        <v/>
      </c>
      <c r="BA366" t="str">
        <f ca="1">IFERROR(_xludf.XLOOKUP($T366&amp;"|P",ASSAY_KEYS,ASSAY_VALUES,""),"")</f>
        <v/>
      </c>
      <c r="BB366" t="str">
        <f ca="1">IFERROR(_xludf.XLOOKUP($T366&amp;"|S",ASSAY_KEYS,ASSAY_VALUES,""),"")</f>
        <v/>
      </c>
      <c r="BC366" t="str">
        <f ca="1">IFERROR(_xludf.XLOOKUP($T366&amp;"|LOI",ASSAY_KEYS,ASSAY_VALUES,""),"")</f>
        <v/>
      </c>
    </row>
    <row r="367" spans="5:55" x14ac:dyDescent="0.25">
      <c r="E367" t="str">
        <f t="shared" si="15"/>
        <v/>
      </c>
      <c r="G367" t="str">
        <f ca="1">IFERROR(_xludf.XLOOKUP(F367,Lists!$A:$A,Lists!$B:$B,"",0),"")</f>
        <v/>
      </c>
      <c r="S367" t="str">
        <f t="shared" si="16"/>
        <v/>
      </c>
      <c r="AQ367" t="str">
        <f t="shared" si="17"/>
        <v/>
      </c>
      <c r="AX367" t="str">
        <f ca="1">IFERROR(_xludf.XLOOKUP($T367&amp;"|Fe",ASSAY_KEYS,ASSAY_VALUES,""),"")</f>
        <v/>
      </c>
      <c r="AY367" t="str">
        <f ca="1">IFERROR(_xludf.XLOOKUP($T367&amp;"|SiO2",ASSAY_KEYS,ASSAY_VALUES,""),"")</f>
        <v/>
      </c>
      <c r="AZ367" t="str">
        <f ca="1">IFERROR(_xludf.XLOOKUP($T367&amp;"|Al2O3",ASSAY_KEYS,ASSAY_VALUES,""),"")</f>
        <v/>
      </c>
      <c r="BA367" t="str">
        <f ca="1">IFERROR(_xludf.XLOOKUP($T367&amp;"|P",ASSAY_KEYS,ASSAY_VALUES,""),"")</f>
        <v/>
      </c>
      <c r="BB367" t="str">
        <f ca="1">IFERROR(_xludf.XLOOKUP($T367&amp;"|S",ASSAY_KEYS,ASSAY_VALUES,""),"")</f>
        <v/>
      </c>
      <c r="BC367" t="str">
        <f ca="1">IFERROR(_xludf.XLOOKUP($T367&amp;"|LOI",ASSAY_KEYS,ASSAY_VALUES,""),"")</f>
        <v/>
      </c>
    </row>
    <row r="368" spans="5:55" x14ac:dyDescent="0.25">
      <c r="E368" t="str">
        <f t="shared" si="15"/>
        <v/>
      </c>
      <c r="G368" t="str">
        <f ca="1">IFERROR(_xludf.XLOOKUP(F368,Lists!$A:$A,Lists!$B:$B,"",0),"")</f>
        <v/>
      </c>
      <c r="S368" t="str">
        <f t="shared" si="16"/>
        <v/>
      </c>
      <c r="AQ368" t="str">
        <f t="shared" si="17"/>
        <v/>
      </c>
      <c r="AX368" t="str">
        <f ca="1">IFERROR(_xludf.XLOOKUP($T368&amp;"|Fe",ASSAY_KEYS,ASSAY_VALUES,""),"")</f>
        <v/>
      </c>
      <c r="AY368" t="str">
        <f ca="1">IFERROR(_xludf.XLOOKUP($T368&amp;"|SiO2",ASSAY_KEYS,ASSAY_VALUES,""),"")</f>
        <v/>
      </c>
      <c r="AZ368" t="str">
        <f ca="1">IFERROR(_xludf.XLOOKUP($T368&amp;"|Al2O3",ASSAY_KEYS,ASSAY_VALUES,""),"")</f>
        <v/>
      </c>
      <c r="BA368" t="str">
        <f ca="1">IFERROR(_xludf.XLOOKUP($T368&amp;"|P",ASSAY_KEYS,ASSAY_VALUES,""),"")</f>
        <v/>
      </c>
      <c r="BB368" t="str">
        <f ca="1">IFERROR(_xludf.XLOOKUP($T368&amp;"|S",ASSAY_KEYS,ASSAY_VALUES,""),"")</f>
        <v/>
      </c>
      <c r="BC368" t="str">
        <f ca="1">IFERROR(_xludf.XLOOKUP($T368&amp;"|LOI",ASSAY_KEYS,ASSAY_VALUES,""),"")</f>
        <v/>
      </c>
    </row>
    <row r="369" spans="5:55" x14ac:dyDescent="0.25">
      <c r="E369" t="str">
        <f t="shared" si="15"/>
        <v/>
      </c>
      <c r="G369" t="str">
        <f ca="1">IFERROR(_xludf.XLOOKUP(F369,Lists!$A:$A,Lists!$B:$B,"",0),"")</f>
        <v/>
      </c>
      <c r="S369" t="str">
        <f t="shared" si="16"/>
        <v/>
      </c>
      <c r="AQ369" t="str">
        <f t="shared" si="17"/>
        <v/>
      </c>
      <c r="AX369" t="str">
        <f ca="1">IFERROR(_xludf.XLOOKUP($T369&amp;"|Fe",ASSAY_KEYS,ASSAY_VALUES,""),"")</f>
        <v/>
      </c>
      <c r="AY369" t="str">
        <f ca="1">IFERROR(_xludf.XLOOKUP($T369&amp;"|SiO2",ASSAY_KEYS,ASSAY_VALUES,""),"")</f>
        <v/>
      </c>
      <c r="AZ369" t="str">
        <f ca="1">IFERROR(_xludf.XLOOKUP($T369&amp;"|Al2O3",ASSAY_KEYS,ASSAY_VALUES,""),"")</f>
        <v/>
      </c>
      <c r="BA369" t="str">
        <f ca="1">IFERROR(_xludf.XLOOKUP($T369&amp;"|P",ASSAY_KEYS,ASSAY_VALUES,""),"")</f>
        <v/>
      </c>
      <c r="BB369" t="str">
        <f ca="1">IFERROR(_xludf.XLOOKUP($T369&amp;"|S",ASSAY_KEYS,ASSAY_VALUES,""),"")</f>
        <v/>
      </c>
      <c r="BC369" t="str">
        <f ca="1">IFERROR(_xludf.XLOOKUP($T369&amp;"|LOI",ASSAY_KEYS,ASSAY_VALUES,""),"")</f>
        <v/>
      </c>
    </row>
    <row r="370" spans="5:55" x14ac:dyDescent="0.25">
      <c r="E370" t="str">
        <f t="shared" si="15"/>
        <v/>
      </c>
      <c r="G370" t="str">
        <f ca="1">IFERROR(_xludf.XLOOKUP(F370,Lists!$A:$A,Lists!$B:$B,"",0),"")</f>
        <v/>
      </c>
      <c r="S370" t="str">
        <f t="shared" si="16"/>
        <v/>
      </c>
      <c r="AQ370" t="str">
        <f t="shared" si="17"/>
        <v/>
      </c>
      <c r="AX370" t="str">
        <f ca="1">IFERROR(_xludf.XLOOKUP($T370&amp;"|Fe",ASSAY_KEYS,ASSAY_VALUES,""),"")</f>
        <v/>
      </c>
      <c r="AY370" t="str">
        <f ca="1">IFERROR(_xludf.XLOOKUP($T370&amp;"|SiO2",ASSAY_KEYS,ASSAY_VALUES,""),"")</f>
        <v/>
      </c>
      <c r="AZ370" t="str">
        <f ca="1">IFERROR(_xludf.XLOOKUP($T370&amp;"|Al2O3",ASSAY_KEYS,ASSAY_VALUES,""),"")</f>
        <v/>
      </c>
      <c r="BA370" t="str">
        <f ca="1">IFERROR(_xludf.XLOOKUP($T370&amp;"|P",ASSAY_KEYS,ASSAY_VALUES,""),"")</f>
        <v/>
      </c>
      <c r="BB370" t="str">
        <f ca="1">IFERROR(_xludf.XLOOKUP($T370&amp;"|S",ASSAY_KEYS,ASSAY_VALUES,""),"")</f>
        <v/>
      </c>
      <c r="BC370" t="str">
        <f ca="1">IFERROR(_xludf.XLOOKUP($T370&amp;"|LOI",ASSAY_KEYS,ASSAY_VALUES,""),"")</f>
        <v/>
      </c>
    </row>
    <row r="371" spans="5:55" x14ac:dyDescent="0.25">
      <c r="E371" t="str">
        <f t="shared" si="15"/>
        <v/>
      </c>
      <c r="G371" t="str">
        <f ca="1">IFERROR(_xludf.XLOOKUP(F371,Lists!$A:$A,Lists!$B:$B,"",0),"")</f>
        <v/>
      </c>
      <c r="S371" t="str">
        <f t="shared" si="16"/>
        <v/>
      </c>
      <c r="AQ371" t="str">
        <f t="shared" si="17"/>
        <v/>
      </c>
      <c r="AX371" t="str">
        <f ca="1">IFERROR(_xludf.XLOOKUP($T371&amp;"|Fe",ASSAY_KEYS,ASSAY_VALUES,""),"")</f>
        <v/>
      </c>
      <c r="AY371" t="str">
        <f ca="1">IFERROR(_xludf.XLOOKUP($T371&amp;"|SiO2",ASSAY_KEYS,ASSAY_VALUES,""),"")</f>
        <v/>
      </c>
      <c r="AZ371" t="str">
        <f ca="1">IFERROR(_xludf.XLOOKUP($T371&amp;"|Al2O3",ASSAY_KEYS,ASSAY_VALUES,""),"")</f>
        <v/>
      </c>
      <c r="BA371" t="str">
        <f ca="1">IFERROR(_xludf.XLOOKUP($T371&amp;"|P",ASSAY_KEYS,ASSAY_VALUES,""),"")</f>
        <v/>
      </c>
      <c r="BB371" t="str">
        <f ca="1">IFERROR(_xludf.XLOOKUP($T371&amp;"|S",ASSAY_KEYS,ASSAY_VALUES,""),"")</f>
        <v/>
      </c>
      <c r="BC371" t="str">
        <f ca="1">IFERROR(_xludf.XLOOKUP($T371&amp;"|LOI",ASSAY_KEYS,ASSAY_VALUES,""),"")</f>
        <v/>
      </c>
    </row>
    <row r="372" spans="5:55" x14ac:dyDescent="0.25">
      <c r="E372" t="str">
        <f t="shared" si="15"/>
        <v/>
      </c>
      <c r="G372" t="str">
        <f ca="1">IFERROR(_xludf.XLOOKUP(F372,Lists!$A:$A,Lists!$B:$B,"",0),"")</f>
        <v/>
      </c>
      <c r="S372" t="str">
        <f t="shared" si="16"/>
        <v/>
      </c>
      <c r="AQ372" t="str">
        <f t="shared" si="17"/>
        <v/>
      </c>
      <c r="AX372" t="str">
        <f ca="1">IFERROR(_xludf.XLOOKUP($T372&amp;"|Fe",ASSAY_KEYS,ASSAY_VALUES,""),"")</f>
        <v/>
      </c>
      <c r="AY372" t="str">
        <f ca="1">IFERROR(_xludf.XLOOKUP($T372&amp;"|SiO2",ASSAY_KEYS,ASSAY_VALUES,""),"")</f>
        <v/>
      </c>
      <c r="AZ372" t="str">
        <f ca="1">IFERROR(_xludf.XLOOKUP($T372&amp;"|Al2O3",ASSAY_KEYS,ASSAY_VALUES,""),"")</f>
        <v/>
      </c>
      <c r="BA372" t="str">
        <f ca="1">IFERROR(_xludf.XLOOKUP($T372&amp;"|P",ASSAY_KEYS,ASSAY_VALUES,""),"")</f>
        <v/>
      </c>
      <c r="BB372" t="str">
        <f ca="1">IFERROR(_xludf.XLOOKUP($T372&amp;"|S",ASSAY_KEYS,ASSAY_VALUES,""),"")</f>
        <v/>
      </c>
      <c r="BC372" t="str">
        <f ca="1">IFERROR(_xludf.XLOOKUP($T372&amp;"|LOI",ASSAY_KEYS,ASSAY_VALUES,""),"")</f>
        <v/>
      </c>
    </row>
    <row r="373" spans="5:55" x14ac:dyDescent="0.25">
      <c r="E373" t="str">
        <f t="shared" si="15"/>
        <v/>
      </c>
      <c r="G373" t="str">
        <f ca="1">IFERROR(_xludf.XLOOKUP(F373,Lists!$A:$A,Lists!$B:$B,"",0),"")</f>
        <v/>
      </c>
      <c r="S373" t="str">
        <f t="shared" si="16"/>
        <v/>
      </c>
      <c r="AQ373" t="str">
        <f t="shared" si="17"/>
        <v/>
      </c>
      <c r="AX373" t="str">
        <f ca="1">IFERROR(_xludf.XLOOKUP($T373&amp;"|Fe",ASSAY_KEYS,ASSAY_VALUES,""),"")</f>
        <v/>
      </c>
      <c r="AY373" t="str">
        <f ca="1">IFERROR(_xludf.XLOOKUP($T373&amp;"|SiO2",ASSAY_KEYS,ASSAY_VALUES,""),"")</f>
        <v/>
      </c>
      <c r="AZ373" t="str">
        <f ca="1">IFERROR(_xludf.XLOOKUP($T373&amp;"|Al2O3",ASSAY_KEYS,ASSAY_VALUES,""),"")</f>
        <v/>
      </c>
      <c r="BA373" t="str">
        <f ca="1">IFERROR(_xludf.XLOOKUP($T373&amp;"|P",ASSAY_KEYS,ASSAY_VALUES,""),"")</f>
        <v/>
      </c>
      <c r="BB373" t="str">
        <f ca="1">IFERROR(_xludf.XLOOKUP($T373&amp;"|S",ASSAY_KEYS,ASSAY_VALUES,""),"")</f>
        <v/>
      </c>
      <c r="BC373" t="str">
        <f ca="1">IFERROR(_xludf.XLOOKUP($T373&amp;"|LOI",ASSAY_KEYS,ASSAY_VALUES,""),"")</f>
        <v/>
      </c>
    </row>
    <row r="374" spans="5:55" x14ac:dyDescent="0.25">
      <c r="E374" t="str">
        <f t="shared" si="15"/>
        <v/>
      </c>
      <c r="G374" t="str">
        <f ca="1">IFERROR(_xludf.XLOOKUP(F374,Lists!$A:$A,Lists!$B:$B,"",0),"")</f>
        <v/>
      </c>
      <c r="S374" t="str">
        <f t="shared" si="16"/>
        <v/>
      </c>
      <c r="AQ374" t="str">
        <f t="shared" si="17"/>
        <v/>
      </c>
      <c r="AX374" t="str">
        <f ca="1">IFERROR(_xludf.XLOOKUP($T374&amp;"|Fe",ASSAY_KEYS,ASSAY_VALUES,""),"")</f>
        <v/>
      </c>
      <c r="AY374" t="str">
        <f ca="1">IFERROR(_xludf.XLOOKUP($T374&amp;"|SiO2",ASSAY_KEYS,ASSAY_VALUES,""),"")</f>
        <v/>
      </c>
      <c r="AZ374" t="str">
        <f ca="1">IFERROR(_xludf.XLOOKUP($T374&amp;"|Al2O3",ASSAY_KEYS,ASSAY_VALUES,""),"")</f>
        <v/>
      </c>
      <c r="BA374" t="str">
        <f ca="1">IFERROR(_xludf.XLOOKUP($T374&amp;"|P",ASSAY_KEYS,ASSAY_VALUES,""),"")</f>
        <v/>
      </c>
      <c r="BB374" t="str">
        <f ca="1">IFERROR(_xludf.XLOOKUP($T374&amp;"|S",ASSAY_KEYS,ASSAY_VALUES,""),"")</f>
        <v/>
      </c>
      <c r="BC374" t="str">
        <f ca="1">IFERROR(_xludf.XLOOKUP($T374&amp;"|LOI",ASSAY_KEYS,ASSAY_VALUES,""),"")</f>
        <v/>
      </c>
    </row>
    <row r="375" spans="5:55" x14ac:dyDescent="0.25">
      <c r="E375" t="str">
        <f t="shared" si="15"/>
        <v/>
      </c>
      <c r="G375" t="str">
        <f ca="1">IFERROR(_xludf.XLOOKUP(F375,Lists!$A:$A,Lists!$B:$B,"",0),"")</f>
        <v/>
      </c>
      <c r="S375" t="str">
        <f t="shared" si="16"/>
        <v/>
      </c>
      <c r="AQ375" t="str">
        <f t="shared" si="17"/>
        <v/>
      </c>
      <c r="AX375" t="str">
        <f ca="1">IFERROR(_xludf.XLOOKUP($T375&amp;"|Fe",ASSAY_KEYS,ASSAY_VALUES,""),"")</f>
        <v/>
      </c>
      <c r="AY375" t="str">
        <f ca="1">IFERROR(_xludf.XLOOKUP($T375&amp;"|SiO2",ASSAY_KEYS,ASSAY_VALUES,""),"")</f>
        <v/>
      </c>
      <c r="AZ375" t="str">
        <f ca="1">IFERROR(_xludf.XLOOKUP($T375&amp;"|Al2O3",ASSAY_KEYS,ASSAY_VALUES,""),"")</f>
        <v/>
      </c>
      <c r="BA375" t="str">
        <f ca="1">IFERROR(_xludf.XLOOKUP($T375&amp;"|P",ASSAY_KEYS,ASSAY_VALUES,""),"")</f>
        <v/>
      </c>
      <c r="BB375" t="str">
        <f ca="1">IFERROR(_xludf.XLOOKUP($T375&amp;"|S",ASSAY_KEYS,ASSAY_VALUES,""),"")</f>
        <v/>
      </c>
      <c r="BC375" t="str">
        <f ca="1">IFERROR(_xludf.XLOOKUP($T375&amp;"|LOI",ASSAY_KEYS,ASSAY_VALUES,""),"")</f>
        <v/>
      </c>
    </row>
    <row r="376" spans="5:55" x14ac:dyDescent="0.25">
      <c r="E376" t="str">
        <f t="shared" si="15"/>
        <v/>
      </c>
      <c r="G376" t="str">
        <f ca="1">IFERROR(_xludf.XLOOKUP(F376,Lists!$A:$A,Lists!$B:$B,"",0),"")</f>
        <v/>
      </c>
      <c r="S376" t="str">
        <f t="shared" si="16"/>
        <v/>
      </c>
      <c r="AQ376" t="str">
        <f t="shared" si="17"/>
        <v/>
      </c>
      <c r="AX376" t="str">
        <f ca="1">IFERROR(_xludf.XLOOKUP($T376&amp;"|Fe",ASSAY_KEYS,ASSAY_VALUES,""),"")</f>
        <v/>
      </c>
      <c r="AY376" t="str">
        <f ca="1">IFERROR(_xludf.XLOOKUP($T376&amp;"|SiO2",ASSAY_KEYS,ASSAY_VALUES,""),"")</f>
        <v/>
      </c>
      <c r="AZ376" t="str">
        <f ca="1">IFERROR(_xludf.XLOOKUP($T376&amp;"|Al2O3",ASSAY_KEYS,ASSAY_VALUES,""),"")</f>
        <v/>
      </c>
      <c r="BA376" t="str">
        <f ca="1">IFERROR(_xludf.XLOOKUP($T376&amp;"|P",ASSAY_KEYS,ASSAY_VALUES,""),"")</f>
        <v/>
      </c>
      <c r="BB376" t="str">
        <f ca="1">IFERROR(_xludf.XLOOKUP($T376&amp;"|S",ASSAY_KEYS,ASSAY_VALUES,""),"")</f>
        <v/>
      </c>
      <c r="BC376" t="str">
        <f ca="1">IFERROR(_xludf.XLOOKUP($T376&amp;"|LOI",ASSAY_KEYS,ASSAY_VALUES,""),"")</f>
        <v/>
      </c>
    </row>
    <row r="377" spans="5:55" x14ac:dyDescent="0.25">
      <c r="E377" t="str">
        <f t="shared" si="15"/>
        <v/>
      </c>
      <c r="G377" t="str">
        <f ca="1">IFERROR(_xludf.XLOOKUP(F377,Lists!$A:$A,Lists!$B:$B,"",0),"")</f>
        <v/>
      </c>
      <c r="S377" t="str">
        <f t="shared" si="16"/>
        <v/>
      </c>
      <c r="AQ377" t="str">
        <f t="shared" si="17"/>
        <v/>
      </c>
      <c r="AX377" t="str">
        <f ca="1">IFERROR(_xludf.XLOOKUP($T377&amp;"|Fe",ASSAY_KEYS,ASSAY_VALUES,""),"")</f>
        <v/>
      </c>
      <c r="AY377" t="str">
        <f ca="1">IFERROR(_xludf.XLOOKUP($T377&amp;"|SiO2",ASSAY_KEYS,ASSAY_VALUES,""),"")</f>
        <v/>
      </c>
      <c r="AZ377" t="str">
        <f ca="1">IFERROR(_xludf.XLOOKUP($T377&amp;"|Al2O3",ASSAY_KEYS,ASSAY_VALUES,""),"")</f>
        <v/>
      </c>
      <c r="BA377" t="str">
        <f ca="1">IFERROR(_xludf.XLOOKUP($T377&amp;"|P",ASSAY_KEYS,ASSAY_VALUES,""),"")</f>
        <v/>
      </c>
      <c r="BB377" t="str">
        <f ca="1">IFERROR(_xludf.XLOOKUP($T377&amp;"|S",ASSAY_KEYS,ASSAY_VALUES,""),"")</f>
        <v/>
      </c>
      <c r="BC377" t="str">
        <f ca="1">IFERROR(_xludf.XLOOKUP($T377&amp;"|LOI",ASSAY_KEYS,ASSAY_VALUES,""),"")</f>
        <v/>
      </c>
    </row>
    <row r="378" spans="5:55" x14ac:dyDescent="0.25">
      <c r="E378" t="str">
        <f t="shared" si="15"/>
        <v/>
      </c>
      <c r="G378" t="str">
        <f ca="1">IFERROR(_xludf.XLOOKUP(F378,Lists!$A:$A,Lists!$B:$B,"",0),"")</f>
        <v/>
      </c>
      <c r="S378" t="str">
        <f t="shared" si="16"/>
        <v/>
      </c>
      <c r="AQ378" t="str">
        <f t="shared" si="17"/>
        <v/>
      </c>
      <c r="AX378" t="str">
        <f ca="1">IFERROR(_xludf.XLOOKUP($T378&amp;"|Fe",ASSAY_KEYS,ASSAY_VALUES,""),"")</f>
        <v/>
      </c>
      <c r="AY378" t="str">
        <f ca="1">IFERROR(_xludf.XLOOKUP($T378&amp;"|SiO2",ASSAY_KEYS,ASSAY_VALUES,""),"")</f>
        <v/>
      </c>
      <c r="AZ378" t="str">
        <f ca="1">IFERROR(_xludf.XLOOKUP($T378&amp;"|Al2O3",ASSAY_KEYS,ASSAY_VALUES,""),"")</f>
        <v/>
      </c>
      <c r="BA378" t="str">
        <f ca="1">IFERROR(_xludf.XLOOKUP($T378&amp;"|P",ASSAY_KEYS,ASSAY_VALUES,""),"")</f>
        <v/>
      </c>
      <c r="BB378" t="str">
        <f ca="1">IFERROR(_xludf.XLOOKUP($T378&amp;"|S",ASSAY_KEYS,ASSAY_VALUES,""),"")</f>
        <v/>
      </c>
      <c r="BC378" t="str">
        <f ca="1">IFERROR(_xludf.XLOOKUP($T378&amp;"|LOI",ASSAY_KEYS,ASSAY_VALUES,""),"")</f>
        <v/>
      </c>
    </row>
    <row r="379" spans="5:55" x14ac:dyDescent="0.25">
      <c r="E379" t="str">
        <f t="shared" si="15"/>
        <v/>
      </c>
      <c r="G379" t="str">
        <f ca="1">IFERROR(_xludf.XLOOKUP(F379,Lists!$A:$A,Lists!$B:$B,"",0),"")</f>
        <v/>
      </c>
      <c r="S379" t="str">
        <f t="shared" si="16"/>
        <v/>
      </c>
      <c r="AQ379" t="str">
        <f t="shared" si="17"/>
        <v/>
      </c>
      <c r="AX379" t="str">
        <f ca="1">IFERROR(_xludf.XLOOKUP($T379&amp;"|Fe",ASSAY_KEYS,ASSAY_VALUES,""),"")</f>
        <v/>
      </c>
      <c r="AY379" t="str">
        <f ca="1">IFERROR(_xludf.XLOOKUP($T379&amp;"|SiO2",ASSAY_KEYS,ASSAY_VALUES,""),"")</f>
        <v/>
      </c>
      <c r="AZ379" t="str">
        <f ca="1">IFERROR(_xludf.XLOOKUP($T379&amp;"|Al2O3",ASSAY_KEYS,ASSAY_VALUES,""),"")</f>
        <v/>
      </c>
      <c r="BA379" t="str">
        <f ca="1">IFERROR(_xludf.XLOOKUP($T379&amp;"|P",ASSAY_KEYS,ASSAY_VALUES,""),"")</f>
        <v/>
      </c>
      <c r="BB379" t="str">
        <f ca="1">IFERROR(_xludf.XLOOKUP($T379&amp;"|S",ASSAY_KEYS,ASSAY_VALUES,""),"")</f>
        <v/>
      </c>
      <c r="BC379" t="str">
        <f ca="1">IFERROR(_xludf.XLOOKUP($T379&amp;"|LOI",ASSAY_KEYS,ASSAY_VALUES,""),"")</f>
        <v/>
      </c>
    </row>
    <row r="380" spans="5:55" x14ac:dyDescent="0.25">
      <c r="E380" t="str">
        <f t="shared" si="15"/>
        <v/>
      </c>
      <c r="G380" t="str">
        <f ca="1">IFERROR(_xludf.XLOOKUP(F380,Lists!$A:$A,Lists!$B:$B,"",0),"")</f>
        <v/>
      </c>
      <c r="S380" t="str">
        <f t="shared" si="16"/>
        <v/>
      </c>
      <c r="AQ380" t="str">
        <f t="shared" si="17"/>
        <v/>
      </c>
      <c r="AX380" t="str">
        <f ca="1">IFERROR(_xludf.XLOOKUP($T380&amp;"|Fe",ASSAY_KEYS,ASSAY_VALUES,""),"")</f>
        <v/>
      </c>
      <c r="AY380" t="str">
        <f ca="1">IFERROR(_xludf.XLOOKUP($T380&amp;"|SiO2",ASSAY_KEYS,ASSAY_VALUES,""),"")</f>
        <v/>
      </c>
      <c r="AZ380" t="str">
        <f ca="1">IFERROR(_xludf.XLOOKUP($T380&amp;"|Al2O3",ASSAY_KEYS,ASSAY_VALUES,""),"")</f>
        <v/>
      </c>
      <c r="BA380" t="str">
        <f ca="1">IFERROR(_xludf.XLOOKUP($T380&amp;"|P",ASSAY_KEYS,ASSAY_VALUES,""),"")</f>
        <v/>
      </c>
      <c r="BB380" t="str">
        <f ca="1">IFERROR(_xludf.XLOOKUP($T380&amp;"|S",ASSAY_KEYS,ASSAY_VALUES,""),"")</f>
        <v/>
      </c>
      <c r="BC380" t="str">
        <f ca="1">IFERROR(_xludf.XLOOKUP($T380&amp;"|LOI",ASSAY_KEYS,ASSAY_VALUES,""),"")</f>
        <v/>
      </c>
    </row>
    <row r="381" spans="5:55" x14ac:dyDescent="0.25">
      <c r="E381" t="str">
        <f t="shared" si="15"/>
        <v/>
      </c>
      <c r="G381" t="str">
        <f ca="1">IFERROR(_xludf.XLOOKUP(F381,Lists!$A:$A,Lists!$B:$B,"",0),"")</f>
        <v/>
      </c>
      <c r="S381" t="str">
        <f t="shared" si="16"/>
        <v/>
      </c>
      <c r="AQ381" t="str">
        <f t="shared" si="17"/>
        <v/>
      </c>
      <c r="AX381" t="str">
        <f ca="1">IFERROR(_xludf.XLOOKUP($T381&amp;"|Fe",ASSAY_KEYS,ASSAY_VALUES,""),"")</f>
        <v/>
      </c>
      <c r="AY381" t="str">
        <f ca="1">IFERROR(_xludf.XLOOKUP($T381&amp;"|SiO2",ASSAY_KEYS,ASSAY_VALUES,""),"")</f>
        <v/>
      </c>
      <c r="AZ381" t="str">
        <f ca="1">IFERROR(_xludf.XLOOKUP($T381&amp;"|Al2O3",ASSAY_KEYS,ASSAY_VALUES,""),"")</f>
        <v/>
      </c>
      <c r="BA381" t="str">
        <f ca="1">IFERROR(_xludf.XLOOKUP($T381&amp;"|P",ASSAY_KEYS,ASSAY_VALUES,""),"")</f>
        <v/>
      </c>
      <c r="BB381" t="str">
        <f ca="1">IFERROR(_xludf.XLOOKUP($T381&amp;"|S",ASSAY_KEYS,ASSAY_VALUES,""),"")</f>
        <v/>
      </c>
      <c r="BC381" t="str">
        <f ca="1">IFERROR(_xludf.XLOOKUP($T381&amp;"|LOI",ASSAY_KEYS,ASSAY_VALUES,""),"")</f>
        <v/>
      </c>
    </row>
    <row r="382" spans="5:55" x14ac:dyDescent="0.25">
      <c r="E382" t="str">
        <f t="shared" si="15"/>
        <v/>
      </c>
      <c r="G382" t="str">
        <f ca="1">IFERROR(_xludf.XLOOKUP(F382,Lists!$A:$A,Lists!$B:$B,"",0),"")</f>
        <v/>
      </c>
      <c r="S382" t="str">
        <f t="shared" si="16"/>
        <v/>
      </c>
      <c r="AQ382" t="str">
        <f t="shared" si="17"/>
        <v/>
      </c>
      <c r="AX382" t="str">
        <f ca="1">IFERROR(_xludf.XLOOKUP($T382&amp;"|Fe",ASSAY_KEYS,ASSAY_VALUES,""),"")</f>
        <v/>
      </c>
      <c r="AY382" t="str">
        <f ca="1">IFERROR(_xludf.XLOOKUP($T382&amp;"|SiO2",ASSAY_KEYS,ASSAY_VALUES,""),"")</f>
        <v/>
      </c>
      <c r="AZ382" t="str">
        <f ca="1">IFERROR(_xludf.XLOOKUP($T382&amp;"|Al2O3",ASSAY_KEYS,ASSAY_VALUES,""),"")</f>
        <v/>
      </c>
      <c r="BA382" t="str">
        <f ca="1">IFERROR(_xludf.XLOOKUP($T382&amp;"|P",ASSAY_KEYS,ASSAY_VALUES,""),"")</f>
        <v/>
      </c>
      <c r="BB382" t="str">
        <f ca="1">IFERROR(_xludf.XLOOKUP($T382&amp;"|S",ASSAY_KEYS,ASSAY_VALUES,""),"")</f>
        <v/>
      </c>
      <c r="BC382" t="str">
        <f ca="1">IFERROR(_xludf.XLOOKUP($T382&amp;"|LOI",ASSAY_KEYS,ASSAY_VALUES,""),"")</f>
        <v/>
      </c>
    </row>
    <row r="383" spans="5:55" x14ac:dyDescent="0.25">
      <c r="E383" t="str">
        <f t="shared" si="15"/>
        <v/>
      </c>
      <c r="G383" t="str">
        <f ca="1">IFERROR(_xludf.XLOOKUP(F383,Lists!$A:$A,Lists!$B:$B,"",0),"")</f>
        <v/>
      </c>
      <c r="S383" t="str">
        <f t="shared" si="16"/>
        <v/>
      </c>
      <c r="AQ383" t="str">
        <f t="shared" si="17"/>
        <v/>
      </c>
      <c r="AX383" t="str">
        <f ca="1">IFERROR(_xludf.XLOOKUP($T383&amp;"|Fe",ASSAY_KEYS,ASSAY_VALUES,""),"")</f>
        <v/>
      </c>
      <c r="AY383" t="str">
        <f ca="1">IFERROR(_xludf.XLOOKUP($T383&amp;"|SiO2",ASSAY_KEYS,ASSAY_VALUES,""),"")</f>
        <v/>
      </c>
      <c r="AZ383" t="str">
        <f ca="1">IFERROR(_xludf.XLOOKUP($T383&amp;"|Al2O3",ASSAY_KEYS,ASSAY_VALUES,""),"")</f>
        <v/>
      </c>
      <c r="BA383" t="str">
        <f ca="1">IFERROR(_xludf.XLOOKUP($T383&amp;"|P",ASSAY_KEYS,ASSAY_VALUES,""),"")</f>
        <v/>
      </c>
      <c r="BB383" t="str">
        <f ca="1">IFERROR(_xludf.XLOOKUP($T383&amp;"|S",ASSAY_KEYS,ASSAY_VALUES,""),"")</f>
        <v/>
      </c>
      <c r="BC383" t="str">
        <f ca="1">IFERROR(_xludf.XLOOKUP($T383&amp;"|LOI",ASSAY_KEYS,ASSAY_VALUES,""),"")</f>
        <v/>
      </c>
    </row>
    <row r="384" spans="5:55" x14ac:dyDescent="0.25">
      <c r="E384" t="str">
        <f t="shared" si="15"/>
        <v/>
      </c>
      <c r="G384" t="str">
        <f ca="1">IFERROR(_xludf.XLOOKUP(F384,Lists!$A:$A,Lists!$B:$B,"",0),"")</f>
        <v/>
      </c>
      <c r="S384" t="str">
        <f t="shared" si="16"/>
        <v/>
      </c>
      <c r="AQ384" t="str">
        <f t="shared" si="17"/>
        <v/>
      </c>
      <c r="AX384" t="str">
        <f ca="1">IFERROR(_xludf.XLOOKUP($T384&amp;"|Fe",ASSAY_KEYS,ASSAY_VALUES,""),"")</f>
        <v/>
      </c>
      <c r="AY384" t="str">
        <f ca="1">IFERROR(_xludf.XLOOKUP($T384&amp;"|SiO2",ASSAY_KEYS,ASSAY_VALUES,""),"")</f>
        <v/>
      </c>
      <c r="AZ384" t="str">
        <f ca="1">IFERROR(_xludf.XLOOKUP($T384&amp;"|Al2O3",ASSAY_KEYS,ASSAY_VALUES,""),"")</f>
        <v/>
      </c>
      <c r="BA384" t="str">
        <f ca="1">IFERROR(_xludf.XLOOKUP($T384&amp;"|P",ASSAY_KEYS,ASSAY_VALUES,""),"")</f>
        <v/>
      </c>
      <c r="BB384" t="str">
        <f ca="1">IFERROR(_xludf.XLOOKUP($T384&amp;"|S",ASSAY_KEYS,ASSAY_VALUES,""),"")</f>
        <v/>
      </c>
      <c r="BC384" t="str">
        <f ca="1">IFERROR(_xludf.XLOOKUP($T384&amp;"|LOI",ASSAY_KEYS,ASSAY_VALUES,""),"")</f>
        <v/>
      </c>
    </row>
    <row r="385" spans="5:55" x14ac:dyDescent="0.25">
      <c r="E385" t="str">
        <f t="shared" si="15"/>
        <v/>
      </c>
      <c r="G385" t="str">
        <f ca="1">IFERROR(_xludf.XLOOKUP(F385,Lists!$A:$A,Lists!$B:$B,"",0),"")</f>
        <v/>
      </c>
      <c r="S385" t="str">
        <f t="shared" si="16"/>
        <v/>
      </c>
      <c r="AQ385" t="str">
        <f t="shared" si="17"/>
        <v/>
      </c>
      <c r="AX385" t="str">
        <f ca="1">IFERROR(_xludf.XLOOKUP($T385&amp;"|Fe",ASSAY_KEYS,ASSAY_VALUES,""),"")</f>
        <v/>
      </c>
      <c r="AY385" t="str">
        <f ca="1">IFERROR(_xludf.XLOOKUP($T385&amp;"|SiO2",ASSAY_KEYS,ASSAY_VALUES,""),"")</f>
        <v/>
      </c>
      <c r="AZ385" t="str">
        <f ca="1">IFERROR(_xludf.XLOOKUP($T385&amp;"|Al2O3",ASSAY_KEYS,ASSAY_VALUES,""),"")</f>
        <v/>
      </c>
      <c r="BA385" t="str">
        <f ca="1">IFERROR(_xludf.XLOOKUP($T385&amp;"|P",ASSAY_KEYS,ASSAY_VALUES,""),"")</f>
        <v/>
      </c>
      <c r="BB385" t="str">
        <f ca="1">IFERROR(_xludf.XLOOKUP($T385&amp;"|S",ASSAY_KEYS,ASSAY_VALUES,""),"")</f>
        <v/>
      </c>
      <c r="BC385" t="str">
        <f ca="1">IFERROR(_xludf.XLOOKUP($T385&amp;"|LOI",ASSAY_KEYS,ASSAY_VALUES,""),"")</f>
        <v/>
      </c>
    </row>
    <row r="386" spans="5:55" x14ac:dyDescent="0.25">
      <c r="E386" t="str">
        <f t="shared" ref="E386:E401" si="18">IF(AND(C386&lt;&gt;"",D386&lt;&gt;""),D386-C386,"")</f>
        <v/>
      </c>
      <c r="G386" t="str">
        <f ca="1">IFERROR(_xludf.XLOOKUP(F386,Lists!$A:$A,Lists!$B:$B,"",0),"")</f>
        <v/>
      </c>
      <c r="S386" t="str">
        <f t="shared" ref="S386:S401" si="19">IF(COUNTA(N386:P386)=3,N386+O386+P386,"")</f>
        <v/>
      </c>
      <c r="AQ386" t="str">
        <f t="shared" ref="AQ386:AQ401" si="20">IF(AND(AN386&lt;&gt;"",AO386&lt;&gt;"",AP386&lt;&gt;""),AP386/(AO386-AN386)*100,"")</f>
        <v/>
      </c>
      <c r="AX386" t="str">
        <f ca="1">IFERROR(_xludf.XLOOKUP($T386&amp;"|Fe",ASSAY_KEYS,ASSAY_VALUES,""),"")</f>
        <v/>
      </c>
      <c r="AY386" t="str">
        <f ca="1">IFERROR(_xludf.XLOOKUP($T386&amp;"|SiO2",ASSAY_KEYS,ASSAY_VALUES,""),"")</f>
        <v/>
      </c>
      <c r="AZ386" t="str">
        <f ca="1">IFERROR(_xludf.XLOOKUP($T386&amp;"|Al2O3",ASSAY_KEYS,ASSAY_VALUES,""),"")</f>
        <v/>
      </c>
      <c r="BA386" t="str">
        <f ca="1">IFERROR(_xludf.XLOOKUP($T386&amp;"|P",ASSAY_KEYS,ASSAY_VALUES,""),"")</f>
        <v/>
      </c>
      <c r="BB386" t="str">
        <f ca="1">IFERROR(_xludf.XLOOKUP($T386&amp;"|S",ASSAY_KEYS,ASSAY_VALUES,""),"")</f>
        <v/>
      </c>
      <c r="BC386" t="str">
        <f ca="1">IFERROR(_xludf.XLOOKUP($T386&amp;"|LOI",ASSAY_KEYS,ASSAY_VALUES,""),"")</f>
        <v/>
      </c>
    </row>
    <row r="387" spans="5:55" x14ac:dyDescent="0.25">
      <c r="E387" t="str">
        <f t="shared" si="18"/>
        <v/>
      </c>
      <c r="G387" t="str">
        <f ca="1">IFERROR(_xludf.XLOOKUP(F387,Lists!$A:$A,Lists!$B:$B,"",0),"")</f>
        <v/>
      </c>
      <c r="S387" t="str">
        <f t="shared" si="19"/>
        <v/>
      </c>
      <c r="AQ387" t="str">
        <f t="shared" si="20"/>
        <v/>
      </c>
      <c r="AX387" t="str">
        <f ca="1">IFERROR(_xludf.XLOOKUP($T387&amp;"|Fe",ASSAY_KEYS,ASSAY_VALUES,""),"")</f>
        <v/>
      </c>
      <c r="AY387" t="str">
        <f ca="1">IFERROR(_xludf.XLOOKUP($T387&amp;"|SiO2",ASSAY_KEYS,ASSAY_VALUES,""),"")</f>
        <v/>
      </c>
      <c r="AZ387" t="str">
        <f ca="1">IFERROR(_xludf.XLOOKUP($T387&amp;"|Al2O3",ASSAY_KEYS,ASSAY_VALUES,""),"")</f>
        <v/>
      </c>
      <c r="BA387" t="str">
        <f ca="1">IFERROR(_xludf.XLOOKUP($T387&amp;"|P",ASSAY_KEYS,ASSAY_VALUES,""),"")</f>
        <v/>
      </c>
      <c r="BB387" t="str">
        <f ca="1">IFERROR(_xludf.XLOOKUP($T387&amp;"|S",ASSAY_KEYS,ASSAY_VALUES,""),"")</f>
        <v/>
      </c>
      <c r="BC387" t="str">
        <f ca="1">IFERROR(_xludf.XLOOKUP($T387&amp;"|LOI",ASSAY_KEYS,ASSAY_VALUES,""),"")</f>
        <v/>
      </c>
    </row>
    <row r="388" spans="5:55" x14ac:dyDescent="0.25">
      <c r="E388" t="str">
        <f t="shared" si="18"/>
        <v/>
      </c>
      <c r="G388" t="str">
        <f ca="1">IFERROR(_xludf.XLOOKUP(F388,Lists!$A:$A,Lists!$B:$B,"",0),"")</f>
        <v/>
      </c>
      <c r="S388" t="str">
        <f t="shared" si="19"/>
        <v/>
      </c>
      <c r="AQ388" t="str">
        <f t="shared" si="20"/>
        <v/>
      </c>
      <c r="AX388" t="str">
        <f ca="1">IFERROR(_xludf.XLOOKUP($T388&amp;"|Fe",ASSAY_KEYS,ASSAY_VALUES,""),"")</f>
        <v/>
      </c>
      <c r="AY388" t="str">
        <f ca="1">IFERROR(_xludf.XLOOKUP($T388&amp;"|SiO2",ASSAY_KEYS,ASSAY_VALUES,""),"")</f>
        <v/>
      </c>
      <c r="AZ388" t="str">
        <f ca="1">IFERROR(_xludf.XLOOKUP($T388&amp;"|Al2O3",ASSAY_KEYS,ASSAY_VALUES,""),"")</f>
        <v/>
      </c>
      <c r="BA388" t="str">
        <f ca="1">IFERROR(_xludf.XLOOKUP($T388&amp;"|P",ASSAY_KEYS,ASSAY_VALUES,""),"")</f>
        <v/>
      </c>
      <c r="BB388" t="str">
        <f ca="1">IFERROR(_xludf.XLOOKUP($T388&amp;"|S",ASSAY_KEYS,ASSAY_VALUES,""),"")</f>
        <v/>
      </c>
      <c r="BC388" t="str">
        <f ca="1">IFERROR(_xludf.XLOOKUP($T388&amp;"|LOI",ASSAY_KEYS,ASSAY_VALUES,""),"")</f>
        <v/>
      </c>
    </row>
    <row r="389" spans="5:55" x14ac:dyDescent="0.25">
      <c r="E389" t="str">
        <f t="shared" si="18"/>
        <v/>
      </c>
      <c r="G389" t="str">
        <f ca="1">IFERROR(_xludf.XLOOKUP(F389,Lists!$A:$A,Lists!$B:$B,"",0),"")</f>
        <v/>
      </c>
      <c r="S389" t="str">
        <f t="shared" si="19"/>
        <v/>
      </c>
      <c r="AQ389" t="str">
        <f t="shared" si="20"/>
        <v/>
      </c>
      <c r="AX389" t="str">
        <f ca="1">IFERROR(_xludf.XLOOKUP($T389&amp;"|Fe",ASSAY_KEYS,ASSAY_VALUES,""),"")</f>
        <v/>
      </c>
      <c r="AY389" t="str">
        <f ca="1">IFERROR(_xludf.XLOOKUP($T389&amp;"|SiO2",ASSAY_KEYS,ASSAY_VALUES,""),"")</f>
        <v/>
      </c>
      <c r="AZ389" t="str">
        <f ca="1">IFERROR(_xludf.XLOOKUP($T389&amp;"|Al2O3",ASSAY_KEYS,ASSAY_VALUES,""),"")</f>
        <v/>
      </c>
      <c r="BA389" t="str">
        <f ca="1">IFERROR(_xludf.XLOOKUP($T389&amp;"|P",ASSAY_KEYS,ASSAY_VALUES,""),"")</f>
        <v/>
      </c>
      <c r="BB389" t="str">
        <f ca="1">IFERROR(_xludf.XLOOKUP($T389&amp;"|S",ASSAY_KEYS,ASSAY_VALUES,""),"")</f>
        <v/>
      </c>
      <c r="BC389" t="str">
        <f ca="1">IFERROR(_xludf.XLOOKUP($T389&amp;"|LOI",ASSAY_KEYS,ASSAY_VALUES,""),"")</f>
        <v/>
      </c>
    </row>
    <row r="390" spans="5:55" x14ac:dyDescent="0.25">
      <c r="E390" t="str">
        <f t="shared" si="18"/>
        <v/>
      </c>
      <c r="G390" t="str">
        <f ca="1">IFERROR(_xludf.XLOOKUP(F390,Lists!$A:$A,Lists!$B:$B,"",0),"")</f>
        <v/>
      </c>
      <c r="S390" t="str">
        <f t="shared" si="19"/>
        <v/>
      </c>
      <c r="AQ390" t="str">
        <f t="shared" si="20"/>
        <v/>
      </c>
      <c r="AX390" t="str">
        <f ca="1">IFERROR(_xludf.XLOOKUP($T390&amp;"|Fe",ASSAY_KEYS,ASSAY_VALUES,""),"")</f>
        <v/>
      </c>
      <c r="AY390" t="str">
        <f ca="1">IFERROR(_xludf.XLOOKUP($T390&amp;"|SiO2",ASSAY_KEYS,ASSAY_VALUES,""),"")</f>
        <v/>
      </c>
      <c r="AZ390" t="str">
        <f ca="1">IFERROR(_xludf.XLOOKUP($T390&amp;"|Al2O3",ASSAY_KEYS,ASSAY_VALUES,""),"")</f>
        <v/>
      </c>
      <c r="BA390" t="str">
        <f ca="1">IFERROR(_xludf.XLOOKUP($T390&amp;"|P",ASSAY_KEYS,ASSAY_VALUES,""),"")</f>
        <v/>
      </c>
      <c r="BB390" t="str">
        <f ca="1">IFERROR(_xludf.XLOOKUP($T390&amp;"|S",ASSAY_KEYS,ASSAY_VALUES,""),"")</f>
        <v/>
      </c>
      <c r="BC390" t="str">
        <f ca="1">IFERROR(_xludf.XLOOKUP($T390&amp;"|LOI",ASSAY_KEYS,ASSAY_VALUES,""),"")</f>
        <v/>
      </c>
    </row>
    <row r="391" spans="5:55" x14ac:dyDescent="0.25">
      <c r="E391" t="str">
        <f t="shared" si="18"/>
        <v/>
      </c>
      <c r="G391" t="str">
        <f ca="1">IFERROR(_xludf.XLOOKUP(F391,Lists!$A:$A,Lists!$B:$B,"",0),"")</f>
        <v/>
      </c>
      <c r="S391" t="str">
        <f t="shared" si="19"/>
        <v/>
      </c>
      <c r="AQ391" t="str">
        <f t="shared" si="20"/>
        <v/>
      </c>
      <c r="AX391" t="str">
        <f ca="1">IFERROR(_xludf.XLOOKUP($T391&amp;"|Fe",ASSAY_KEYS,ASSAY_VALUES,""),"")</f>
        <v/>
      </c>
      <c r="AY391" t="str">
        <f ca="1">IFERROR(_xludf.XLOOKUP($T391&amp;"|SiO2",ASSAY_KEYS,ASSAY_VALUES,""),"")</f>
        <v/>
      </c>
      <c r="AZ391" t="str">
        <f ca="1">IFERROR(_xludf.XLOOKUP($T391&amp;"|Al2O3",ASSAY_KEYS,ASSAY_VALUES,""),"")</f>
        <v/>
      </c>
      <c r="BA391" t="str">
        <f ca="1">IFERROR(_xludf.XLOOKUP($T391&amp;"|P",ASSAY_KEYS,ASSAY_VALUES,""),"")</f>
        <v/>
      </c>
      <c r="BB391" t="str">
        <f ca="1">IFERROR(_xludf.XLOOKUP($T391&amp;"|S",ASSAY_KEYS,ASSAY_VALUES,""),"")</f>
        <v/>
      </c>
      <c r="BC391" t="str">
        <f ca="1">IFERROR(_xludf.XLOOKUP($T391&amp;"|LOI",ASSAY_KEYS,ASSAY_VALUES,""),"")</f>
        <v/>
      </c>
    </row>
    <row r="392" spans="5:55" x14ac:dyDescent="0.25">
      <c r="E392" t="str">
        <f t="shared" si="18"/>
        <v/>
      </c>
      <c r="G392" t="str">
        <f ca="1">IFERROR(_xludf.XLOOKUP(F392,Lists!$A:$A,Lists!$B:$B,"",0),"")</f>
        <v/>
      </c>
      <c r="S392" t="str">
        <f t="shared" si="19"/>
        <v/>
      </c>
      <c r="AQ392" t="str">
        <f t="shared" si="20"/>
        <v/>
      </c>
      <c r="AX392" t="str">
        <f ca="1">IFERROR(_xludf.XLOOKUP($T392&amp;"|Fe",ASSAY_KEYS,ASSAY_VALUES,""),"")</f>
        <v/>
      </c>
      <c r="AY392" t="str">
        <f ca="1">IFERROR(_xludf.XLOOKUP($T392&amp;"|SiO2",ASSAY_KEYS,ASSAY_VALUES,""),"")</f>
        <v/>
      </c>
      <c r="AZ392" t="str">
        <f ca="1">IFERROR(_xludf.XLOOKUP($T392&amp;"|Al2O3",ASSAY_KEYS,ASSAY_VALUES,""),"")</f>
        <v/>
      </c>
      <c r="BA392" t="str">
        <f ca="1">IFERROR(_xludf.XLOOKUP($T392&amp;"|P",ASSAY_KEYS,ASSAY_VALUES,""),"")</f>
        <v/>
      </c>
      <c r="BB392" t="str">
        <f ca="1">IFERROR(_xludf.XLOOKUP($T392&amp;"|S",ASSAY_KEYS,ASSAY_VALUES,""),"")</f>
        <v/>
      </c>
      <c r="BC392" t="str">
        <f ca="1">IFERROR(_xludf.XLOOKUP($T392&amp;"|LOI",ASSAY_KEYS,ASSAY_VALUES,""),"")</f>
        <v/>
      </c>
    </row>
    <row r="393" spans="5:55" x14ac:dyDescent="0.25">
      <c r="E393" t="str">
        <f t="shared" si="18"/>
        <v/>
      </c>
      <c r="G393" t="str">
        <f ca="1">IFERROR(_xludf.XLOOKUP(F393,Lists!$A:$A,Lists!$B:$B,"",0),"")</f>
        <v/>
      </c>
      <c r="S393" t="str">
        <f t="shared" si="19"/>
        <v/>
      </c>
      <c r="AQ393" t="str">
        <f t="shared" si="20"/>
        <v/>
      </c>
      <c r="AX393" t="str">
        <f ca="1">IFERROR(_xludf.XLOOKUP($T393&amp;"|Fe",ASSAY_KEYS,ASSAY_VALUES,""),"")</f>
        <v/>
      </c>
      <c r="AY393" t="str">
        <f ca="1">IFERROR(_xludf.XLOOKUP($T393&amp;"|SiO2",ASSAY_KEYS,ASSAY_VALUES,""),"")</f>
        <v/>
      </c>
      <c r="AZ393" t="str">
        <f ca="1">IFERROR(_xludf.XLOOKUP($T393&amp;"|Al2O3",ASSAY_KEYS,ASSAY_VALUES,""),"")</f>
        <v/>
      </c>
      <c r="BA393" t="str">
        <f ca="1">IFERROR(_xludf.XLOOKUP($T393&amp;"|P",ASSAY_KEYS,ASSAY_VALUES,""),"")</f>
        <v/>
      </c>
      <c r="BB393" t="str">
        <f ca="1">IFERROR(_xludf.XLOOKUP($T393&amp;"|S",ASSAY_KEYS,ASSAY_VALUES,""),"")</f>
        <v/>
      </c>
      <c r="BC393" t="str">
        <f ca="1">IFERROR(_xludf.XLOOKUP($T393&amp;"|LOI",ASSAY_KEYS,ASSAY_VALUES,""),"")</f>
        <v/>
      </c>
    </row>
    <row r="394" spans="5:55" x14ac:dyDescent="0.25">
      <c r="E394" t="str">
        <f t="shared" si="18"/>
        <v/>
      </c>
      <c r="G394" t="str">
        <f ca="1">IFERROR(_xludf.XLOOKUP(F394,Lists!$A:$A,Lists!$B:$B,"",0),"")</f>
        <v/>
      </c>
      <c r="S394" t="str">
        <f t="shared" si="19"/>
        <v/>
      </c>
      <c r="AQ394" t="str">
        <f t="shared" si="20"/>
        <v/>
      </c>
      <c r="AX394" t="str">
        <f ca="1">IFERROR(_xludf.XLOOKUP($T394&amp;"|Fe",ASSAY_KEYS,ASSAY_VALUES,""),"")</f>
        <v/>
      </c>
      <c r="AY394" t="str">
        <f ca="1">IFERROR(_xludf.XLOOKUP($T394&amp;"|SiO2",ASSAY_KEYS,ASSAY_VALUES,""),"")</f>
        <v/>
      </c>
      <c r="AZ394" t="str">
        <f ca="1">IFERROR(_xludf.XLOOKUP($T394&amp;"|Al2O3",ASSAY_KEYS,ASSAY_VALUES,""),"")</f>
        <v/>
      </c>
      <c r="BA394" t="str">
        <f ca="1">IFERROR(_xludf.XLOOKUP($T394&amp;"|P",ASSAY_KEYS,ASSAY_VALUES,""),"")</f>
        <v/>
      </c>
      <c r="BB394" t="str">
        <f ca="1">IFERROR(_xludf.XLOOKUP($T394&amp;"|S",ASSAY_KEYS,ASSAY_VALUES,""),"")</f>
        <v/>
      </c>
      <c r="BC394" t="str">
        <f ca="1">IFERROR(_xludf.XLOOKUP($T394&amp;"|LOI",ASSAY_KEYS,ASSAY_VALUES,""),"")</f>
        <v/>
      </c>
    </row>
    <row r="395" spans="5:55" x14ac:dyDescent="0.25">
      <c r="E395" t="str">
        <f t="shared" si="18"/>
        <v/>
      </c>
      <c r="G395" t="str">
        <f ca="1">IFERROR(_xludf.XLOOKUP(F395,Lists!$A:$A,Lists!$B:$B,"",0),"")</f>
        <v/>
      </c>
      <c r="S395" t="str">
        <f t="shared" si="19"/>
        <v/>
      </c>
      <c r="AQ395" t="str">
        <f t="shared" si="20"/>
        <v/>
      </c>
      <c r="AX395" t="str">
        <f ca="1">IFERROR(_xludf.XLOOKUP($T395&amp;"|Fe",ASSAY_KEYS,ASSAY_VALUES,""),"")</f>
        <v/>
      </c>
      <c r="AY395" t="str">
        <f ca="1">IFERROR(_xludf.XLOOKUP($T395&amp;"|SiO2",ASSAY_KEYS,ASSAY_VALUES,""),"")</f>
        <v/>
      </c>
      <c r="AZ395" t="str">
        <f ca="1">IFERROR(_xludf.XLOOKUP($T395&amp;"|Al2O3",ASSAY_KEYS,ASSAY_VALUES,""),"")</f>
        <v/>
      </c>
      <c r="BA395" t="str">
        <f ca="1">IFERROR(_xludf.XLOOKUP($T395&amp;"|P",ASSAY_KEYS,ASSAY_VALUES,""),"")</f>
        <v/>
      </c>
      <c r="BB395" t="str">
        <f ca="1">IFERROR(_xludf.XLOOKUP($T395&amp;"|S",ASSAY_KEYS,ASSAY_VALUES,""),"")</f>
        <v/>
      </c>
      <c r="BC395" t="str">
        <f ca="1">IFERROR(_xludf.XLOOKUP($T395&amp;"|LOI",ASSAY_KEYS,ASSAY_VALUES,""),"")</f>
        <v/>
      </c>
    </row>
    <row r="396" spans="5:55" x14ac:dyDescent="0.25">
      <c r="E396" t="str">
        <f t="shared" si="18"/>
        <v/>
      </c>
      <c r="G396" t="str">
        <f ca="1">IFERROR(_xludf.XLOOKUP(F396,Lists!$A:$A,Lists!$B:$B,"",0),"")</f>
        <v/>
      </c>
      <c r="S396" t="str">
        <f t="shared" si="19"/>
        <v/>
      </c>
      <c r="AQ396" t="str">
        <f t="shared" si="20"/>
        <v/>
      </c>
      <c r="AX396" t="str">
        <f ca="1">IFERROR(_xludf.XLOOKUP($T396&amp;"|Fe",ASSAY_KEYS,ASSAY_VALUES,""),"")</f>
        <v/>
      </c>
      <c r="AY396" t="str">
        <f ca="1">IFERROR(_xludf.XLOOKUP($T396&amp;"|SiO2",ASSAY_KEYS,ASSAY_VALUES,""),"")</f>
        <v/>
      </c>
      <c r="AZ396" t="str">
        <f ca="1">IFERROR(_xludf.XLOOKUP($T396&amp;"|Al2O3",ASSAY_KEYS,ASSAY_VALUES,""),"")</f>
        <v/>
      </c>
      <c r="BA396" t="str">
        <f ca="1">IFERROR(_xludf.XLOOKUP($T396&amp;"|P",ASSAY_KEYS,ASSAY_VALUES,""),"")</f>
        <v/>
      </c>
      <c r="BB396" t="str">
        <f ca="1">IFERROR(_xludf.XLOOKUP($T396&amp;"|S",ASSAY_KEYS,ASSAY_VALUES,""),"")</f>
        <v/>
      </c>
      <c r="BC396" t="str">
        <f ca="1">IFERROR(_xludf.XLOOKUP($T396&amp;"|LOI",ASSAY_KEYS,ASSAY_VALUES,""),"")</f>
        <v/>
      </c>
    </row>
    <row r="397" spans="5:55" x14ac:dyDescent="0.25">
      <c r="E397" t="str">
        <f t="shared" si="18"/>
        <v/>
      </c>
      <c r="G397" t="str">
        <f ca="1">IFERROR(_xludf.XLOOKUP(F397,Lists!$A:$A,Lists!$B:$B,"",0),"")</f>
        <v/>
      </c>
      <c r="S397" t="str">
        <f t="shared" si="19"/>
        <v/>
      </c>
      <c r="AQ397" t="str">
        <f t="shared" si="20"/>
        <v/>
      </c>
      <c r="AX397" t="str">
        <f ca="1">IFERROR(_xludf.XLOOKUP($T397&amp;"|Fe",ASSAY_KEYS,ASSAY_VALUES,""),"")</f>
        <v/>
      </c>
      <c r="AY397" t="str">
        <f ca="1">IFERROR(_xludf.XLOOKUP($T397&amp;"|SiO2",ASSAY_KEYS,ASSAY_VALUES,""),"")</f>
        <v/>
      </c>
      <c r="AZ397" t="str">
        <f ca="1">IFERROR(_xludf.XLOOKUP($T397&amp;"|Al2O3",ASSAY_KEYS,ASSAY_VALUES,""),"")</f>
        <v/>
      </c>
      <c r="BA397" t="str">
        <f ca="1">IFERROR(_xludf.XLOOKUP($T397&amp;"|P",ASSAY_KEYS,ASSAY_VALUES,""),"")</f>
        <v/>
      </c>
      <c r="BB397" t="str">
        <f ca="1">IFERROR(_xludf.XLOOKUP($T397&amp;"|S",ASSAY_KEYS,ASSAY_VALUES,""),"")</f>
        <v/>
      </c>
      <c r="BC397" t="str">
        <f ca="1">IFERROR(_xludf.XLOOKUP($T397&amp;"|LOI",ASSAY_KEYS,ASSAY_VALUES,""),"")</f>
        <v/>
      </c>
    </row>
    <row r="398" spans="5:55" x14ac:dyDescent="0.25">
      <c r="E398" t="str">
        <f t="shared" si="18"/>
        <v/>
      </c>
      <c r="G398" t="str">
        <f ca="1">IFERROR(_xludf.XLOOKUP(F398,Lists!$A:$A,Lists!$B:$B,"",0),"")</f>
        <v/>
      </c>
      <c r="S398" t="str">
        <f t="shared" si="19"/>
        <v/>
      </c>
      <c r="AQ398" t="str">
        <f t="shared" si="20"/>
        <v/>
      </c>
      <c r="AX398" t="str">
        <f ca="1">IFERROR(_xludf.XLOOKUP($T398&amp;"|Fe",ASSAY_KEYS,ASSAY_VALUES,""),"")</f>
        <v/>
      </c>
      <c r="AY398" t="str">
        <f ca="1">IFERROR(_xludf.XLOOKUP($T398&amp;"|SiO2",ASSAY_KEYS,ASSAY_VALUES,""),"")</f>
        <v/>
      </c>
      <c r="AZ398" t="str">
        <f ca="1">IFERROR(_xludf.XLOOKUP($T398&amp;"|Al2O3",ASSAY_KEYS,ASSAY_VALUES,""),"")</f>
        <v/>
      </c>
      <c r="BA398" t="str">
        <f ca="1">IFERROR(_xludf.XLOOKUP($T398&amp;"|P",ASSAY_KEYS,ASSAY_VALUES,""),"")</f>
        <v/>
      </c>
      <c r="BB398" t="str">
        <f ca="1">IFERROR(_xludf.XLOOKUP($T398&amp;"|S",ASSAY_KEYS,ASSAY_VALUES,""),"")</f>
        <v/>
      </c>
      <c r="BC398" t="str">
        <f ca="1">IFERROR(_xludf.XLOOKUP($T398&amp;"|LOI",ASSAY_KEYS,ASSAY_VALUES,""),"")</f>
        <v/>
      </c>
    </row>
    <row r="399" spans="5:55" x14ac:dyDescent="0.25">
      <c r="E399" t="str">
        <f t="shared" si="18"/>
        <v/>
      </c>
      <c r="G399" t="str">
        <f ca="1">IFERROR(_xludf.XLOOKUP(F399,Lists!$A:$A,Lists!$B:$B,"",0),"")</f>
        <v/>
      </c>
      <c r="S399" t="str">
        <f t="shared" si="19"/>
        <v/>
      </c>
      <c r="AQ399" t="str">
        <f t="shared" si="20"/>
        <v/>
      </c>
      <c r="AX399" t="str">
        <f ca="1">IFERROR(_xludf.XLOOKUP($T399&amp;"|Fe",ASSAY_KEYS,ASSAY_VALUES,""),"")</f>
        <v/>
      </c>
      <c r="AY399" t="str">
        <f ca="1">IFERROR(_xludf.XLOOKUP($T399&amp;"|SiO2",ASSAY_KEYS,ASSAY_VALUES,""),"")</f>
        <v/>
      </c>
      <c r="AZ399" t="str">
        <f ca="1">IFERROR(_xludf.XLOOKUP($T399&amp;"|Al2O3",ASSAY_KEYS,ASSAY_VALUES,""),"")</f>
        <v/>
      </c>
      <c r="BA399" t="str">
        <f ca="1">IFERROR(_xludf.XLOOKUP($T399&amp;"|P",ASSAY_KEYS,ASSAY_VALUES,""),"")</f>
        <v/>
      </c>
      <c r="BB399" t="str">
        <f ca="1">IFERROR(_xludf.XLOOKUP($T399&amp;"|S",ASSAY_KEYS,ASSAY_VALUES,""),"")</f>
        <v/>
      </c>
      <c r="BC399" t="str">
        <f ca="1">IFERROR(_xludf.XLOOKUP($T399&amp;"|LOI",ASSAY_KEYS,ASSAY_VALUES,""),"")</f>
        <v/>
      </c>
    </row>
    <row r="400" spans="5:55" x14ac:dyDescent="0.25">
      <c r="E400" t="str">
        <f t="shared" si="18"/>
        <v/>
      </c>
      <c r="G400" t="str">
        <f ca="1">IFERROR(_xludf.XLOOKUP(F400,Lists!$A:$A,Lists!$B:$B,"",0),"")</f>
        <v/>
      </c>
      <c r="S400" t="str">
        <f t="shared" si="19"/>
        <v/>
      </c>
      <c r="AQ400" t="str">
        <f t="shared" si="20"/>
        <v/>
      </c>
      <c r="AX400" t="str">
        <f ca="1">IFERROR(_xludf.XLOOKUP($T400&amp;"|Fe",ASSAY_KEYS,ASSAY_VALUES,""),"")</f>
        <v/>
      </c>
      <c r="AY400" t="str">
        <f ca="1">IFERROR(_xludf.XLOOKUP($T400&amp;"|SiO2",ASSAY_KEYS,ASSAY_VALUES,""),"")</f>
        <v/>
      </c>
      <c r="AZ400" t="str">
        <f ca="1">IFERROR(_xludf.XLOOKUP($T400&amp;"|Al2O3",ASSAY_KEYS,ASSAY_VALUES,""),"")</f>
        <v/>
      </c>
      <c r="BA400" t="str">
        <f ca="1">IFERROR(_xludf.XLOOKUP($T400&amp;"|P",ASSAY_KEYS,ASSAY_VALUES,""),"")</f>
        <v/>
      </c>
      <c r="BB400" t="str">
        <f ca="1">IFERROR(_xludf.XLOOKUP($T400&amp;"|S",ASSAY_KEYS,ASSAY_VALUES,""),"")</f>
        <v/>
      </c>
      <c r="BC400" t="str">
        <f ca="1">IFERROR(_xludf.XLOOKUP($T400&amp;"|LOI",ASSAY_KEYS,ASSAY_VALUES,""),"")</f>
        <v/>
      </c>
    </row>
    <row r="401" spans="5:55" x14ac:dyDescent="0.25">
      <c r="E401" t="str">
        <f t="shared" si="18"/>
        <v/>
      </c>
      <c r="G401" t="str">
        <f ca="1">IFERROR(_xludf.XLOOKUP(F401,Lists!$A:$A,Lists!$B:$B,"",0),"")</f>
        <v/>
      </c>
      <c r="S401" t="str">
        <f t="shared" si="19"/>
        <v/>
      </c>
      <c r="AQ401" t="str">
        <f t="shared" si="20"/>
        <v/>
      </c>
      <c r="AX401" t="str">
        <f ca="1">IFERROR(_xludf.XLOOKUP($T401&amp;"|Fe",ASSAY_KEYS,ASSAY_VALUES,""),"")</f>
        <v/>
      </c>
      <c r="AY401" t="str">
        <f ca="1">IFERROR(_xludf.XLOOKUP($T401&amp;"|SiO2",ASSAY_KEYS,ASSAY_VALUES,""),"")</f>
        <v/>
      </c>
      <c r="AZ401" t="str">
        <f ca="1">IFERROR(_xludf.XLOOKUP($T401&amp;"|Al2O3",ASSAY_KEYS,ASSAY_VALUES,""),"")</f>
        <v/>
      </c>
      <c r="BA401" t="str">
        <f ca="1">IFERROR(_xludf.XLOOKUP($T401&amp;"|P",ASSAY_KEYS,ASSAY_VALUES,""),"")</f>
        <v/>
      </c>
      <c r="BB401" t="str">
        <f ca="1">IFERROR(_xludf.XLOOKUP($T401&amp;"|S",ASSAY_KEYS,ASSAY_VALUES,""),"")</f>
        <v/>
      </c>
      <c r="BC401" t="str">
        <f ca="1">IFERROR(_xludf.XLOOKUP($T401&amp;"|LOI",ASSAY_KEYS,ASSAY_VALUES,""),"")</f>
        <v/>
      </c>
    </row>
  </sheetData>
  <conditionalFormatting sqref="A2:A401">
    <cfRule type="expression" dxfId="6" priority="4">
      <formula>AND($C2&lt;&gt;"",$D2&lt;&gt;"",LEN($A2)=0)</formula>
    </cfRule>
  </conditionalFormatting>
  <conditionalFormatting sqref="D2:D401">
    <cfRule type="expression" dxfId="5" priority="1">
      <formula>$D2&lt;$C2</formula>
    </cfRule>
  </conditionalFormatting>
  <conditionalFormatting sqref="E2:E401">
    <cfRule type="expression" dxfId="4" priority="2">
      <formula>AND($C2&lt;&gt;"",$D2&lt;&gt;"",$E2&lt;=0)</formula>
    </cfRule>
  </conditionalFormatting>
  <conditionalFormatting sqref="Q2:Q401">
    <cfRule type="expression" dxfId="3" priority="3">
      <formula>SUM($N2:$Q2,$R2)&gt;100</formula>
    </cfRule>
  </conditionalFormatting>
  <dataValidations count="19">
    <dataValidation type="list" allowBlank="1" showDropDown="1" showInputMessage="1" showErrorMessage="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xr:uid="{00000000-0002-0000-0100-000000000000}">
      <formula1>DRILL_TYPES</formula1>
    </dataValidation>
    <dataValidation type="list" allowBlank="1" showDropDown="1" showInputMessage="1" showErrorMessage="1"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xr:uid="{00000000-0002-0000-0100-000001000000}">
      <formula1>LITHOLOGY_CODES</formula1>
    </dataValidation>
    <dataValidation type="list" allowBlank="1" showDropDown="1" showInputMessage="1" showErrorMessage="1"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xr:uid="{00000000-0002-0000-0100-000002000000}">
      <formula1>TEXTURES_CODES</formula1>
    </dataValidation>
    <dataValidation type="list" allowBlank="1" showDropDown="1" showInputMessage="1" showErrorMessage="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xr:uid="{00000000-0002-0000-0100-000003000000}">
      <formula1>GRAIN_SIZES</formula1>
    </dataValidation>
    <dataValidation type="list" allowBlank="1" showDropDown="1" showInputMessage="1" showErrorMessage="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xr:uid="{00000000-0002-0000-0100-000004000000}">
      <formula1>WEATHERING_CODES</formula1>
    </dataValidation>
    <dataValidation type="list" allowBlank="1" showDropDown="1" showInputMessage="1" showErrorMessage="1"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xr:uid="{00000000-0002-0000-0100-000005000000}">
      <formula1>ALTERATION_TYPES</formula1>
    </dataValidation>
    <dataValidation type="list" allowBlank="1" showDropDown="1" showInputMessage="1" showErrorMessage="1"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xr:uid="{00000000-0002-0000-0100-000006000000}">
      <formula1>ALTERATION_INTENSITY</formula1>
    </dataValidation>
    <dataValidation type="list" allowBlank="1" showDropDown="1" showInputMessage="1" showErrorMessage="1"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xr:uid="{00000000-0002-0000-0100-000007000000}">
      <formula1>MINERALIZATION_STYLES</formula1>
    </dataValidation>
    <dataValidation type="list" allowBlank="1" showDropDown="1" showInputMessage="1" showErrorMessage="1" sqref="W2 W3 W4 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W105 W106 W107 W108 W109 W110 W111 W112 W113 W114 W115 W116 W117 W118 W119 W120 W121 W122 W123 W124 W125 W126 W127 W128 W129 W130 W131 W132 W133 W134 W135 W136 W137 W138 W139 W140 W141 W142 W143 W144 W145 W146 W147 W148 W149 W150 W151 W152 W153 W154 W155 W156 W157 W158 W159 W160 W161 W162 W163 W164 W165 W166 W167 W168 W169 W170 W171 W172 W173 W174 W175 W176 W177 W178 W179 W180 W181 W182 W183 W184 W185 W186 W187 W188 W189 W190 W191 W192 W193 W194 W195 W196 W197 W198 W199 W200 W201 W202 W203 W204 W205 W206 W207 W208 W209 W210 W211 W212 W213 W214 W215 W216 W217 W218 W219 W220 W221 W222 W223 W224 W225 W226 W227 W228 W229 W230 W231 W232 W233 W234 W235 W236 W237 W238 W239 W240 W241 W242 W243 W244 W245 W246 W247 W248 W249 W250 W251 W252 W253 W254 W255 W256 W257 W258 W259 W260 W261 W262 W263 W264 W265 W266 W267 W268 W269 W270 W271 W272 W273 W274 W275 W276 W277 W278 W279 W280 W281 W282 W283 W284 W285 W286 W287 W288 W289 W290 W291 W292 W293 W294 W295 W296 W297 W298 W299 W300 W301 W302 W303 W304 W305 W306 W307 W308 W309 W310 W311 W312 W313 W314 W315 W316 W317 W318 W319 W320 W321 W322 W323 W324 W325 W326 W327 W328 W329 W330 W331 W332 W333 W334 W335 W336 W337 W338 W339 W340 W341 W342 W343 W344 W345 W346 W347 W348 W349 W350 W351 W352 W353 W354 W355 W356 W357 W358 W359 W360 W361 W362 W363 W364 W365 W366 W367 W368 W369 W370 W371 W372 W373 W374 W375 W376 W377 W378 W379 W380 W381 W382 W383 W384 W385 W386 W387 W388 W389 W390 W391 W392 W393 W394 W395 W396 W397 W398 W399 W400 W401" xr:uid="{00000000-0002-0000-0100-000008000000}">
      <formula1>SAMPLE_TYPES_LIST</formula1>
    </dataValidation>
    <dataValidation type="list" allowBlank="1" showDropDown="1" showInputMessage="1" showErrorMessage="1" sqref="AC2 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AC203 AC204 AC205 AC206 AC207 AC208 AC209 AC210 AC211 AC212 AC213 AC214 AC215 AC216 AC217 AC218 AC219 AC220 AC221 AC222 AC223 AC224 AC225 AC226 AC227 AC228 AC229 AC230 AC231 AC232 AC233 AC234 AC235 AC236 AC237 AC238 AC239 AC240 AC241 AC242 AC243 AC244 AC245 AC246 AC247 AC248 AC249 AC250 AC251 AC252 AC253 AC254 AC255 AC256 AC257 AC258 AC259 AC260 AC261 AC262 AC263 AC264 AC265 AC266 AC267 AC268 AC269 AC270 AC271 AC272 AC273 AC274 AC275 AC276 AC277 AC278 AC279 AC280 AC281 AC282 AC283 AC284 AC285 AC286 AC287 AC288 AC289 AC290 AC291 AC292 AC293 AC294 AC295 AC296 AC297 AC298 AC299 AC300 AC301 AC302 AC303 AC304 AC305 AC306 AC307 AC308 AC309 AC310 AC311 AC312 AC313 AC314 AC315 AC316 AC317 AC318 AC319 AC320 AC321 AC322 AC323 AC324 AC325 AC326 AC327 AC328 AC329 AC330 AC331 AC332 AC333 AC334 AC335 AC336 AC337 AC338 AC339 AC340 AC341 AC342 AC343 AC344 AC345 AC346 AC347 AC348 AC349 AC350 AC351 AC352 AC353 AC354 AC355 AC356 AC357 AC358 AC359 AC360 AC361 AC362 AC363 AC364 AC365 AC366 AC367 AC368 AC369 AC370 AC371 AC372 AC373 AC374 AC375 AC376 AC377 AC378 AC379 AC380 AC381 AC382 AC383 AC384 AC385 AC386 AC387 AC388 AC389 AC390 AC391 AC392 AC393 AC394 AC395 AC396 AC397 AC398 AC399 AC400 AC401" xr:uid="{00000000-0002-0000-0100-000009000000}">
      <formula1>STRUCTURE_TYPES</formula1>
    </dataValidation>
    <dataValidation type="list" allowBlank="1" showDropDown="1" showInputMessage="1" showErrorMessage="1" sqref="AH2 AH3 AH4 AH5 AH6 AH7 AH8 AH9 AH10 AH11 AH12 AH13 AH14 AH15 AH16 AH17 AH18 AH19 AH20 AH21 AH22 AH23 AH24 AH25 AH26 AH27 AH28 AH29 AH30 AH31 AH32 AH33 AH34 AH35 AH36 AH37 AH38 AH39 AH40 AH41 AH42 AH43 AH44 AH45 AH46 AH47 AH48 AH49 AH50 AH51 AH52 AH53 AH54 AH55 AH56 AH57 AH58 AH59 AH60 AH61 AH62 AH63 AH64 AH65 AH66 AH67 AH68 AH69 AH70 AH71 AH72 AH73 AH74 AH75 AH76 AH77 AH78 AH79 AH80 AH81 AH82 AH83 AH84 AH85 AH86 AH87 AH88 AH89 AH90 AH91 AH92 AH93 AH94 AH95 AH96 AH97 AH98 AH99 AH100 AH101 AH102 AH103 AH104 AH105 AH106 AH107 AH108 AH109 AH110 AH111 AH112 AH113 AH114 AH115 AH116 AH117 AH118 AH119 AH120 AH121 AH122 AH123 AH124 AH125 AH126 AH127 AH128 AH129 AH130 AH131 AH132 AH133 AH134 AH135 AH136 AH137 AH138 AH139 AH140 AH141 AH142 AH143 AH144 AH145 AH146 AH147 AH148 AH149 AH150 AH151 AH152 AH153 AH154 AH155 AH156 AH157 AH158 AH159 AH160 AH161 AH162 AH163 AH164 AH165 AH166 AH167 AH168 AH169 AH170 AH171 AH172 AH173 AH174 AH175 AH176 AH177 AH178 AH179 AH180 AH181 AH182 AH183 AH184 AH185 AH186 AH187 AH188 AH189 AH190 AH191 AH192 AH193 AH194 AH195 AH196 AH197 AH198 AH199 AH200 AH201 AH202 AH203 AH204 AH205 AH206 AH207 AH208 AH209 AH210 AH211 AH212 AH213 AH214 AH215 AH216 AH217 AH218 AH219 AH220 AH221 AH222 AH223 AH224 AH225 AH226 AH227 AH228 AH229 AH230 AH231 AH232 AH233 AH234 AH235 AH236 AH237 AH238 AH239 AH240 AH241 AH242 AH243 AH244 AH245 AH246 AH247 AH248 AH249 AH250 AH251 AH252 AH253 AH254 AH255 AH256 AH257 AH258 AH259 AH260 AH261 AH262 AH263 AH264 AH265 AH266 AH267 AH268 AH269 AH270 AH271 AH272 AH273 AH274 AH275 AH276 AH277 AH278 AH279 AH280 AH281 AH282 AH283 AH284 AH285 AH286 AH287 AH288 AH289 AH290 AH291 AH292 AH293 AH294 AH295 AH296 AH297 AH298 AH299 AH300 AH301 AH302 AH303 AH304 AH305 AH306 AH307 AH308 AH309 AH310 AH311 AH312 AH313 AH314 AH315 AH316 AH317 AH318 AH319 AH320 AH321 AH322 AH323 AH324 AH325 AH326 AH327 AH328 AH329 AH330 AH331 AH332 AH333 AH334 AH335 AH336 AH337 AH338 AH339 AH340 AH341 AH342 AH343 AH344 AH345 AH346 AH347 AH348 AH349 AH350 AH351 AH352 AH353 AH354 AH355 AH356 AH357 AH358 AH359 AH360 AH361 AH362 AH363 AH364 AH365 AH366 AH367 AH368 AH369 AH370 AH371 AH372 AH373 AH374 AH375 AH376 AH377 AH378 AH379 AH380 AH381 AH382 AH383 AH384 AH385 AH386 AH387 AH388 AH389 AH390 AH391 AH392 AH393 AH394 AH395 AH396 AH397 AH398 AH399 AH400 AH401" xr:uid="{00000000-0002-0000-0100-00000A000000}">
      <formula1>ORIENTATION_QUALITY</formula1>
    </dataValidation>
    <dataValidation type="list" allowBlank="1" showDropDown="1" showInputMessage="1" showErrorMessage="1" sqref="AI2 AI3 AI4 AI5 AI6 AI7 AI8 AI9 AI10 AI11 AI12 AI13 AI14 AI15 AI16 AI17 AI18 AI19 AI20 AI21 AI22 AI23 AI24 AI25 AI26 AI27 AI28 AI29 AI30 AI31 AI32 AI33 AI34 AI35 AI36 AI37 AI38 AI39 AI40 AI41 AI42 AI43 AI44 AI45 AI46 AI47 AI48 AI49 AI50 AI51 AI52 AI53 AI54 AI55 AI56 AI57 AI58 AI59 AI60 AI61 AI62 AI63 AI64 AI65 AI66 AI67 AI68 AI69 AI70 AI71 AI72 AI73 AI74 AI75 AI76 AI77 AI78 AI79 AI80 AI81 AI82 AI83 AI84 AI85 AI86 AI87 AI88 AI89 AI90 AI91 AI92 AI93 AI94 AI95 AI96 AI97 AI98 AI99 AI100 AI101 AI102 AI103 AI104 AI105 AI106 AI107 AI108 AI109 AI110 AI111 AI112 AI113 AI114 AI115 AI116 AI117 AI118 AI119 AI120 AI121 AI122 AI123 AI124 AI125 AI126 AI127 AI128 AI129 AI130 AI131 AI132 AI133 AI134 AI135 AI136 AI137 AI138 AI139 AI140 AI141 AI142 AI143 AI144 AI145 AI146 AI147 AI148 AI149 AI150 AI151 AI152 AI153 AI154 AI155 AI156 AI157 AI158 AI159 AI160 AI161 AI162 AI163 AI164 AI165 AI166 AI167 AI168 AI169 AI170 AI171 AI172 AI173 AI174 AI175 AI176 AI177 AI178 AI179 AI180 AI181 AI182 AI183 AI184 AI185 AI186 AI187 AI188 AI189 AI190 AI191 AI192 AI193 AI194 AI195 AI196 AI197 AI198 AI199 AI200 AI201 AI202 AI203 AI204 AI205 AI206 AI207 AI208 AI209 AI210 AI211 AI212 AI213 AI214 AI215 AI216 AI217 AI218 AI219 AI220 AI221 AI222 AI223 AI224 AI225 AI226 AI227 AI228 AI229 AI230 AI231 AI232 AI233 AI234 AI235 AI236 AI237 AI238 AI239 AI240 AI241 AI242 AI243 AI244 AI245 AI246 AI247 AI248 AI249 AI250 AI251 AI252 AI253 AI254 AI255 AI256 AI257 AI258 AI259 AI260 AI261 AI262 AI263 AI264 AI265 AI266 AI267 AI268 AI269 AI270 AI271 AI272 AI273 AI274 AI275 AI276 AI277 AI278 AI279 AI280 AI281 AI282 AI283 AI284 AI285 AI286 AI287 AI288 AI289 AI290 AI291 AI292 AI293 AI294 AI295 AI296 AI297 AI298 AI299 AI300 AI301 AI302 AI303 AI304 AI305 AI306 AI307 AI308 AI309 AI310 AI311 AI312 AI313 AI314 AI315 AI316 AI317 AI318 AI319 AI320 AI321 AI322 AI323 AI324 AI325 AI326 AI327 AI328 AI329 AI330 AI331 AI332 AI333 AI334 AI335 AI336 AI337 AI338 AI339 AI340 AI341 AI342 AI343 AI344 AI345 AI346 AI347 AI348 AI349 AI350 AI351 AI352 AI353 AI354 AI355 AI356 AI357 AI358 AI359 AI360 AI361 AI362 AI363 AI364 AI365 AI366 AI367 AI368 AI369 AI370 AI371 AI372 AI373 AI374 AI375 AI376 AI377 AI378 AI379 AI380 AI381 AI382 AI383 AI384 AI385 AI386 AI387 AI388 AI389 AI390 AI391 AI392 AI393 AI394 AI395 AI396 AI397 AI398 AI399 AI400 AI401" xr:uid="{00000000-0002-0000-0100-00000B000000}">
      <formula1>MOISTURE_CODES</formula1>
    </dataValidation>
    <dataValidation type="decimal" operator="greaterThanOrEqual" allowBlank="1" showInputMessage="1" showErrorMessage="1" sqref="C2:E401 AU2:AW401 AN2:AP401 X2:X401 AB2:AB401 U2:V401" xr:uid="{00000000-0002-0000-0100-00000C000000}">
      <formula1>0</formula1>
    </dataValidation>
    <dataValidation type="decimal" allowBlank="1" showInputMessage="1" showErrorMessage="1" sqref="N2:R401 AR2:AT401 Y2:AA401" xr:uid="{00000000-0002-0000-0100-000011000000}">
      <formula1>0</formula1>
      <formula2>100</formula2>
    </dataValidation>
    <dataValidation type="decimal" allowBlank="1" showInputMessage="1" showErrorMessage="1" sqref="AD2:AD401 AG2:AH401" xr:uid="{00000000-0002-0000-0100-00001B000000}">
      <formula1>0</formula1>
      <formula2>90</formula2>
    </dataValidation>
    <dataValidation type="decimal" allowBlank="1" showInputMessage="1" showErrorMessage="1" sqref="AE2 AE3 AE4 AE5 AE6 AE7 AE8 AE9 AE10 AE11 AE12 AE13 AE14 AE15 AE16 AE17 AE18 AE19 AE20 AE21 AE22 AE23 AE24 AE25 AE26 AE27 AE28 AE29 AE30 AE31 AE32 AE33 AE34 AE35 AE36 AE37 AE38 AE39 AE40 AE41 AE42 AE43 AE44 AE45 AE46 AE47 AE48 AE49 AE50 AE51 AE52 AE53 AE54 AE55 AE56 AE57 AE58 AE59 AE60 AE61 AE62 AE63 AE64 AE65 AE66 AE67 AE68 AE69 AE70 AE71 AE72 AE73 AE74 AE75 AE76 AE77 AE78 AE79 AE80 AE81 AE82 AE83 AE84 AE85 AE86 AE87 AE88 AE89 AE90 AE91 AE92 AE93 AE94 AE95 AE96 AE97 AE98 AE99 AE100 AE101 AE102 AE103 AE104 AE105 AE106 AE107 AE108 AE109 AE110 AE111 AE112 AE113 AE114 AE115 AE116 AE117 AE118 AE119 AE120 AE121 AE122 AE123 AE124 AE125 AE126 AE127 AE128 AE129 AE130 AE131 AE132 AE133 AE134 AE135 AE136 AE137 AE138 AE139 AE140 AE141 AE142 AE143 AE144 AE145 AE146 AE147 AE148 AE149 AE150 AE151 AE152 AE153 AE154 AE155 AE156 AE157 AE158 AE159 AE160 AE161 AE162 AE163 AE164 AE165 AE166 AE167 AE168 AE169 AE170 AE171 AE172 AE173 AE174 AE175 AE176 AE177 AE178 AE179 AE180 AE181 AE182 AE183 AE184 AE185 AE186 AE187 AE188 AE189 AE190 AE191 AE192 AE193 AE194 AE195 AE196 AE197 AE198 AE199 AE200 AE201 AE202 AE203 AE204 AE205 AE206 AE207 AE208 AE209 AE210 AE211 AE212 AE213 AE214 AE215 AE216 AE217 AE218 AE219 AE220 AE221 AE222 AE223 AE224 AE225 AE226 AE227 AE228 AE229 AE230 AE231 AE232 AE233 AE234 AE235 AE236 AE237 AE238 AE239 AE240 AE241 AE242 AE243 AE244 AE245 AE246 AE247 AE248 AE249 AE250 AE251 AE252 AE253 AE254 AE255 AE256 AE257 AE258 AE259 AE260 AE261 AE262 AE263 AE264 AE265 AE266 AE267 AE268 AE269 AE270 AE271 AE272 AE273 AE274 AE275 AE276 AE277 AE278 AE279 AE280 AE281 AE282 AE283 AE284 AE285 AE286 AE287 AE288 AE289 AE290 AE291 AE292 AE293 AE294 AE295 AE296 AE297 AE298 AE299 AE300 AE301 AE302 AE303 AE304 AE305 AE306 AE307 AE308 AE309 AE310 AE311 AE312 AE313 AE314 AE315 AE316 AE317 AE318 AE319 AE320 AE321 AE322 AE323 AE324 AE325 AE326 AE327 AE328 AE329 AE330 AE331 AE332 AE333 AE334 AE335 AE336 AE337 AE338 AE339 AE340 AE341 AE342 AE343 AE344 AE345 AE346 AE347 AE348 AE349 AE350 AE351 AE352 AE353 AE354 AE355 AE356 AE357 AE358 AE359 AE360 AE361 AE362 AE363 AE364 AE365 AE366 AE367 AE368 AE369 AE370 AE371 AE372 AE373 AE374 AE375 AE376 AE377 AE378 AE379 AE380 AE381 AE382 AE383 AE384 AE385 AE386 AE387 AE388 AE389 AE390 AE391 AE392 AE393 AE394 AE395 AE396 AE397 AE398 AE399 AE400 AE401" xr:uid="{00000000-0002-0000-0100-00001C000000}">
      <formula1>0</formula1>
      <formula2>360</formula2>
    </dataValidation>
    <dataValidation type="list" allowBlank="1" showDropDown="1" showInputMessage="1" showErrorMessage="1"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xr:uid="{00000000-0002-0000-0100-00001F000000}">
      <formula1>INDIRECT($F2&amp;"_TEXTURES")</formula1>
    </dataValidation>
    <dataValidation type="list" allowBlank="1" showDropDown="1" showInputMessage="1" showErrorMessage="1" sqref="W2 W3 W4 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W105 W106 W107 W108 W109 W110 W111 W112 W113 W114 W115 W116 W117 W118 W119 W120 W121 W122 W123 W124 W125 W126 W127 W128 W129 W130 W131 W132 W133 W134 W135 W136 W137 W138 W139 W140 W141 W142 W143 W144 W145 W146 W147 W148 W149 W150 W151 W152 W153 W154 W155 W156 W157 W158 W159 W160 W161 W162 W163 W164 W165 W166 W167 W168 W169 W170 W171 W172 W173 W174 W175 W176 W177 W178 W179 W180 W181 W182 W183 W184 W185 W186 W187 W188 W189 W190 W191 W192 W193 W194 W195 W196 W197 W198 W199 W200 W201 W202 W203 W204 W205 W206 W207 W208 W209 W210 W211 W212 W213 W214 W215 W216 W217 W218 W219 W220 W221 W222 W223 W224 W225 W226 W227 W228 W229 W230 W231 W232 W233 W234 W235 W236 W237 W238 W239 W240 W241 W242 W243 W244 W245 W246 W247 W248 W249 W250 W251 W252 W253 W254 W255 W256 W257 W258 W259 W260 W261 W262 W263 W264 W265 W266 W267 W268 W269 W270 W271 W272 W273 W274 W275 W276 W277 W278 W279 W280 W281 W282 W283 W284 W285 W286 W287 W288 W289 W290 W291 W292 W293 W294 W295 W296 W297 W298 W299 W300 W301 W302 W303 W304 W305 W306 W307 W308 W309 W310 W311 W312 W313 W314 W315 W316 W317 W318 W319 W320 W321 W322 W323 W324 W325 W326 W327 W328 W329 W330 W331 W332 W333 W334 W335 W336 W337 W338 W339 W340 W341 W342 W343 W344 W345 W346 W347 W348 W349 W350 W351 W352 W353 W354 W355 W356 W357 W358 W359 W360 W361 W362 W363 W364 W365 W366 W367 W368 W369 W370 W371 W372 W373 W374 W375 W376 W377 W378 W379 W380 W381 W382 W383 W384 W385 W386 W387 W388 W389 W390 W391 W392 W393 W394 W395 W396 W397 W398 W399 W400 W401" xr:uid="{00000000-0002-0000-0100-000020000000}">
      <formula1>INDIRECT(SUBSTITUTE($B2," ","")&amp;"_SAMPLES")</formula1>
    </dataValidation>
    <dataValidation type="decimal" allowBlank="1" showInputMessage="1" showErrorMessage="1" sqref="AQ2 AQ3 AQ4 AQ5 AQ6 AQ7 AQ8 AQ9 AQ10 AQ11 AQ12 AQ13 AQ14 AQ15 AQ16 AQ17 AQ18 AQ19 AQ20 AQ21 AQ22 AQ23 AQ24 AQ25 AQ26 AQ27 AQ28 AQ29 AQ30 AQ31 AQ32 AQ33 AQ34 AQ35 AQ36 AQ37 AQ38 AQ39 AQ40 AQ41 AQ42 AQ43 AQ44 AQ45 AQ46 AQ47 AQ48 AQ49 AQ50 AQ51 AQ52 AQ53 AQ54 AQ55 AQ56 AQ57 AQ58 AQ59 AQ60 AQ61 AQ62 AQ63 AQ64 AQ65 AQ66 AQ67 AQ68 AQ69 AQ70 AQ71 AQ72 AQ73 AQ74 AQ75 AQ76 AQ77 AQ78 AQ79 AQ80 AQ81 AQ82 AQ83 AQ84 AQ85 AQ86 AQ87 AQ88 AQ89 AQ90 AQ91 AQ92 AQ93 AQ94 AQ95 AQ96 AQ97 AQ98 AQ99 AQ100 AQ101 AQ102 AQ103 AQ104 AQ105 AQ106 AQ107 AQ108 AQ109 AQ110 AQ111 AQ112 AQ113 AQ114 AQ115 AQ116 AQ117 AQ118 AQ119 AQ120 AQ121 AQ122 AQ123 AQ124 AQ125 AQ126 AQ127 AQ128 AQ129 AQ130 AQ131 AQ132 AQ133 AQ134 AQ135 AQ136 AQ137 AQ138 AQ139 AQ140 AQ141 AQ142 AQ143 AQ144 AQ145 AQ146 AQ147 AQ148 AQ149 AQ150 AQ151 AQ152 AQ153 AQ154 AQ155 AQ156 AQ157 AQ158 AQ159 AQ160 AQ161 AQ162 AQ163 AQ164 AQ165 AQ166 AQ167 AQ168 AQ169 AQ170 AQ171 AQ172 AQ173 AQ174 AQ175 AQ176 AQ177 AQ178 AQ179 AQ180 AQ181 AQ182 AQ183 AQ184 AQ185 AQ186 AQ187 AQ188 AQ189 AQ190 AQ191 AQ192 AQ193 AQ194 AQ195 AQ196 AQ197 AQ198 AQ199 AQ200 AQ201 AQ202 AQ203 AQ204 AQ205 AQ206 AQ207 AQ208 AQ209 AQ210 AQ211 AQ212 AQ213 AQ214 AQ215 AQ216 AQ217 AQ218 AQ219 AQ220 AQ221 AQ222 AQ223 AQ224 AQ225 AQ226 AQ227 AQ228 AQ229 AQ230 AQ231 AQ232 AQ233 AQ234 AQ235 AQ236 AQ237 AQ238 AQ239 AQ240 AQ241 AQ242 AQ243 AQ244 AQ245 AQ246 AQ247 AQ248 AQ249 AQ250 AQ251 AQ252 AQ253 AQ254 AQ255 AQ256 AQ257 AQ258 AQ259 AQ260 AQ261 AQ262 AQ263 AQ264 AQ265 AQ266 AQ267 AQ268 AQ269 AQ270 AQ271 AQ272 AQ273 AQ274 AQ275 AQ276 AQ277 AQ278 AQ279 AQ280 AQ281 AQ282 AQ283 AQ284 AQ285 AQ286 AQ287 AQ288 AQ289 AQ290 AQ291 AQ292 AQ293 AQ294 AQ295 AQ296 AQ297 AQ298 AQ299 AQ300 AQ301 AQ302 AQ303 AQ304 AQ305 AQ306 AQ307 AQ308 AQ309 AQ310 AQ311 AQ312 AQ313 AQ314 AQ315 AQ316 AQ317 AQ318 AQ319 AQ320 AQ321 AQ322 AQ323 AQ324 AQ325 AQ326 AQ327 AQ328 AQ329 AQ330 AQ331 AQ332 AQ333 AQ334 AQ335 AQ336 AQ337 AQ338 AQ339 AQ340 AQ341 AQ342 AQ343 AQ344 AQ345 AQ346 AQ347 AQ348 AQ349 AQ350 AQ351 AQ352 AQ353 AQ354 AQ355 AQ356 AQ357 AQ358 AQ359 AQ360 AQ361 AQ362 AQ363 AQ364 AQ365 AQ366 AQ367 AQ368 AQ369 AQ370 AQ371 AQ372 AQ373 AQ374 AQ375 AQ376 AQ377 AQ378 AQ379 AQ380 AQ381 AQ382 AQ383 AQ384 AQ385 AQ386 AQ387 AQ388 AQ389 AQ390 AQ391 AQ392 AQ393 AQ394 AQ395 AQ396 AQ397 AQ398 AQ399 AQ400 AQ401" xr:uid="{00000000-0002-0000-0100-000024000000}">
      <formula1>0</formula1>
      <formula2>200</formula2>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
  <sheetViews>
    <sheetView workbookViewId="0"/>
  </sheetViews>
  <sheetFormatPr defaultRowHeight="15" x14ac:dyDescent="0.25"/>
  <sheetData>
    <row r="1" spans="1:8" x14ac:dyDescent="0.25">
      <c r="A1" t="s">
        <v>128</v>
      </c>
      <c r="B1" t="s">
        <v>129</v>
      </c>
      <c r="C1" t="s">
        <v>130</v>
      </c>
      <c r="D1" t="s">
        <v>131</v>
      </c>
      <c r="E1" t="s">
        <v>132</v>
      </c>
      <c r="F1" t="s">
        <v>133</v>
      </c>
      <c r="G1" t="s">
        <v>134</v>
      </c>
      <c r="H1" t="s">
        <v>135</v>
      </c>
    </row>
    <row r="2" spans="1:8" x14ac:dyDescent="0.25">
      <c r="A2" t="s">
        <v>29</v>
      </c>
      <c r="B2" t="s">
        <v>41</v>
      </c>
      <c r="C2" t="s">
        <v>16</v>
      </c>
      <c r="D2" t="s">
        <v>136</v>
      </c>
      <c r="E2" t="s">
        <v>22</v>
      </c>
      <c r="F2" t="s">
        <v>34</v>
      </c>
      <c r="G2" t="s">
        <v>137</v>
      </c>
      <c r="H2" t="s">
        <v>138</v>
      </c>
    </row>
    <row r="3" spans="1:8" x14ac:dyDescent="0.25">
      <c r="A3" t="s">
        <v>41</v>
      </c>
      <c r="B3" t="s">
        <v>16</v>
      </c>
      <c r="C3" t="s">
        <v>53</v>
      </c>
      <c r="D3" t="s">
        <v>16</v>
      </c>
    </row>
    <row r="4" spans="1:8" x14ac:dyDescent="0.25">
      <c r="A4" t="s">
        <v>16</v>
      </c>
      <c r="C4" t="s">
        <v>136</v>
      </c>
      <c r="D4" t="s">
        <v>53</v>
      </c>
    </row>
    <row r="5" spans="1:8" x14ac:dyDescent="0.25">
      <c r="A5" t="s">
        <v>69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001"/>
  <sheetViews>
    <sheetView tabSelected="1" workbookViewId="0">
      <pane ySplit="1" topLeftCell="A2" activePane="bottomLeft" state="frozen"/>
      <selection pane="bottomLeft" activeCell="B2" sqref="B2"/>
    </sheetView>
  </sheetViews>
  <sheetFormatPr defaultRowHeight="15" x14ac:dyDescent="0.25"/>
  <sheetData>
    <row r="1" spans="1:18" x14ac:dyDescent="0.25">
      <c r="A1" s="2" t="s">
        <v>92</v>
      </c>
      <c r="B1" s="2" t="s">
        <v>139</v>
      </c>
      <c r="C1" s="2" t="s">
        <v>140</v>
      </c>
      <c r="D1" s="2" t="s">
        <v>141</v>
      </c>
      <c r="E1" s="2" t="s">
        <v>142</v>
      </c>
      <c r="F1" s="2" t="s">
        <v>143</v>
      </c>
      <c r="G1" s="2" t="s">
        <v>144</v>
      </c>
      <c r="H1" s="2" t="s">
        <v>145</v>
      </c>
      <c r="I1" s="2" t="s">
        <v>73</v>
      </c>
      <c r="J1" s="2" t="s">
        <v>75</v>
      </c>
      <c r="K1" s="2" t="s">
        <v>76</v>
      </c>
      <c r="L1" s="2" t="s">
        <v>146</v>
      </c>
      <c r="M1" s="2" t="s">
        <v>147</v>
      </c>
      <c r="N1" s="2" t="s">
        <v>148</v>
      </c>
      <c r="O1" s="2" t="s">
        <v>149</v>
      </c>
      <c r="P1" s="2" t="s">
        <v>150</v>
      </c>
      <c r="Q1" s="2" t="s">
        <v>151</v>
      </c>
      <c r="R1" s="2" t="s">
        <v>152</v>
      </c>
    </row>
    <row r="2" spans="1:18" x14ac:dyDescent="0.25">
      <c r="L2" t="str">
        <f t="shared" ref="L2:L65" si="0">IF(AND(A2&lt;&gt;"",B2&lt;&gt;""),A2&amp;"|"&amp;B2,"")</f>
        <v/>
      </c>
      <c r="M2" t="b">
        <f t="shared" ref="M2:M65" si="1">IF(COUNTIF(STANDARDS_IDS,A2)&gt;0,TRUE,FALSE)</f>
        <v>0</v>
      </c>
      <c r="N2" t="str">
        <f>IF(M2,IF(B2="Fe",_xludf.XLOOKUP(A2,'Standards Catalogue'!$A:$A,'Standards Catalogue'!$B:$B,""),IF(B2="P",_xludf.XLOOKUP(A2,'Standards Catalogue'!$A:$A,'Standards Catalogue'!$D:$D,""),IF(B2="S",_xludf.XLOOKUP(A2,'Standards Catalogue'!$A:$A,'Standards Catalogue'!$F:$F,""),""))),"")</f>
        <v/>
      </c>
      <c r="O2" t="str">
        <f>IF(M2,IF(B2="Fe",_xludf.XLOOKUP(A2,'Standards Catalogue'!$A:$A,'Standards Catalogue'!$C:$C,""),IF(B2="P",_xludf.XLOOKUP(A2,'Standards Catalogue'!$A:$A,'Standards Catalogue'!$E:$E,""),IF(B2="S",_xludf.XLOOKUP(A2,'Standards Catalogue'!$A:$A,'Standards Catalogue'!$G:$G,""),""))),"")</f>
        <v/>
      </c>
      <c r="P2" t="str">
        <f t="shared" ref="P2:P65" si="2">IF(M2,N2-2*O2,"")</f>
        <v/>
      </c>
      <c r="Q2" t="str">
        <f t="shared" ref="Q2:Q65" si="3">IF(M2,N2+2*O2,"")</f>
        <v/>
      </c>
      <c r="R2" t="str">
        <f t="shared" ref="R2:R65" si="4">IF(M2,IF(OR(C2="",N2="",O2=""),"",IF(AND(C2&gt;=P2,C2&lt;=Q2),"PASS","FAIL")),"")</f>
        <v/>
      </c>
    </row>
    <row r="3" spans="1:18" x14ac:dyDescent="0.25">
      <c r="L3" t="str">
        <f t="shared" si="0"/>
        <v/>
      </c>
      <c r="M3" t="b">
        <f t="shared" si="1"/>
        <v>0</v>
      </c>
      <c r="N3" t="str">
        <f>IF(M3,IF(B3="Fe",_xludf.XLOOKUP(A3,'Standards Catalogue'!$A:$A,'Standards Catalogue'!$B:$B,""),IF(B3="P",_xludf.XLOOKUP(A3,'Standards Catalogue'!$A:$A,'Standards Catalogue'!$D:$D,""),IF(B3="S",_xludf.XLOOKUP(A3,'Standards Catalogue'!$A:$A,'Standards Catalogue'!$F:$F,""),""))),"")</f>
        <v/>
      </c>
      <c r="O3" t="str">
        <f>IF(M3,IF(B3="Fe",_xludf.XLOOKUP(A3,'Standards Catalogue'!$A:$A,'Standards Catalogue'!$C:$C,""),IF(B3="P",_xludf.XLOOKUP(A3,'Standards Catalogue'!$A:$A,'Standards Catalogue'!$E:$E,""),IF(B3="S",_xludf.XLOOKUP(A3,'Standards Catalogue'!$A:$A,'Standards Catalogue'!$G:$G,""),""))),"")</f>
        <v/>
      </c>
      <c r="P3" t="str">
        <f t="shared" si="2"/>
        <v/>
      </c>
      <c r="Q3" t="str">
        <f t="shared" si="3"/>
        <v/>
      </c>
      <c r="R3" t="str">
        <f t="shared" si="4"/>
        <v/>
      </c>
    </row>
    <row r="4" spans="1:18" x14ac:dyDescent="0.25">
      <c r="L4" t="str">
        <f t="shared" si="0"/>
        <v/>
      </c>
      <c r="M4" t="b">
        <f t="shared" si="1"/>
        <v>0</v>
      </c>
      <c r="N4" t="str">
        <f>IF(M4,IF(B4="Fe",_xludf.XLOOKUP(A4,'Standards Catalogue'!$A:$A,'Standards Catalogue'!$B:$B,""),IF(B4="P",_xludf.XLOOKUP(A4,'Standards Catalogue'!$A:$A,'Standards Catalogue'!$D:$D,""),IF(B4="S",_xludf.XLOOKUP(A4,'Standards Catalogue'!$A:$A,'Standards Catalogue'!$F:$F,""),""))),"")</f>
        <v/>
      </c>
      <c r="O4" t="str">
        <f>IF(M4,IF(B4="Fe",_xludf.XLOOKUP(A4,'Standards Catalogue'!$A:$A,'Standards Catalogue'!$C:$C,""),IF(B4="P",_xludf.XLOOKUP(A4,'Standards Catalogue'!$A:$A,'Standards Catalogue'!$E:$E,""),IF(B4="S",_xludf.XLOOKUP(A4,'Standards Catalogue'!$A:$A,'Standards Catalogue'!$G:$G,""),""))),"")</f>
        <v/>
      </c>
      <c r="P4" t="str">
        <f t="shared" si="2"/>
        <v/>
      </c>
      <c r="Q4" t="str">
        <f t="shared" si="3"/>
        <v/>
      </c>
      <c r="R4" t="str">
        <f t="shared" si="4"/>
        <v/>
      </c>
    </row>
    <row r="5" spans="1:18" x14ac:dyDescent="0.25">
      <c r="L5" t="str">
        <f t="shared" si="0"/>
        <v/>
      </c>
      <c r="M5" t="b">
        <f t="shared" si="1"/>
        <v>0</v>
      </c>
      <c r="N5" t="str">
        <f>IF(M5,IF(B5="Fe",_xludf.XLOOKUP(A5,'Standards Catalogue'!$A:$A,'Standards Catalogue'!$B:$B,""),IF(B5="P",_xludf.XLOOKUP(A5,'Standards Catalogue'!$A:$A,'Standards Catalogue'!$D:$D,""),IF(B5="S",_xludf.XLOOKUP(A5,'Standards Catalogue'!$A:$A,'Standards Catalogue'!$F:$F,""),""))),"")</f>
        <v/>
      </c>
      <c r="O5" t="str">
        <f>IF(M5,IF(B5="Fe",_xludf.XLOOKUP(A5,'Standards Catalogue'!$A:$A,'Standards Catalogue'!$C:$C,""),IF(B5="P",_xludf.XLOOKUP(A5,'Standards Catalogue'!$A:$A,'Standards Catalogue'!$E:$E,""),IF(B5="S",_xludf.XLOOKUP(A5,'Standards Catalogue'!$A:$A,'Standards Catalogue'!$G:$G,""),""))),"")</f>
        <v/>
      </c>
      <c r="P5" t="str">
        <f t="shared" si="2"/>
        <v/>
      </c>
      <c r="Q5" t="str">
        <f t="shared" si="3"/>
        <v/>
      </c>
      <c r="R5" t="str">
        <f t="shared" si="4"/>
        <v/>
      </c>
    </row>
    <row r="6" spans="1:18" x14ac:dyDescent="0.25">
      <c r="L6" t="str">
        <f t="shared" si="0"/>
        <v/>
      </c>
      <c r="M6" t="b">
        <f t="shared" si="1"/>
        <v>0</v>
      </c>
      <c r="N6" t="str">
        <f>IF(M6,IF(B6="Fe",_xludf.XLOOKUP(A6,'Standards Catalogue'!$A:$A,'Standards Catalogue'!$B:$B,""),IF(B6="P",_xludf.XLOOKUP(A6,'Standards Catalogue'!$A:$A,'Standards Catalogue'!$D:$D,""),IF(B6="S",_xludf.XLOOKUP(A6,'Standards Catalogue'!$A:$A,'Standards Catalogue'!$F:$F,""),""))),"")</f>
        <v/>
      </c>
      <c r="O6" t="str">
        <f>IF(M6,IF(B6="Fe",_xludf.XLOOKUP(A6,'Standards Catalogue'!$A:$A,'Standards Catalogue'!$C:$C,""),IF(B6="P",_xludf.XLOOKUP(A6,'Standards Catalogue'!$A:$A,'Standards Catalogue'!$E:$E,""),IF(B6="S",_xludf.XLOOKUP(A6,'Standards Catalogue'!$A:$A,'Standards Catalogue'!$G:$G,""),""))),"")</f>
        <v/>
      </c>
      <c r="P6" t="str">
        <f t="shared" si="2"/>
        <v/>
      </c>
      <c r="Q6" t="str">
        <f t="shared" si="3"/>
        <v/>
      </c>
      <c r="R6" t="str">
        <f t="shared" si="4"/>
        <v/>
      </c>
    </row>
    <row r="7" spans="1:18" x14ac:dyDescent="0.25">
      <c r="L7" t="str">
        <f t="shared" si="0"/>
        <v/>
      </c>
      <c r="M7" t="b">
        <f t="shared" si="1"/>
        <v>0</v>
      </c>
      <c r="N7" t="str">
        <f>IF(M7,IF(B7="Fe",_xludf.XLOOKUP(A7,'Standards Catalogue'!$A:$A,'Standards Catalogue'!$B:$B,""),IF(B7="P",_xludf.XLOOKUP(A7,'Standards Catalogue'!$A:$A,'Standards Catalogue'!$D:$D,""),IF(B7="S",_xludf.XLOOKUP(A7,'Standards Catalogue'!$A:$A,'Standards Catalogue'!$F:$F,""),""))),"")</f>
        <v/>
      </c>
      <c r="O7" t="str">
        <f>IF(M7,IF(B7="Fe",_xludf.XLOOKUP(A7,'Standards Catalogue'!$A:$A,'Standards Catalogue'!$C:$C,""),IF(B7="P",_xludf.XLOOKUP(A7,'Standards Catalogue'!$A:$A,'Standards Catalogue'!$E:$E,""),IF(B7="S",_xludf.XLOOKUP(A7,'Standards Catalogue'!$A:$A,'Standards Catalogue'!$G:$G,""),""))),"")</f>
        <v/>
      </c>
      <c r="P7" t="str">
        <f t="shared" si="2"/>
        <v/>
      </c>
      <c r="Q7" t="str">
        <f t="shared" si="3"/>
        <v/>
      </c>
      <c r="R7" t="str">
        <f t="shared" si="4"/>
        <v/>
      </c>
    </row>
    <row r="8" spans="1:18" x14ac:dyDescent="0.25">
      <c r="L8" t="str">
        <f t="shared" si="0"/>
        <v/>
      </c>
      <c r="M8" t="b">
        <f t="shared" si="1"/>
        <v>0</v>
      </c>
      <c r="N8" t="str">
        <f>IF(M8,IF(B8="Fe",_xludf.XLOOKUP(A8,'Standards Catalogue'!$A:$A,'Standards Catalogue'!$B:$B,""),IF(B8="P",_xludf.XLOOKUP(A8,'Standards Catalogue'!$A:$A,'Standards Catalogue'!$D:$D,""),IF(B8="S",_xludf.XLOOKUP(A8,'Standards Catalogue'!$A:$A,'Standards Catalogue'!$F:$F,""),""))),"")</f>
        <v/>
      </c>
      <c r="O8" t="str">
        <f>IF(M8,IF(B8="Fe",_xludf.XLOOKUP(A8,'Standards Catalogue'!$A:$A,'Standards Catalogue'!$C:$C,""),IF(B8="P",_xludf.XLOOKUP(A8,'Standards Catalogue'!$A:$A,'Standards Catalogue'!$E:$E,""),IF(B8="S",_xludf.XLOOKUP(A8,'Standards Catalogue'!$A:$A,'Standards Catalogue'!$G:$G,""),""))),"")</f>
        <v/>
      </c>
      <c r="P8" t="str">
        <f t="shared" si="2"/>
        <v/>
      </c>
      <c r="Q8" t="str">
        <f t="shared" si="3"/>
        <v/>
      </c>
      <c r="R8" t="str">
        <f t="shared" si="4"/>
        <v/>
      </c>
    </row>
    <row r="9" spans="1:18" x14ac:dyDescent="0.25">
      <c r="L9" t="str">
        <f t="shared" si="0"/>
        <v/>
      </c>
      <c r="M9" t="b">
        <f t="shared" si="1"/>
        <v>0</v>
      </c>
      <c r="N9" t="str">
        <f>IF(M9,IF(B9="Fe",_xludf.XLOOKUP(A9,'Standards Catalogue'!$A:$A,'Standards Catalogue'!$B:$B,""),IF(B9="P",_xludf.XLOOKUP(A9,'Standards Catalogue'!$A:$A,'Standards Catalogue'!$D:$D,""),IF(B9="S",_xludf.XLOOKUP(A9,'Standards Catalogue'!$A:$A,'Standards Catalogue'!$F:$F,""),""))),"")</f>
        <v/>
      </c>
      <c r="O9" t="str">
        <f>IF(M9,IF(B9="Fe",_xludf.XLOOKUP(A9,'Standards Catalogue'!$A:$A,'Standards Catalogue'!$C:$C,""),IF(B9="P",_xludf.XLOOKUP(A9,'Standards Catalogue'!$A:$A,'Standards Catalogue'!$E:$E,""),IF(B9="S",_xludf.XLOOKUP(A9,'Standards Catalogue'!$A:$A,'Standards Catalogue'!$G:$G,""),""))),"")</f>
        <v/>
      </c>
      <c r="P9" t="str">
        <f t="shared" si="2"/>
        <v/>
      </c>
      <c r="Q9" t="str">
        <f t="shared" si="3"/>
        <v/>
      </c>
      <c r="R9" t="str">
        <f t="shared" si="4"/>
        <v/>
      </c>
    </row>
    <row r="10" spans="1:18" x14ac:dyDescent="0.25">
      <c r="L10" t="str">
        <f t="shared" si="0"/>
        <v/>
      </c>
      <c r="M10" t="b">
        <f t="shared" si="1"/>
        <v>0</v>
      </c>
      <c r="N10" t="str">
        <f>IF(M10,IF(B10="Fe",_xludf.XLOOKUP(A10,'Standards Catalogue'!$A:$A,'Standards Catalogue'!$B:$B,""),IF(B10="P",_xludf.XLOOKUP(A10,'Standards Catalogue'!$A:$A,'Standards Catalogue'!$D:$D,""),IF(B10="S",_xludf.XLOOKUP(A10,'Standards Catalogue'!$A:$A,'Standards Catalogue'!$F:$F,""),""))),"")</f>
        <v/>
      </c>
      <c r="O10" t="str">
        <f>IF(M10,IF(B10="Fe",_xludf.XLOOKUP(A10,'Standards Catalogue'!$A:$A,'Standards Catalogue'!$C:$C,""),IF(B10="P",_xludf.XLOOKUP(A10,'Standards Catalogue'!$A:$A,'Standards Catalogue'!$E:$E,""),IF(B10="S",_xludf.XLOOKUP(A10,'Standards Catalogue'!$A:$A,'Standards Catalogue'!$G:$G,""),""))),"")</f>
        <v/>
      </c>
      <c r="P10" t="str">
        <f t="shared" si="2"/>
        <v/>
      </c>
      <c r="Q10" t="str">
        <f t="shared" si="3"/>
        <v/>
      </c>
      <c r="R10" t="str">
        <f t="shared" si="4"/>
        <v/>
      </c>
    </row>
    <row r="11" spans="1:18" x14ac:dyDescent="0.25">
      <c r="L11" t="str">
        <f t="shared" si="0"/>
        <v/>
      </c>
      <c r="M11" t="b">
        <f t="shared" si="1"/>
        <v>0</v>
      </c>
      <c r="N11" t="str">
        <f>IF(M11,IF(B11="Fe",_xludf.XLOOKUP(A11,'Standards Catalogue'!$A:$A,'Standards Catalogue'!$B:$B,""),IF(B11="P",_xludf.XLOOKUP(A11,'Standards Catalogue'!$A:$A,'Standards Catalogue'!$D:$D,""),IF(B11="S",_xludf.XLOOKUP(A11,'Standards Catalogue'!$A:$A,'Standards Catalogue'!$F:$F,""),""))),"")</f>
        <v/>
      </c>
      <c r="O11" t="str">
        <f>IF(M11,IF(B11="Fe",_xludf.XLOOKUP(A11,'Standards Catalogue'!$A:$A,'Standards Catalogue'!$C:$C,""),IF(B11="P",_xludf.XLOOKUP(A11,'Standards Catalogue'!$A:$A,'Standards Catalogue'!$E:$E,""),IF(B11="S",_xludf.XLOOKUP(A11,'Standards Catalogue'!$A:$A,'Standards Catalogue'!$G:$G,""),""))),"")</f>
        <v/>
      </c>
      <c r="P11" t="str">
        <f t="shared" si="2"/>
        <v/>
      </c>
      <c r="Q11" t="str">
        <f t="shared" si="3"/>
        <v/>
      </c>
      <c r="R11" t="str">
        <f t="shared" si="4"/>
        <v/>
      </c>
    </row>
    <row r="12" spans="1:18" x14ac:dyDescent="0.25">
      <c r="L12" t="str">
        <f t="shared" si="0"/>
        <v/>
      </c>
      <c r="M12" t="b">
        <f t="shared" si="1"/>
        <v>0</v>
      </c>
      <c r="N12" t="str">
        <f>IF(M12,IF(B12="Fe",_xludf.XLOOKUP(A12,'Standards Catalogue'!$A:$A,'Standards Catalogue'!$B:$B,""),IF(B12="P",_xludf.XLOOKUP(A12,'Standards Catalogue'!$A:$A,'Standards Catalogue'!$D:$D,""),IF(B12="S",_xludf.XLOOKUP(A12,'Standards Catalogue'!$A:$A,'Standards Catalogue'!$F:$F,""),""))),"")</f>
        <v/>
      </c>
      <c r="O12" t="str">
        <f>IF(M12,IF(B12="Fe",_xludf.XLOOKUP(A12,'Standards Catalogue'!$A:$A,'Standards Catalogue'!$C:$C,""),IF(B12="P",_xludf.XLOOKUP(A12,'Standards Catalogue'!$A:$A,'Standards Catalogue'!$E:$E,""),IF(B12="S",_xludf.XLOOKUP(A12,'Standards Catalogue'!$A:$A,'Standards Catalogue'!$G:$G,""),""))),"")</f>
        <v/>
      </c>
      <c r="P12" t="str">
        <f t="shared" si="2"/>
        <v/>
      </c>
      <c r="Q12" t="str">
        <f t="shared" si="3"/>
        <v/>
      </c>
      <c r="R12" t="str">
        <f t="shared" si="4"/>
        <v/>
      </c>
    </row>
    <row r="13" spans="1:18" x14ac:dyDescent="0.25">
      <c r="L13" t="str">
        <f t="shared" si="0"/>
        <v/>
      </c>
      <c r="M13" t="b">
        <f t="shared" si="1"/>
        <v>0</v>
      </c>
      <c r="N13" t="str">
        <f>IF(M13,IF(B13="Fe",_xludf.XLOOKUP(A13,'Standards Catalogue'!$A:$A,'Standards Catalogue'!$B:$B,""),IF(B13="P",_xludf.XLOOKUP(A13,'Standards Catalogue'!$A:$A,'Standards Catalogue'!$D:$D,""),IF(B13="S",_xludf.XLOOKUP(A13,'Standards Catalogue'!$A:$A,'Standards Catalogue'!$F:$F,""),""))),"")</f>
        <v/>
      </c>
      <c r="O13" t="str">
        <f>IF(M13,IF(B13="Fe",_xludf.XLOOKUP(A13,'Standards Catalogue'!$A:$A,'Standards Catalogue'!$C:$C,""),IF(B13="P",_xludf.XLOOKUP(A13,'Standards Catalogue'!$A:$A,'Standards Catalogue'!$E:$E,""),IF(B13="S",_xludf.XLOOKUP(A13,'Standards Catalogue'!$A:$A,'Standards Catalogue'!$G:$G,""),""))),"")</f>
        <v/>
      </c>
      <c r="P13" t="str">
        <f t="shared" si="2"/>
        <v/>
      </c>
      <c r="Q13" t="str">
        <f t="shared" si="3"/>
        <v/>
      </c>
      <c r="R13" t="str">
        <f t="shared" si="4"/>
        <v/>
      </c>
    </row>
    <row r="14" spans="1:18" x14ac:dyDescent="0.25">
      <c r="L14" t="str">
        <f t="shared" si="0"/>
        <v/>
      </c>
      <c r="M14" t="b">
        <f t="shared" si="1"/>
        <v>0</v>
      </c>
      <c r="N14" t="str">
        <f>IF(M14,IF(B14="Fe",_xludf.XLOOKUP(A14,'Standards Catalogue'!$A:$A,'Standards Catalogue'!$B:$B,""),IF(B14="P",_xludf.XLOOKUP(A14,'Standards Catalogue'!$A:$A,'Standards Catalogue'!$D:$D,""),IF(B14="S",_xludf.XLOOKUP(A14,'Standards Catalogue'!$A:$A,'Standards Catalogue'!$F:$F,""),""))),"")</f>
        <v/>
      </c>
      <c r="O14" t="str">
        <f>IF(M14,IF(B14="Fe",_xludf.XLOOKUP(A14,'Standards Catalogue'!$A:$A,'Standards Catalogue'!$C:$C,""),IF(B14="P",_xludf.XLOOKUP(A14,'Standards Catalogue'!$A:$A,'Standards Catalogue'!$E:$E,""),IF(B14="S",_xludf.XLOOKUP(A14,'Standards Catalogue'!$A:$A,'Standards Catalogue'!$G:$G,""),""))),"")</f>
        <v/>
      </c>
      <c r="P14" t="str">
        <f t="shared" si="2"/>
        <v/>
      </c>
      <c r="Q14" t="str">
        <f t="shared" si="3"/>
        <v/>
      </c>
      <c r="R14" t="str">
        <f t="shared" si="4"/>
        <v/>
      </c>
    </row>
    <row r="15" spans="1:18" x14ac:dyDescent="0.25">
      <c r="L15" t="str">
        <f t="shared" si="0"/>
        <v/>
      </c>
      <c r="M15" t="b">
        <f t="shared" si="1"/>
        <v>0</v>
      </c>
      <c r="N15" t="str">
        <f>IF(M15,IF(B15="Fe",_xludf.XLOOKUP(A15,'Standards Catalogue'!$A:$A,'Standards Catalogue'!$B:$B,""),IF(B15="P",_xludf.XLOOKUP(A15,'Standards Catalogue'!$A:$A,'Standards Catalogue'!$D:$D,""),IF(B15="S",_xludf.XLOOKUP(A15,'Standards Catalogue'!$A:$A,'Standards Catalogue'!$F:$F,""),""))),"")</f>
        <v/>
      </c>
      <c r="O15" t="str">
        <f>IF(M15,IF(B15="Fe",_xludf.XLOOKUP(A15,'Standards Catalogue'!$A:$A,'Standards Catalogue'!$C:$C,""),IF(B15="P",_xludf.XLOOKUP(A15,'Standards Catalogue'!$A:$A,'Standards Catalogue'!$E:$E,""),IF(B15="S",_xludf.XLOOKUP(A15,'Standards Catalogue'!$A:$A,'Standards Catalogue'!$G:$G,""),""))),"")</f>
        <v/>
      </c>
      <c r="P15" t="str">
        <f t="shared" si="2"/>
        <v/>
      </c>
      <c r="Q15" t="str">
        <f t="shared" si="3"/>
        <v/>
      </c>
      <c r="R15" t="str">
        <f t="shared" si="4"/>
        <v/>
      </c>
    </row>
    <row r="16" spans="1:18" x14ac:dyDescent="0.25">
      <c r="L16" t="str">
        <f t="shared" si="0"/>
        <v/>
      </c>
      <c r="M16" t="b">
        <f t="shared" si="1"/>
        <v>0</v>
      </c>
      <c r="N16" t="str">
        <f>IF(M16,IF(B16="Fe",_xludf.XLOOKUP(A16,'Standards Catalogue'!$A:$A,'Standards Catalogue'!$B:$B,""),IF(B16="P",_xludf.XLOOKUP(A16,'Standards Catalogue'!$A:$A,'Standards Catalogue'!$D:$D,""),IF(B16="S",_xludf.XLOOKUP(A16,'Standards Catalogue'!$A:$A,'Standards Catalogue'!$F:$F,""),""))),"")</f>
        <v/>
      </c>
      <c r="O16" t="str">
        <f>IF(M16,IF(B16="Fe",_xludf.XLOOKUP(A16,'Standards Catalogue'!$A:$A,'Standards Catalogue'!$C:$C,""),IF(B16="P",_xludf.XLOOKUP(A16,'Standards Catalogue'!$A:$A,'Standards Catalogue'!$E:$E,""),IF(B16="S",_xludf.XLOOKUP(A16,'Standards Catalogue'!$A:$A,'Standards Catalogue'!$G:$G,""),""))),"")</f>
        <v/>
      </c>
      <c r="P16" t="str">
        <f t="shared" si="2"/>
        <v/>
      </c>
      <c r="Q16" t="str">
        <f t="shared" si="3"/>
        <v/>
      </c>
      <c r="R16" t="str">
        <f t="shared" si="4"/>
        <v/>
      </c>
    </row>
    <row r="17" spans="12:18" x14ac:dyDescent="0.25">
      <c r="L17" t="str">
        <f t="shared" si="0"/>
        <v/>
      </c>
      <c r="M17" t="b">
        <f t="shared" si="1"/>
        <v>0</v>
      </c>
      <c r="N17" t="str">
        <f>IF(M17,IF(B17="Fe",_xludf.XLOOKUP(A17,'Standards Catalogue'!$A:$A,'Standards Catalogue'!$B:$B,""),IF(B17="P",_xludf.XLOOKUP(A17,'Standards Catalogue'!$A:$A,'Standards Catalogue'!$D:$D,""),IF(B17="S",_xludf.XLOOKUP(A17,'Standards Catalogue'!$A:$A,'Standards Catalogue'!$F:$F,""),""))),"")</f>
        <v/>
      </c>
      <c r="O17" t="str">
        <f>IF(M17,IF(B17="Fe",_xludf.XLOOKUP(A17,'Standards Catalogue'!$A:$A,'Standards Catalogue'!$C:$C,""),IF(B17="P",_xludf.XLOOKUP(A17,'Standards Catalogue'!$A:$A,'Standards Catalogue'!$E:$E,""),IF(B17="S",_xludf.XLOOKUP(A17,'Standards Catalogue'!$A:$A,'Standards Catalogue'!$G:$G,""),""))),"")</f>
        <v/>
      </c>
      <c r="P17" t="str">
        <f t="shared" si="2"/>
        <v/>
      </c>
      <c r="Q17" t="str">
        <f t="shared" si="3"/>
        <v/>
      </c>
      <c r="R17" t="str">
        <f t="shared" si="4"/>
        <v/>
      </c>
    </row>
    <row r="18" spans="12:18" x14ac:dyDescent="0.25">
      <c r="L18" t="str">
        <f t="shared" si="0"/>
        <v/>
      </c>
      <c r="M18" t="b">
        <f t="shared" si="1"/>
        <v>0</v>
      </c>
      <c r="N18" t="str">
        <f>IF(M18,IF(B18="Fe",_xludf.XLOOKUP(A18,'Standards Catalogue'!$A:$A,'Standards Catalogue'!$B:$B,""),IF(B18="P",_xludf.XLOOKUP(A18,'Standards Catalogue'!$A:$A,'Standards Catalogue'!$D:$D,""),IF(B18="S",_xludf.XLOOKUP(A18,'Standards Catalogue'!$A:$A,'Standards Catalogue'!$F:$F,""),""))),"")</f>
        <v/>
      </c>
      <c r="O18" t="str">
        <f>IF(M18,IF(B18="Fe",_xludf.XLOOKUP(A18,'Standards Catalogue'!$A:$A,'Standards Catalogue'!$C:$C,""),IF(B18="P",_xludf.XLOOKUP(A18,'Standards Catalogue'!$A:$A,'Standards Catalogue'!$E:$E,""),IF(B18="S",_xludf.XLOOKUP(A18,'Standards Catalogue'!$A:$A,'Standards Catalogue'!$G:$G,""),""))),"")</f>
        <v/>
      </c>
      <c r="P18" t="str">
        <f t="shared" si="2"/>
        <v/>
      </c>
      <c r="Q18" t="str">
        <f t="shared" si="3"/>
        <v/>
      </c>
      <c r="R18" t="str">
        <f t="shared" si="4"/>
        <v/>
      </c>
    </row>
    <row r="19" spans="12:18" x14ac:dyDescent="0.25">
      <c r="L19" t="str">
        <f t="shared" si="0"/>
        <v/>
      </c>
      <c r="M19" t="b">
        <f t="shared" si="1"/>
        <v>0</v>
      </c>
      <c r="N19" t="str">
        <f>IF(M19,IF(B19="Fe",_xludf.XLOOKUP(A19,'Standards Catalogue'!$A:$A,'Standards Catalogue'!$B:$B,""),IF(B19="P",_xludf.XLOOKUP(A19,'Standards Catalogue'!$A:$A,'Standards Catalogue'!$D:$D,""),IF(B19="S",_xludf.XLOOKUP(A19,'Standards Catalogue'!$A:$A,'Standards Catalogue'!$F:$F,""),""))),"")</f>
        <v/>
      </c>
      <c r="O19" t="str">
        <f>IF(M19,IF(B19="Fe",_xludf.XLOOKUP(A19,'Standards Catalogue'!$A:$A,'Standards Catalogue'!$C:$C,""),IF(B19="P",_xludf.XLOOKUP(A19,'Standards Catalogue'!$A:$A,'Standards Catalogue'!$E:$E,""),IF(B19="S",_xludf.XLOOKUP(A19,'Standards Catalogue'!$A:$A,'Standards Catalogue'!$G:$G,""),""))),"")</f>
        <v/>
      </c>
      <c r="P19" t="str">
        <f t="shared" si="2"/>
        <v/>
      </c>
      <c r="Q19" t="str">
        <f t="shared" si="3"/>
        <v/>
      </c>
      <c r="R19" t="str">
        <f t="shared" si="4"/>
        <v/>
      </c>
    </row>
    <row r="20" spans="12:18" x14ac:dyDescent="0.25">
      <c r="L20" t="str">
        <f t="shared" si="0"/>
        <v/>
      </c>
      <c r="M20" t="b">
        <f t="shared" si="1"/>
        <v>0</v>
      </c>
      <c r="N20" t="str">
        <f>IF(M20,IF(B20="Fe",_xludf.XLOOKUP(A20,'Standards Catalogue'!$A:$A,'Standards Catalogue'!$B:$B,""),IF(B20="P",_xludf.XLOOKUP(A20,'Standards Catalogue'!$A:$A,'Standards Catalogue'!$D:$D,""),IF(B20="S",_xludf.XLOOKUP(A20,'Standards Catalogue'!$A:$A,'Standards Catalogue'!$F:$F,""),""))),"")</f>
        <v/>
      </c>
      <c r="O20" t="str">
        <f>IF(M20,IF(B20="Fe",_xludf.XLOOKUP(A20,'Standards Catalogue'!$A:$A,'Standards Catalogue'!$C:$C,""),IF(B20="P",_xludf.XLOOKUP(A20,'Standards Catalogue'!$A:$A,'Standards Catalogue'!$E:$E,""),IF(B20="S",_xludf.XLOOKUP(A20,'Standards Catalogue'!$A:$A,'Standards Catalogue'!$G:$G,""),""))),"")</f>
        <v/>
      </c>
      <c r="P20" t="str">
        <f t="shared" si="2"/>
        <v/>
      </c>
      <c r="Q20" t="str">
        <f t="shared" si="3"/>
        <v/>
      </c>
      <c r="R20" t="str">
        <f t="shared" si="4"/>
        <v/>
      </c>
    </row>
    <row r="21" spans="12:18" x14ac:dyDescent="0.25">
      <c r="L21" t="str">
        <f t="shared" si="0"/>
        <v/>
      </c>
      <c r="M21" t="b">
        <f t="shared" si="1"/>
        <v>0</v>
      </c>
      <c r="N21" t="str">
        <f>IF(M21,IF(B21="Fe",_xludf.XLOOKUP(A21,'Standards Catalogue'!$A:$A,'Standards Catalogue'!$B:$B,""),IF(B21="P",_xludf.XLOOKUP(A21,'Standards Catalogue'!$A:$A,'Standards Catalogue'!$D:$D,""),IF(B21="S",_xludf.XLOOKUP(A21,'Standards Catalogue'!$A:$A,'Standards Catalogue'!$F:$F,""),""))),"")</f>
        <v/>
      </c>
      <c r="O21" t="str">
        <f>IF(M21,IF(B21="Fe",_xludf.XLOOKUP(A21,'Standards Catalogue'!$A:$A,'Standards Catalogue'!$C:$C,""),IF(B21="P",_xludf.XLOOKUP(A21,'Standards Catalogue'!$A:$A,'Standards Catalogue'!$E:$E,""),IF(B21="S",_xludf.XLOOKUP(A21,'Standards Catalogue'!$A:$A,'Standards Catalogue'!$G:$G,""),""))),"")</f>
        <v/>
      </c>
      <c r="P21" t="str">
        <f t="shared" si="2"/>
        <v/>
      </c>
      <c r="Q21" t="str">
        <f t="shared" si="3"/>
        <v/>
      </c>
      <c r="R21" t="str">
        <f t="shared" si="4"/>
        <v/>
      </c>
    </row>
    <row r="22" spans="12:18" x14ac:dyDescent="0.25">
      <c r="L22" t="str">
        <f t="shared" si="0"/>
        <v/>
      </c>
      <c r="M22" t="b">
        <f t="shared" si="1"/>
        <v>0</v>
      </c>
      <c r="N22" t="str">
        <f>IF(M22,IF(B22="Fe",_xludf.XLOOKUP(A22,'Standards Catalogue'!$A:$A,'Standards Catalogue'!$B:$B,""),IF(B22="P",_xludf.XLOOKUP(A22,'Standards Catalogue'!$A:$A,'Standards Catalogue'!$D:$D,""),IF(B22="S",_xludf.XLOOKUP(A22,'Standards Catalogue'!$A:$A,'Standards Catalogue'!$F:$F,""),""))),"")</f>
        <v/>
      </c>
      <c r="O22" t="str">
        <f>IF(M22,IF(B22="Fe",_xludf.XLOOKUP(A22,'Standards Catalogue'!$A:$A,'Standards Catalogue'!$C:$C,""),IF(B22="P",_xludf.XLOOKUP(A22,'Standards Catalogue'!$A:$A,'Standards Catalogue'!$E:$E,""),IF(B22="S",_xludf.XLOOKUP(A22,'Standards Catalogue'!$A:$A,'Standards Catalogue'!$G:$G,""),""))),"")</f>
        <v/>
      </c>
      <c r="P22" t="str">
        <f t="shared" si="2"/>
        <v/>
      </c>
      <c r="Q22" t="str">
        <f t="shared" si="3"/>
        <v/>
      </c>
      <c r="R22" t="str">
        <f t="shared" si="4"/>
        <v/>
      </c>
    </row>
    <row r="23" spans="12:18" x14ac:dyDescent="0.25">
      <c r="L23" t="str">
        <f t="shared" si="0"/>
        <v/>
      </c>
      <c r="M23" t="b">
        <f t="shared" si="1"/>
        <v>0</v>
      </c>
      <c r="N23" t="str">
        <f>IF(M23,IF(B23="Fe",_xludf.XLOOKUP(A23,'Standards Catalogue'!$A:$A,'Standards Catalogue'!$B:$B,""),IF(B23="P",_xludf.XLOOKUP(A23,'Standards Catalogue'!$A:$A,'Standards Catalogue'!$D:$D,""),IF(B23="S",_xludf.XLOOKUP(A23,'Standards Catalogue'!$A:$A,'Standards Catalogue'!$F:$F,""),""))),"")</f>
        <v/>
      </c>
      <c r="O23" t="str">
        <f>IF(M23,IF(B23="Fe",_xludf.XLOOKUP(A23,'Standards Catalogue'!$A:$A,'Standards Catalogue'!$C:$C,""),IF(B23="P",_xludf.XLOOKUP(A23,'Standards Catalogue'!$A:$A,'Standards Catalogue'!$E:$E,""),IF(B23="S",_xludf.XLOOKUP(A23,'Standards Catalogue'!$A:$A,'Standards Catalogue'!$G:$G,""),""))),"")</f>
        <v/>
      </c>
      <c r="P23" t="str">
        <f t="shared" si="2"/>
        <v/>
      </c>
      <c r="Q23" t="str">
        <f t="shared" si="3"/>
        <v/>
      </c>
      <c r="R23" t="str">
        <f t="shared" si="4"/>
        <v/>
      </c>
    </row>
    <row r="24" spans="12:18" x14ac:dyDescent="0.25">
      <c r="L24" t="str">
        <f t="shared" si="0"/>
        <v/>
      </c>
      <c r="M24" t="b">
        <f t="shared" si="1"/>
        <v>0</v>
      </c>
      <c r="N24" t="str">
        <f>IF(M24,IF(B24="Fe",_xludf.XLOOKUP(A24,'Standards Catalogue'!$A:$A,'Standards Catalogue'!$B:$B,""),IF(B24="P",_xludf.XLOOKUP(A24,'Standards Catalogue'!$A:$A,'Standards Catalogue'!$D:$D,""),IF(B24="S",_xludf.XLOOKUP(A24,'Standards Catalogue'!$A:$A,'Standards Catalogue'!$F:$F,""),""))),"")</f>
        <v/>
      </c>
      <c r="O24" t="str">
        <f>IF(M24,IF(B24="Fe",_xludf.XLOOKUP(A24,'Standards Catalogue'!$A:$A,'Standards Catalogue'!$C:$C,""),IF(B24="P",_xludf.XLOOKUP(A24,'Standards Catalogue'!$A:$A,'Standards Catalogue'!$E:$E,""),IF(B24="S",_xludf.XLOOKUP(A24,'Standards Catalogue'!$A:$A,'Standards Catalogue'!$G:$G,""),""))),"")</f>
        <v/>
      </c>
      <c r="P24" t="str">
        <f t="shared" si="2"/>
        <v/>
      </c>
      <c r="Q24" t="str">
        <f t="shared" si="3"/>
        <v/>
      </c>
      <c r="R24" t="str">
        <f t="shared" si="4"/>
        <v/>
      </c>
    </row>
    <row r="25" spans="12:18" x14ac:dyDescent="0.25">
      <c r="L25" t="str">
        <f t="shared" si="0"/>
        <v/>
      </c>
      <c r="M25" t="b">
        <f t="shared" si="1"/>
        <v>0</v>
      </c>
      <c r="N25" t="str">
        <f>IF(M25,IF(B25="Fe",_xludf.XLOOKUP(A25,'Standards Catalogue'!$A:$A,'Standards Catalogue'!$B:$B,""),IF(B25="P",_xludf.XLOOKUP(A25,'Standards Catalogue'!$A:$A,'Standards Catalogue'!$D:$D,""),IF(B25="S",_xludf.XLOOKUP(A25,'Standards Catalogue'!$A:$A,'Standards Catalogue'!$F:$F,""),""))),"")</f>
        <v/>
      </c>
      <c r="O25" t="str">
        <f>IF(M25,IF(B25="Fe",_xludf.XLOOKUP(A25,'Standards Catalogue'!$A:$A,'Standards Catalogue'!$C:$C,""),IF(B25="P",_xludf.XLOOKUP(A25,'Standards Catalogue'!$A:$A,'Standards Catalogue'!$E:$E,""),IF(B25="S",_xludf.XLOOKUP(A25,'Standards Catalogue'!$A:$A,'Standards Catalogue'!$G:$G,""),""))),"")</f>
        <v/>
      </c>
      <c r="P25" t="str">
        <f t="shared" si="2"/>
        <v/>
      </c>
      <c r="Q25" t="str">
        <f t="shared" si="3"/>
        <v/>
      </c>
      <c r="R25" t="str">
        <f t="shared" si="4"/>
        <v/>
      </c>
    </row>
    <row r="26" spans="12:18" x14ac:dyDescent="0.25">
      <c r="L26" t="str">
        <f t="shared" si="0"/>
        <v/>
      </c>
      <c r="M26" t="b">
        <f t="shared" si="1"/>
        <v>0</v>
      </c>
      <c r="N26" t="str">
        <f>IF(M26,IF(B26="Fe",_xludf.XLOOKUP(A26,'Standards Catalogue'!$A:$A,'Standards Catalogue'!$B:$B,""),IF(B26="P",_xludf.XLOOKUP(A26,'Standards Catalogue'!$A:$A,'Standards Catalogue'!$D:$D,""),IF(B26="S",_xludf.XLOOKUP(A26,'Standards Catalogue'!$A:$A,'Standards Catalogue'!$F:$F,""),""))),"")</f>
        <v/>
      </c>
      <c r="O26" t="str">
        <f>IF(M26,IF(B26="Fe",_xludf.XLOOKUP(A26,'Standards Catalogue'!$A:$A,'Standards Catalogue'!$C:$C,""),IF(B26="P",_xludf.XLOOKUP(A26,'Standards Catalogue'!$A:$A,'Standards Catalogue'!$E:$E,""),IF(B26="S",_xludf.XLOOKUP(A26,'Standards Catalogue'!$A:$A,'Standards Catalogue'!$G:$G,""),""))),"")</f>
        <v/>
      </c>
      <c r="P26" t="str">
        <f t="shared" si="2"/>
        <v/>
      </c>
      <c r="Q26" t="str">
        <f t="shared" si="3"/>
        <v/>
      </c>
      <c r="R26" t="str">
        <f t="shared" si="4"/>
        <v/>
      </c>
    </row>
    <row r="27" spans="12:18" x14ac:dyDescent="0.25">
      <c r="L27" t="str">
        <f t="shared" si="0"/>
        <v/>
      </c>
      <c r="M27" t="b">
        <f t="shared" si="1"/>
        <v>0</v>
      </c>
      <c r="N27" t="str">
        <f>IF(M27,IF(B27="Fe",_xludf.XLOOKUP(A27,'Standards Catalogue'!$A:$A,'Standards Catalogue'!$B:$B,""),IF(B27="P",_xludf.XLOOKUP(A27,'Standards Catalogue'!$A:$A,'Standards Catalogue'!$D:$D,""),IF(B27="S",_xludf.XLOOKUP(A27,'Standards Catalogue'!$A:$A,'Standards Catalogue'!$F:$F,""),""))),"")</f>
        <v/>
      </c>
      <c r="O27" t="str">
        <f>IF(M27,IF(B27="Fe",_xludf.XLOOKUP(A27,'Standards Catalogue'!$A:$A,'Standards Catalogue'!$C:$C,""),IF(B27="P",_xludf.XLOOKUP(A27,'Standards Catalogue'!$A:$A,'Standards Catalogue'!$E:$E,""),IF(B27="S",_xludf.XLOOKUP(A27,'Standards Catalogue'!$A:$A,'Standards Catalogue'!$G:$G,""),""))),"")</f>
        <v/>
      </c>
      <c r="P27" t="str">
        <f t="shared" si="2"/>
        <v/>
      </c>
      <c r="Q27" t="str">
        <f t="shared" si="3"/>
        <v/>
      </c>
      <c r="R27" t="str">
        <f t="shared" si="4"/>
        <v/>
      </c>
    </row>
    <row r="28" spans="12:18" x14ac:dyDescent="0.25">
      <c r="L28" t="str">
        <f t="shared" si="0"/>
        <v/>
      </c>
      <c r="M28" t="b">
        <f t="shared" si="1"/>
        <v>0</v>
      </c>
      <c r="N28" t="str">
        <f>IF(M28,IF(B28="Fe",_xludf.XLOOKUP(A28,'Standards Catalogue'!$A:$A,'Standards Catalogue'!$B:$B,""),IF(B28="P",_xludf.XLOOKUP(A28,'Standards Catalogue'!$A:$A,'Standards Catalogue'!$D:$D,""),IF(B28="S",_xludf.XLOOKUP(A28,'Standards Catalogue'!$A:$A,'Standards Catalogue'!$F:$F,""),""))),"")</f>
        <v/>
      </c>
      <c r="O28" t="str">
        <f>IF(M28,IF(B28="Fe",_xludf.XLOOKUP(A28,'Standards Catalogue'!$A:$A,'Standards Catalogue'!$C:$C,""),IF(B28="P",_xludf.XLOOKUP(A28,'Standards Catalogue'!$A:$A,'Standards Catalogue'!$E:$E,""),IF(B28="S",_xludf.XLOOKUP(A28,'Standards Catalogue'!$A:$A,'Standards Catalogue'!$G:$G,""),""))),"")</f>
        <v/>
      </c>
      <c r="P28" t="str">
        <f t="shared" si="2"/>
        <v/>
      </c>
      <c r="Q28" t="str">
        <f t="shared" si="3"/>
        <v/>
      </c>
      <c r="R28" t="str">
        <f t="shared" si="4"/>
        <v/>
      </c>
    </row>
    <row r="29" spans="12:18" x14ac:dyDescent="0.25">
      <c r="L29" t="str">
        <f t="shared" si="0"/>
        <v/>
      </c>
      <c r="M29" t="b">
        <f t="shared" si="1"/>
        <v>0</v>
      </c>
      <c r="N29" t="str">
        <f>IF(M29,IF(B29="Fe",_xludf.XLOOKUP(A29,'Standards Catalogue'!$A:$A,'Standards Catalogue'!$B:$B,""),IF(B29="P",_xludf.XLOOKUP(A29,'Standards Catalogue'!$A:$A,'Standards Catalogue'!$D:$D,""),IF(B29="S",_xludf.XLOOKUP(A29,'Standards Catalogue'!$A:$A,'Standards Catalogue'!$F:$F,""),""))),"")</f>
        <v/>
      </c>
      <c r="O29" t="str">
        <f>IF(M29,IF(B29="Fe",_xludf.XLOOKUP(A29,'Standards Catalogue'!$A:$A,'Standards Catalogue'!$C:$C,""),IF(B29="P",_xludf.XLOOKUP(A29,'Standards Catalogue'!$A:$A,'Standards Catalogue'!$E:$E,""),IF(B29="S",_xludf.XLOOKUP(A29,'Standards Catalogue'!$A:$A,'Standards Catalogue'!$G:$G,""),""))),"")</f>
        <v/>
      </c>
      <c r="P29" t="str">
        <f t="shared" si="2"/>
        <v/>
      </c>
      <c r="Q29" t="str">
        <f t="shared" si="3"/>
        <v/>
      </c>
      <c r="R29" t="str">
        <f t="shared" si="4"/>
        <v/>
      </c>
    </row>
    <row r="30" spans="12:18" x14ac:dyDescent="0.25">
      <c r="L30" t="str">
        <f t="shared" si="0"/>
        <v/>
      </c>
      <c r="M30" t="b">
        <f t="shared" si="1"/>
        <v>0</v>
      </c>
      <c r="N30" t="str">
        <f>IF(M30,IF(B30="Fe",_xludf.XLOOKUP(A30,'Standards Catalogue'!$A:$A,'Standards Catalogue'!$B:$B,""),IF(B30="P",_xludf.XLOOKUP(A30,'Standards Catalogue'!$A:$A,'Standards Catalogue'!$D:$D,""),IF(B30="S",_xludf.XLOOKUP(A30,'Standards Catalogue'!$A:$A,'Standards Catalogue'!$F:$F,""),""))),"")</f>
        <v/>
      </c>
      <c r="O30" t="str">
        <f>IF(M30,IF(B30="Fe",_xludf.XLOOKUP(A30,'Standards Catalogue'!$A:$A,'Standards Catalogue'!$C:$C,""),IF(B30="P",_xludf.XLOOKUP(A30,'Standards Catalogue'!$A:$A,'Standards Catalogue'!$E:$E,""),IF(B30="S",_xludf.XLOOKUP(A30,'Standards Catalogue'!$A:$A,'Standards Catalogue'!$G:$G,""),""))),"")</f>
        <v/>
      </c>
      <c r="P30" t="str">
        <f t="shared" si="2"/>
        <v/>
      </c>
      <c r="Q30" t="str">
        <f t="shared" si="3"/>
        <v/>
      </c>
      <c r="R30" t="str">
        <f t="shared" si="4"/>
        <v/>
      </c>
    </row>
    <row r="31" spans="12:18" x14ac:dyDescent="0.25">
      <c r="L31" t="str">
        <f t="shared" si="0"/>
        <v/>
      </c>
      <c r="M31" t="b">
        <f t="shared" si="1"/>
        <v>0</v>
      </c>
      <c r="N31" t="str">
        <f>IF(M31,IF(B31="Fe",_xludf.XLOOKUP(A31,'Standards Catalogue'!$A:$A,'Standards Catalogue'!$B:$B,""),IF(B31="P",_xludf.XLOOKUP(A31,'Standards Catalogue'!$A:$A,'Standards Catalogue'!$D:$D,""),IF(B31="S",_xludf.XLOOKUP(A31,'Standards Catalogue'!$A:$A,'Standards Catalogue'!$F:$F,""),""))),"")</f>
        <v/>
      </c>
      <c r="O31" t="str">
        <f>IF(M31,IF(B31="Fe",_xludf.XLOOKUP(A31,'Standards Catalogue'!$A:$A,'Standards Catalogue'!$C:$C,""),IF(B31="P",_xludf.XLOOKUP(A31,'Standards Catalogue'!$A:$A,'Standards Catalogue'!$E:$E,""),IF(B31="S",_xludf.XLOOKUP(A31,'Standards Catalogue'!$A:$A,'Standards Catalogue'!$G:$G,""),""))),"")</f>
        <v/>
      </c>
      <c r="P31" t="str">
        <f t="shared" si="2"/>
        <v/>
      </c>
      <c r="Q31" t="str">
        <f t="shared" si="3"/>
        <v/>
      </c>
      <c r="R31" t="str">
        <f t="shared" si="4"/>
        <v/>
      </c>
    </row>
    <row r="32" spans="12:18" x14ac:dyDescent="0.25">
      <c r="L32" t="str">
        <f t="shared" si="0"/>
        <v/>
      </c>
      <c r="M32" t="b">
        <f t="shared" si="1"/>
        <v>0</v>
      </c>
      <c r="N32" t="str">
        <f>IF(M32,IF(B32="Fe",_xludf.XLOOKUP(A32,'Standards Catalogue'!$A:$A,'Standards Catalogue'!$B:$B,""),IF(B32="P",_xludf.XLOOKUP(A32,'Standards Catalogue'!$A:$A,'Standards Catalogue'!$D:$D,""),IF(B32="S",_xludf.XLOOKUP(A32,'Standards Catalogue'!$A:$A,'Standards Catalogue'!$F:$F,""),""))),"")</f>
        <v/>
      </c>
      <c r="O32" t="str">
        <f>IF(M32,IF(B32="Fe",_xludf.XLOOKUP(A32,'Standards Catalogue'!$A:$A,'Standards Catalogue'!$C:$C,""),IF(B32="P",_xludf.XLOOKUP(A32,'Standards Catalogue'!$A:$A,'Standards Catalogue'!$E:$E,""),IF(B32="S",_xludf.XLOOKUP(A32,'Standards Catalogue'!$A:$A,'Standards Catalogue'!$G:$G,""),""))),"")</f>
        <v/>
      </c>
      <c r="P32" t="str">
        <f t="shared" si="2"/>
        <v/>
      </c>
      <c r="Q32" t="str">
        <f t="shared" si="3"/>
        <v/>
      </c>
      <c r="R32" t="str">
        <f t="shared" si="4"/>
        <v/>
      </c>
    </row>
    <row r="33" spans="12:18" x14ac:dyDescent="0.25">
      <c r="L33" t="str">
        <f t="shared" si="0"/>
        <v/>
      </c>
      <c r="M33" t="b">
        <f t="shared" si="1"/>
        <v>0</v>
      </c>
      <c r="N33" t="str">
        <f>IF(M33,IF(B33="Fe",_xludf.XLOOKUP(A33,'Standards Catalogue'!$A:$A,'Standards Catalogue'!$B:$B,""),IF(B33="P",_xludf.XLOOKUP(A33,'Standards Catalogue'!$A:$A,'Standards Catalogue'!$D:$D,""),IF(B33="S",_xludf.XLOOKUP(A33,'Standards Catalogue'!$A:$A,'Standards Catalogue'!$F:$F,""),""))),"")</f>
        <v/>
      </c>
      <c r="O33" t="str">
        <f>IF(M33,IF(B33="Fe",_xludf.XLOOKUP(A33,'Standards Catalogue'!$A:$A,'Standards Catalogue'!$C:$C,""),IF(B33="P",_xludf.XLOOKUP(A33,'Standards Catalogue'!$A:$A,'Standards Catalogue'!$E:$E,""),IF(B33="S",_xludf.XLOOKUP(A33,'Standards Catalogue'!$A:$A,'Standards Catalogue'!$G:$G,""),""))),"")</f>
        <v/>
      </c>
      <c r="P33" t="str">
        <f t="shared" si="2"/>
        <v/>
      </c>
      <c r="Q33" t="str">
        <f t="shared" si="3"/>
        <v/>
      </c>
      <c r="R33" t="str">
        <f t="shared" si="4"/>
        <v/>
      </c>
    </row>
    <row r="34" spans="12:18" x14ac:dyDescent="0.25">
      <c r="L34" t="str">
        <f t="shared" si="0"/>
        <v/>
      </c>
      <c r="M34" t="b">
        <f t="shared" si="1"/>
        <v>0</v>
      </c>
      <c r="N34" t="str">
        <f>IF(M34,IF(B34="Fe",_xludf.XLOOKUP(A34,'Standards Catalogue'!$A:$A,'Standards Catalogue'!$B:$B,""),IF(B34="P",_xludf.XLOOKUP(A34,'Standards Catalogue'!$A:$A,'Standards Catalogue'!$D:$D,""),IF(B34="S",_xludf.XLOOKUP(A34,'Standards Catalogue'!$A:$A,'Standards Catalogue'!$F:$F,""),""))),"")</f>
        <v/>
      </c>
      <c r="O34" t="str">
        <f>IF(M34,IF(B34="Fe",_xludf.XLOOKUP(A34,'Standards Catalogue'!$A:$A,'Standards Catalogue'!$C:$C,""),IF(B34="P",_xludf.XLOOKUP(A34,'Standards Catalogue'!$A:$A,'Standards Catalogue'!$E:$E,""),IF(B34="S",_xludf.XLOOKUP(A34,'Standards Catalogue'!$A:$A,'Standards Catalogue'!$G:$G,""),""))),"")</f>
        <v/>
      </c>
      <c r="P34" t="str">
        <f t="shared" si="2"/>
        <v/>
      </c>
      <c r="Q34" t="str">
        <f t="shared" si="3"/>
        <v/>
      </c>
      <c r="R34" t="str">
        <f t="shared" si="4"/>
        <v/>
      </c>
    </row>
    <row r="35" spans="12:18" x14ac:dyDescent="0.25">
      <c r="L35" t="str">
        <f t="shared" si="0"/>
        <v/>
      </c>
      <c r="M35" t="b">
        <f t="shared" si="1"/>
        <v>0</v>
      </c>
      <c r="N35" t="str">
        <f>IF(M35,IF(B35="Fe",_xludf.XLOOKUP(A35,'Standards Catalogue'!$A:$A,'Standards Catalogue'!$B:$B,""),IF(B35="P",_xludf.XLOOKUP(A35,'Standards Catalogue'!$A:$A,'Standards Catalogue'!$D:$D,""),IF(B35="S",_xludf.XLOOKUP(A35,'Standards Catalogue'!$A:$A,'Standards Catalogue'!$F:$F,""),""))),"")</f>
        <v/>
      </c>
      <c r="O35" t="str">
        <f>IF(M35,IF(B35="Fe",_xludf.XLOOKUP(A35,'Standards Catalogue'!$A:$A,'Standards Catalogue'!$C:$C,""),IF(B35="P",_xludf.XLOOKUP(A35,'Standards Catalogue'!$A:$A,'Standards Catalogue'!$E:$E,""),IF(B35="S",_xludf.XLOOKUP(A35,'Standards Catalogue'!$A:$A,'Standards Catalogue'!$G:$G,""),""))),"")</f>
        <v/>
      </c>
      <c r="P35" t="str">
        <f t="shared" si="2"/>
        <v/>
      </c>
      <c r="Q35" t="str">
        <f t="shared" si="3"/>
        <v/>
      </c>
      <c r="R35" t="str">
        <f t="shared" si="4"/>
        <v/>
      </c>
    </row>
    <row r="36" spans="12:18" x14ac:dyDescent="0.25">
      <c r="L36" t="str">
        <f t="shared" si="0"/>
        <v/>
      </c>
      <c r="M36" t="b">
        <f t="shared" si="1"/>
        <v>0</v>
      </c>
      <c r="N36" t="str">
        <f>IF(M36,IF(B36="Fe",_xludf.XLOOKUP(A36,'Standards Catalogue'!$A:$A,'Standards Catalogue'!$B:$B,""),IF(B36="P",_xludf.XLOOKUP(A36,'Standards Catalogue'!$A:$A,'Standards Catalogue'!$D:$D,""),IF(B36="S",_xludf.XLOOKUP(A36,'Standards Catalogue'!$A:$A,'Standards Catalogue'!$F:$F,""),""))),"")</f>
        <v/>
      </c>
      <c r="O36" t="str">
        <f>IF(M36,IF(B36="Fe",_xludf.XLOOKUP(A36,'Standards Catalogue'!$A:$A,'Standards Catalogue'!$C:$C,""),IF(B36="P",_xludf.XLOOKUP(A36,'Standards Catalogue'!$A:$A,'Standards Catalogue'!$E:$E,""),IF(B36="S",_xludf.XLOOKUP(A36,'Standards Catalogue'!$A:$A,'Standards Catalogue'!$G:$G,""),""))),"")</f>
        <v/>
      </c>
      <c r="P36" t="str">
        <f t="shared" si="2"/>
        <v/>
      </c>
      <c r="Q36" t="str">
        <f t="shared" si="3"/>
        <v/>
      </c>
      <c r="R36" t="str">
        <f t="shared" si="4"/>
        <v/>
      </c>
    </row>
    <row r="37" spans="12:18" x14ac:dyDescent="0.25">
      <c r="L37" t="str">
        <f t="shared" si="0"/>
        <v/>
      </c>
      <c r="M37" t="b">
        <f t="shared" si="1"/>
        <v>0</v>
      </c>
      <c r="N37" t="str">
        <f>IF(M37,IF(B37="Fe",_xludf.XLOOKUP(A37,'Standards Catalogue'!$A:$A,'Standards Catalogue'!$B:$B,""),IF(B37="P",_xludf.XLOOKUP(A37,'Standards Catalogue'!$A:$A,'Standards Catalogue'!$D:$D,""),IF(B37="S",_xludf.XLOOKUP(A37,'Standards Catalogue'!$A:$A,'Standards Catalogue'!$F:$F,""),""))),"")</f>
        <v/>
      </c>
      <c r="O37" t="str">
        <f>IF(M37,IF(B37="Fe",_xludf.XLOOKUP(A37,'Standards Catalogue'!$A:$A,'Standards Catalogue'!$C:$C,""),IF(B37="P",_xludf.XLOOKUP(A37,'Standards Catalogue'!$A:$A,'Standards Catalogue'!$E:$E,""),IF(B37="S",_xludf.XLOOKUP(A37,'Standards Catalogue'!$A:$A,'Standards Catalogue'!$G:$G,""),""))),"")</f>
        <v/>
      </c>
      <c r="P37" t="str">
        <f t="shared" si="2"/>
        <v/>
      </c>
      <c r="Q37" t="str">
        <f t="shared" si="3"/>
        <v/>
      </c>
      <c r="R37" t="str">
        <f t="shared" si="4"/>
        <v/>
      </c>
    </row>
    <row r="38" spans="12:18" x14ac:dyDescent="0.25">
      <c r="L38" t="str">
        <f t="shared" si="0"/>
        <v/>
      </c>
      <c r="M38" t="b">
        <f t="shared" si="1"/>
        <v>0</v>
      </c>
      <c r="N38" t="str">
        <f>IF(M38,IF(B38="Fe",_xludf.XLOOKUP(A38,'Standards Catalogue'!$A:$A,'Standards Catalogue'!$B:$B,""),IF(B38="P",_xludf.XLOOKUP(A38,'Standards Catalogue'!$A:$A,'Standards Catalogue'!$D:$D,""),IF(B38="S",_xludf.XLOOKUP(A38,'Standards Catalogue'!$A:$A,'Standards Catalogue'!$F:$F,""),""))),"")</f>
        <v/>
      </c>
      <c r="O38" t="str">
        <f>IF(M38,IF(B38="Fe",_xludf.XLOOKUP(A38,'Standards Catalogue'!$A:$A,'Standards Catalogue'!$C:$C,""),IF(B38="P",_xludf.XLOOKUP(A38,'Standards Catalogue'!$A:$A,'Standards Catalogue'!$E:$E,""),IF(B38="S",_xludf.XLOOKUP(A38,'Standards Catalogue'!$A:$A,'Standards Catalogue'!$G:$G,""),""))),"")</f>
        <v/>
      </c>
      <c r="P38" t="str">
        <f t="shared" si="2"/>
        <v/>
      </c>
      <c r="Q38" t="str">
        <f t="shared" si="3"/>
        <v/>
      </c>
      <c r="R38" t="str">
        <f t="shared" si="4"/>
        <v/>
      </c>
    </row>
    <row r="39" spans="12:18" x14ac:dyDescent="0.25">
      <c r="L39" t="str">
        <f t="shared" si="0"/>
        <v/>
      </c>
      <c r="M39" t="b">
        <f t="shared" si="1"/>
        <v>0</v>
      </c>
      <c r="N39" t="str">
        <f>IF(M39,IF(B39="Fe",_xludf.XLOOKUP(A39,'Standards Catalogue'!$A:$A,'Standards Catalogue'!$B:$B,""),IF(B39="P",_xludf.XLOOKUP(A39,'Standards Catalogue'!$A:$A,'Standards Catalogue'!$D:$D,""),IF(B39="S",_xludf.XLOOKUP(A39,'Standards Catalogue'!$A:$A,'Standards Catalogue'!$F:$F,""),""))),"")</f>
        <v/>
      </c>
      <c r="O39" t="str">
        <f>IF(M39,IF(B39="Fe",_xludf.XLOOKUP(A39,'Standards Catalogue'!$A:$A,'Standards Catalogue'!$C:$C,""),IF(B39="P",_xludf.XLOOKUP(A39,'Standards Catalogue'!$A:$A,'Standards Catalogue'!$E:$E,""),IF(B39="S",_xludf.XLOOKUP(A39,'Standards Catalogue'!$A:$A,'Standards Catalogue'!$G:$G,""),""))),"")</f>
        <v/>
      </c>
      <c r="P39" t="str">
        <f t="shared" si="2"/>
        <v/>
      </c>
      <c r="Q39" t="str">
        <f t="shared" si="3"/>
        <v/>
      </c>
      <c r="R39" t="str">
        <f t="shared" si="4"/>
        <v/>
      </c>
    </row>
    <row r="40" spans="12:18" x14ac:dyDescent="0.25">
      <c r="L40" t="str">
        <f t="shared" si="0"/>
        <v/>
      </c>
      <c r="M40" t="b">
        <f t="shared" si="1"/>
        <v>0</v>
      </c>
      <c r="N40" t="str">
        <f>IF(M40,IF(B40="Fe",_xludf.XLOOKUP(A40,'Standards Catalogue'!$A:$A,'Standards Catalogue'!$B:$B,""),IF(B40="P",_xludf.XLOOKUP(A40,'Standards Catalogue'!$A:$A,'Standards Catalogue'!$D:$D,""),IF(B40="S",_xludf.XLOOKUP(A40,'Standards Catalogue'!$A:$A,'Standards Catalogue'!$F:$F,""),""))),"")</f>
        <v/>
      </c>
      <c r="O40" t="str">
        <f>IF(M40,IF(B40="Fe",_xludf.XLOOKUP(A40,'Standards Catalogue'!$A:$A,'Standards Catalogue'!$C:$C,""),IF(B40="P",_xludf.XLOOKUP(A40,'Standards Catalogue'!$A:$A,'Standards Catalogue'!$E:$E,""),IF(B40="S",_xludf.XLOOKUP(A40,'Standards Catalogue'!$A:$A,'Standards Catalogue'!$G:$G,""),""))),"")</f>
        <v/>
      </c>
      <c r="P40" t="str">
        <f t="shared" si="2"/>
        <v/>
      </c>
      <c r="Q40" t="str">
        <f t="shared" si="3"/>
        <v/>
      </c>
      <c r="R40" t="str">
        <f t="shared" si="4"/>
        <v/>
      </c>
    </row>
    <row r="41" spans="12:18" x14ac:dyDescent="0.25">
      <c r="L41" t="str">
        <f t="shared" si="0"/>
        <v/>
      </c>
      <c r="M41" t="b">
        <f t="shared" si="1"/>
        <v>0</v>
      </c>
      <c r="N41" t="str">
        <f>IF(M41,IF(B41="Fe",_xludf.XLOOKUP(A41,'Standards Catalogue'!$A:$A,'Standards Catalogue'!$B:$B,""),IF(B41="P",_xludf.XLOOKUP(A41,'Standards Catalogue'!$A:$A,'Standards Catalogue'!$D:$D,""),IF(B41="S",_xludf.XLOOKUP(A41,'Standards Catalogue'!$A:$A,'Standards Catalogue'!$F:$F,""),""))),"")</f>
        <v/>
      </c>
      <c r="O41" t="str">
        <f>IF(M41,IF(B41="Fe",_xludf.XLOOKUP(A41,'Standards Catalogue'!$A:$A,'Standards Catalogue'!$C:$C,""),IF(B41="P",_xludf.XLOOKUP(A41,'Standards Catalogue'!$A:$A,'Standards Catalogue'!$E:$E,""),IF(B41="S",_xludf.XLOOKUP(A41,'Standards Catalogue'!$A:$A,'Standards Catalogue'!$G:$G,""),""))),"")</f>
        <v/>
      </c>
      <c r="P41" t="str">
        <f t="shared" si="2"/>
        <v/>
      </c>
      <c r="Q41" t="str">
        <f t="shared" si="3"/>
        <v/>
      </c>
      <c r="R41" t="str">
        <f t="shared" si="4"/>
        <v/>
      </c>
    </row>
    <row r="42" spans="12:18" x14ac:dyDescent="0.25">
      <c r="L42" t="str">
        <f t="shared" si="0"/>
        <v/>
      </c>
      <c r="M42" t="b">
        <f t="shared" si="1"/>
        <v>0</v>
      </c>
      <c r="N42" t="str">
        <f>IF(M42,IF(B42="Fe",_xludf.XLOOKUP(A42,'Standards Catalogue'!$A:$A,'Standards Catalogue'!$B:$B,""),IF(B42="P",_xludf.XLOOKUP(A42,'Standards Catalogue'!$A:$A,'Standards Catalogue'!$D:$D,""),IF(B42="S",_xludf.XLOOKUP(A42,'Standards Catalogue'!$A:$A,'Standards Catalogue'!$F:$F,""),""))),"")</f>
        <v/>
      </c>
      <c r="O42" t="str">
        <f>IF(M42,IF(B42="Fe",_xludf.XLOOKUP(A42,'Standards Catalogue'!$A:$A,'Standards Catalogue'!$C:$C,""),IF(B42="P",_xludf.XLOOKUP(A42,'Standards Catalogue'!$A:$A,'Standards Catalogue'!$E:$E,""),IF(B42="S",_xludf.XLOOKUP(A42,'Standards Catalogue'!$A:$A,'Standards Catalogue'!$G:$G,""),""))),"")</f>
        <v/>
      </c>
      <c r="P42" t="str">
        <f t="shared" si="2"/>
        <v/>
      </c>
      <c r="Q42" t="str">
        <f t="shared" si="3"/>
        <v/>
      </c>
      <c r="R42" t="str">
        <f t="shared" si="4"/>
        <v/>
      </c>
    </row>
    <row r="43" spans="12:18" x14ac:dyDescent="0.25">
      <c r="L43" t="str">
        <f t="shared" si="0"/>
        <v/>
      </c>
      <c r="M43" t="b">
        <f t="shared" si="1"/>
        <v>0</v>
      </c>
      <c r="N43" t="str">
        <f>IF(M43,IF(B43="Fe",_xludf.XLOOKUP(A43,'Standards Catalogue'!$A:$A,'Standards Catalogue'!$B:$B,""),IF(B43="P",_xludf.XLOOKUP(A43,'Standards Catalogue'!$A:$A,'Standards Catalogue'!$D:$D,""),IF(B43="S",_xludf.XLOOKUP(A43,'Standards Catalogue'!$A:$A,'Standards Catalogue'!$F:$F,""),""))),"")</f>
        <v/>
      </c>
      <c r="O43" t="str">
        <f>IF(M43,IF(B43="Fe",_xludf.XLOOKUP(A43,'Standards Catalogue'!$A:$A,'Standards Catalogue'!$C:$C,""),IF(B43="P",_xludf.XLOOKUP(A43,'Standards Catalogue'!$A:$A,'Standards Catalogue'!$E:$E,""),IF(B43="S",_xludf.XLOOKUP(A43,'Standards Catalogue'!$A:$A,'Standards Catalogue'!$G:$G,""),""))),"")</f>
        <v/>
      </c>
      <c r="P43" t="str">
        <f t="shared" si="2"/>
        <v/>
      </c>
      <c r="Q43" t="str">
        <f t="shared" si="3"/>
        <v/>
      </c>
      <c r="R43" t="str">
        <f t="shared" si="4"/>
        <v/>
      </c>
    </row>
    <row r="44" spans="12:18" x14ac:dyDescent="0.25">
      <c r="L44" t="str">
        <f t="shared" si="0"/>
        <v/>
      </c>
      <c r="M44" t="b">
        <f t="shared" si="1"/>
        <v>0</v>
      </c>
      <c r="N44" t="str">
        <f>IF(M44,IF(B44="Fe",_xludf.XLOOKUP(A44,'Standards Catalogue'!$A:$A,'Standards Catalogue'!$B:$B,""),IF(B44="P",_xludf.XLOOKUP(A44,'Standards Catalogue'!$A:$A,'Standards Catalogue'!$D:$D,""),IF(B44="S",_xludf.XLOOKUP(A44,'Standards Catalogue'!$A:$A,'Standards Catalogue'!$F:$F,""),""))),"")</f>
        <v/>
      </c>
      <c r="O44" t="str">
        <f>IF(M44,IF(B44="Fe",_xludf.XLOOKUP(A44,'Standards Catalogue'!$A:$A,'Standards Catalogue'!$C:$C,""),IF(B44="P",_xludf.XLOOKUP(A44,'Standards Catalogue'!$A:$A,'Standards Catalogue'!$E:$E,""),IF(B44="S",_xludf.XLOOKUP(A44,'Standards Catalogue'!$A:$A,'Standards Catalogue'!$G:$G,""),""))),"")</f>
        <v/>
      </c>
      <c r="P44" t="str">
        <f t="shared" si="2"/>
        <v/>
      </c>
      <c r="Q44" t="str">
        <f t="shared" si="3"/>
        <v/>
      </c>
      <c r="R44" t="str">
        <f t="shared" si="4"/>
        <v/>
      </c>
    </row>
    <row r="45" spans="12:18" x14ac:dyDescent="0.25">
      <c r="L45" t="str">
        <f t="shared" si="0"/>
        <v/>
      </c>
      <c r="M45" t="b">
        <f t="shared" si="1"/>
        <v>0</v>
      </c>
      <c r="N45" t="str">
        <f>IF(M45,IF(B45="Fe",_xludf.XLOOKUP(A45,'Standards Catalogue'!$A:$A,'Standards Catalogue'!$B:$B,""),IF(B45="P",_xludf.XLOOKUP(A45,'Standards Catalogue'!$A:$A,'Standards Catalogue'!$D:$D,""),IF(B45="S",_xludf.XLOOKUP(A45,'Standards Catalogue'!$A:$A,'Standards Catalogue'!$F:$F,""),""))),"")</f>
        <v/>
      </c>
      <c r="O45" t="str">
        <f>IF(M45,IF(B45="Fe",_xludf.XLOOKUP(A45,'Standards Catalogue'!$A:$A,'Standards Catalogue'!$C:$C,""),IF(B45="P",_xludf.XLOOKUP(A45,'Standards Catalogue'!$A:$A,'Standards Catalogue'!$E:$E,""),IF(B45="S",_xludf.XLOOKUP(A45,'Standards Catalogue'!$A:$A,'Standards Catalogue'!$G:$G,""),""))),"")</f>
        <v/>
      </c>
      <c r="P45" t="str">
        <f t="shared" si="2"/>
        <v/>
      </c>
      <c r="Q45" t="str">
        <f t="shared" si="3"/>
        <v/>
      </c>
      <c r="R45" t="str">
        <f t="shared" si="4"/>
        <v/>
      </c>
    </row>
    <row r="46" spans="12:18" x14ac:dyDescent="0.25">
      <c r="L46" t="str">
        <f t="shared" si="0"/>
        <v/>
      </c>
      <c r="M46" t="b">
        <f t="shared" si="1"/>
        <v>0</v>
      </c>
      <c r="N46" t="str">
        <f>IF(M46,IF(B46="Fe",_xludf.XLOOKUP(A46,'Standards Catalogue'!$A:$A,'Standards Catalogue'!$B:$B,""),IF(B46="P",_xludf.XLOOKUP(A46,'Standards Catalogue'!$A:$A,'Standards Catalogue'!$D:$D,""),IF(B46="S",_xludf.XLOOKUP(A46,'Standards Catalogue'!$A:$A,'Standards Catalogue'!$F:$F,""),""))),"")</f>
        <v/>
      </c>
      <c r="O46" t="str">
        <f>IF(M46,IF(B46="Fe",_xludf.XLOOKUP(A46,'Standards Catalogue'!$A:$A,'Standards Catalogue'!$C:$C,""),IF(B46="P",_xludf.XLOOKUP(A46,'Standards Catalogue'!$A:$A,'Standards Catalogue'!$E:$E,""),IF(B46="S",_xludf.XLOOKUP(A46,'Standards Catalogue'!$A:$A,'Standards Catalogue'!$G:$G,""),""))),"")</f>
        <v/>
      </c>
      <c r="P46" t="str">
        <f t="shared" si="2"/>
        <v/>
      </c>
      <c r="Q46" t="str">
        <f t="shared" si="3"/>
        <v/>
      </c>
      <c r="R46" t="str">
        <f t="shared" si="4"/>
        <v/>
      </c>
    </row>
    <row r="47" spans="12:18" x14ac:dyDescent="0.25">
      <c r="L47" t="str">
        <f t="shared" si="0"/>
        <v/>
      </c>
      <c r="M47" t="b">
        <f t="shared" si="1"/>
        <v>0</v>
      </c>
      <c r="N47" t="str">
        <f>IF(M47,IF(B47="Fe",_xludf.XLOOKUP(A47,'Standards Catalogue'!$A:$A,'Standards Catalogue'!$B:$B,""),IF(B47="P",_xludf.XLOOKUP(A47,'Standards Catalogue'!$A:$A,'Standards Catalogue'!$D:$D,""),IF(B47="S",_xludf.XLOOKUP(A47,'Standards Catalogue'!$A:$A,'Standards Catalogue'!$F:$F,""),""))),"")</f>
        <v/>
      </c>
      <c r="O47" t="str">
        <f>IF(M47,IF(B47="Fe",_xludf.XLOOKUP(A47,'Standards Catalogue'!$A:$A,'Standards Catalogue'!$C:$C,""),IF(B47="P",_xludf.XLOOKUP(A47,'Standards Catalogue'!$A:$A,'Standards Catalogue'!$E:$E,""),IF(B47="S",_xludf.XLOOKUP(A47,'Standards Catalogue'!$A:$A,'Standards Catalogue'!$G:$G,""),""))),"")</f>
        <v/>
      </c>
      <c r="P47" t="str">
        <f t="shared" si="2"/>
        <v/>
      </c>
      <c r="Q47" t="str">
        <f t="shared" si="3"/>
        <v/>
      </c>
      <c r="R47" t="str">
        <f t="shared" si="4"/>
        <v/>
      </c>
    </row>
    <row r="48" spans="12:18" x14ac:dyDescent="0.25">
      <c r="L48" t="str">
        <f t="shared" si="0"/>
        <v/>
      </c>
      <c r="M48" t="b">
        <f t="shared" si="1"/>
        <v>0</v>
      </c>
      <c r="N48" t="str">
        <f>IF(M48,IF(B48="Fe",_xludf.XLOOKUP(A48,'Standards Catalogue'!$A:$A,'Standards Catalogue'!$B:$B,""),IF(B48="P",_xludf.XLOOKUP(A48,'Standards Catalogue'!$A:$A,'Standards Catalogue'!$D:$D,""),IF(B48="S",_xludf.XLOOKUP(A48,'Standards Catalogue'!$A:$A,'Standards Catalogue'!$F:$F,""),""))),"")</f>
        <v/>
      </c>
      <c r="O48" t="str">
        <f>IF(M48,IF(B48="Fe",_xludf.XLOOKUP(A48,'Standards Catalogue'!$A:$A,'Standards Catalogue'!$C:$C,""),IF(B48="P",_xludf.XLOOKUP(A48,'Standards Catalogue'!$A:$A,'Standards Catalogue'!$E:$E,""),IF(B48="S",_xludf.XLOOKUP(A48,'Standards Catalogue'!$A:$A,'Standards Catalogue'!$G:$G,""),""))),"")</f>
        <v/>
      </c>
      <c r="P48" t="str">
        <f t="shared" si="2"/>
        <v/>
      </c>
      <c r="Q48" t="str">
        <f t="shared" si="3"/>
        <v/>
      </c>
      <c r="R48" t="str">
        <f t="shared" si="4"/>
        <v/>
      </c>
    </row>
    <row r="49" spans="12:18" x14ac:dyDescent="0.25">
      <c r="L49" t="str">
        <f t="shared" si="0"/>
        <v/>
      </c>
      <c r="M49" t="b">
        <f t="shared" si="1"/>
        <v>0</v>
      </c>
      <c r="N49" t="str">
        <f>IF(M49,IF(B49="Fe",_xludf.XLOOKUP(A49,'Standards Catalogue'!$A:$A,'Standards Catalogue'!$B:$B,""),IF(B49="P",_xludf.XLOOKUP(A49,'Standards Catalogue'!$A:$A,'Standards Catalogue'!$D:$D,""),IF(B49="S",_xludf.XLOOKUP(A49,'Standards Catalogue'!$A:$A,'Standards Catalogue'!$F:$F,""),""))),"")</f>
        <v/>
      </c>
      <c r="O49" t="str">
        <f>IF(M49,IF(B49="Fe",_xludf.XLOOKUP(A49,'Standards Catalogue'!$A:$A,'Standards Catalogue'!$C:$C,""),IF(B49="P",_xludf.XLOOKUP(A49,'Standards Catalogue'!$A:$A,'Standards Catalogue'!$E:$E,""),IF(B49="S",_xludf.XLOOKUP(A49,'Standards Catalogue'!$A:$A,'Standards Catalogue'!$G:$G,""),""))),"")</f>
        <v/>
      </c>
      <c r="P49" t="str">
        <f t="shared" si="2"/>
        <v/>
      </c>
      <c r="Q49" t="str">
        <f t="shared" si="3"/>
        <v/>
      </c>
      <c r="R49" t="str">
        <f t="shared" si="4"/>
        <v/>
      </c>
    </row>
    <row r="50" spans="12:18" x14ac:dyDescent="0.25">
      <c r="L50" t="str">
        <f t="shared" si="0"/>
        <v/>
      </c>
      <c r="M50" t="b">
        <f t="shared" si="1"/>
        <v>0</v>
      </c>
      <c r="N50" t="str">
        <f>IF(M50,IF(B50="Fe",_xludf.XLOOKUP(A50,'Standards Catalogue'!$A:$A,'Standards Catalogue'!$B:$B,""),IF(B50="P",_xludf.XLOOKUP(A50,'Standards Catalogue'!$A:$A,'Standards Catalogue'!$D:$D,""),IF(B50="S",_xludf.XLOOKUP(A50,'Standards Catalogue'!$A:$A,'Standards Catalogue'!$F:$F,""),""))),"")</f>
        <v/>
      </c>
      <c r="O50" t="str">
        <f>IF(M50,IF(B50="Fe",_xludf.XLOOKUP(A50,'Standards Catalogue'!$A:$A,'Standards Catalogue'!$C:$C,""),IF(B50="P",_xludf.XLOOKUP(A50,'Standards Catalogue'!$A:$A,'Standards Catalogue'!$E:$E,""),IF(B50="S",_xludf.XLOOKUP(A50,'Standards Catalogue'!$A:$A,'Standards Catalogue'!$G:$G,""),""))),"")</f>
        <v/>
      </c>
      <c r="P50" t="str">
        <f t="shared" si="2"/>
        <v/>
      </c>
      <c r="Q50" t="str">
        <f t="shared" si="3"/>
        <v/>
      </c>
      <c r="R50" t="str">
        <f t="shared" si="4"/>
        <v/>
      </c>
    </row>
    <row r="51" spans="12:18" x14ac:dyDescent="0.25">
      <c r="L51" t="str">
        <f t="shared" si="0"/>
        <v/>
      </c>
      <c r="M51" t="b">
        <f t="shared" si="1"/>
        <v>0</v>
      </c>
      <c r="N51" t="str">
        <f>IF(M51,IF(B51="Fe",_xludf.XLOOKUP(A51,'Standards Catalogue'!$A:$A,'Standards Catalogue'!$B:$B,""),IF(B51="P",_xludf.XLOOKUP(A51,'Standards Catalogue'!$A:$A,'Standards Catalogue'!$D:$D,""),IF(B51="S",_xludf.XLOOKUP(A51,'Standards Catalogue'!$A:$A,'Standards Catalogue'!$F:$F,""),""))),"")</f>
        <v/>
      </c>
      <c r="O51" t="str">
        <f>IF(M51,IF(B51="Fe",_xludf.XLOOKUP(A51,'Standards Catalogue'!$A:$A,'Standards Catalogue'!$C:$C,""),IF(B51="P",_xludf.XLOOKUP(A51,'Standards Catalogue'!$A:$A,'Standards Catalogue'!$E:$E,""),IF(B51="S",_xludf.XLOOKUP(A51,'Standards Catalogue'!$A:$A,'Standards Catalogue'!$G:$G,""),""))),"")</f>
        <v/>
      </c>
      <c r="P51" t="str">
        <f t="shared" si="2"/>
        <v/>
      </c>
      <c r="Q51" t="str">
        <f t="shared" si="3"/>
        <v/>
      </c>
      <c r="R51" t="str">
        <f t="shared" si="4"/>
        <v/>
      </c>
    </row>
    <row r="52" spans="12:18" x14ac:dyDescent="0.25">
      <c r="L52" t="str">
        <f t="shared" si="0"/>
        <v/>
      </c>
      <c r="M52" t="b">
        <f t="shared" si="1"/>
        <v>0</v>
      </c>
      <c r="N52" t="str">
        <f>IF(M52,IF(B52="Fe",_xludf.XLOOKUP(A52,'Standards Catalogue'!$A:$A,'Standards Catalogue'!$B:$B,""),IF(B52="P",_xludf.XLOOKUP(A52,'Standards Catalogue'!$A:$A,'Standards Catalogue'!$D:$D,""),IF(B52="S",_xludf.XLOOKUP(A52,'Standards Catalogue'!$A:$A,'Standards Catalogue'!$F:$F,""),""))),"")</f>
        <v/>
      </c>
      <c r="O52" t="str">
        <f>IF(M52,IF(B52="Fe",_xludf.XLOOKUP(A52,'Standards Catalogue'!$A:$A,'Standards Catalogue'!$C:$C,""),IF(B52="P",_xludf.XLOOKUP(A52,'Standards Catalogue'!$A:$A,'Standards Catalogue'!$E:$E,""),IF(B52="S",_xludf.XLOOKUP(A52,'Standards Catalogue'!$A:$A,'Standards Catalogue'!$G:$G,""),""))),"")</f>
        <v/>
      </c>
      <c r="P52" t="str">
        <f t="shared" si="2"/>
        <v/>
      </c>
      <c r="Q52" t="str">
        <f t="shared" si="3"/>
        <v/>
      </c>
      <c r="R52" t="str">
        <f t="shared" si="4"/>
        <v/>
      </c>
    </row>
    <row r="53" spans="12:18" x14ac:dyDescent="0.25">
      <c r="L53" t="str">
        <f t="shared" si="0"/>
        <v/>
      </c>
      <c r="M53" t="b">
        <f t="shared" si="1"/>
        <v>0</v>
      </c>
      <c r="N53" t="str">
        <f>IF(M53,IF(B53="Fe",_xludf.XLOOKUP(A53,'Standards Catalogue'!$A:$A,'Standards Catalogue'!$B:$B,""),IF(B53="P",_xludf.XLOOKUP(A53,'Standards Catalogue'!$A:$A,'Standards Catalogue'!$D:$D,""),IF(B53="S",_xludf.XLOOKUP(A53,'Standards Catalogue'!$A:$A,'Standards Catalogue'!$F:$F,""),""))),"")</f>
        <v/>
      </c>
      <c r="O53" t="str">
        <f>IF(M53,IF(B53="Fe",_xludf.XLOOKUP(A53,'Standards Catalogue'!$A:$A,'Standards Catalogue'!$C:$C,""),IF(B53="P",_xludf.XLOOKUP(A53,'Standards Catalogue'!$A:$A,'Standards Catalogue'!$E:$E,""),IF(B53="S",_xludf.XLOOKUP(A53,'Standards Catalogue'!$A:$A,'Standards Catalogue'!$G:$G,""),""))),"")</f>
        <v/>
      </c>
      <c r="P53" t="str">
        <f t="shared" si="2"/>
        <v/>
      </c>
      <c r="Q53" t="str">
        <f t="shared" si="3"/>
        <v/>
      </c>
      <c r="R53" t="str">
        <f t="shared" si="4"/>
        <v/>
      </c>
    </row>
    <row r="54" spans="12:18" x14ac:dyDescent="0.25">
      <c r="L54" t="str">
        <f t="shared" si="0"/>
        <v/>
      </c>
      <c r="M54" t="b">
        <f t="shared" si="1"/>
        <v>0</v>
      </c>
      <c r="N54" t="str">
        <f>IF(M54,IF(B54="Fe",_xludf.XLOOKUP(A54,'Standards Catalogue'!$A:$A,'Standards Catalogue'!$B:$B,""),IF(B54="P",_xludf.XLOOKUP(A54,'Standards Catalogue'!$A:$A,'Standards Catalogue'!$D:$D,""),IF(B54="S",_xludf.XLOOKUP(A54,'Standards Catalogue'!$A:$A,'Standards Catalogue'!$F:$F,""),""))),"")</f>
        <v/>
      </c>
      <c r="O54" t="str">
        <f>IF(M54,IF(B54="Fe",_xludf.XLOOKUP(A54,'Standards Catalogue'!$A:$A,'Standards Catalogue'!$C:$C,""),IF(B54="P",_xludf.XLOOKUP(A54,'Standards Catalogue'!$A:$A,'Standards Catalogue'!$E:$E,""),IF(B54="S",_xludf.XLOOKUP(A54,'Standards Catalogue'!$A:$A,'Standards Catalogue'!$G:$G,""),""))),"")</f>
        <v/>
      </c>
      <c r="P54" t="str">
        <f t="shared" si="2"/>
        <v/>
      </c>
      <c r="Q54" t="str">
        <f t="shared" si="3"/>
        <v/>
      </c>
      <c r="R54" t="str">
        <f t="shared" si="4"/>
        <v/>
      </c>
    </row>
    <row r="55" spans="12:18" x14ac:dyDescent="0.25">
      <c r="L55" t="str">
        <f t="shared" si="0"/>
        <v/>
      </c>
      <c r="M55" t="b">
        <f t="shared" si="1"/>
        <v>0</v>
      </c>
      <c r="N55" t="str">
        <f>IF(M55,IF(B55="Fe",_xludf.XLOOKUP(A55,'Standards Catalogue'!$A:$A,'Standards Catalogue'!$B:$B,""),IF(B55="P",_xludf.XLOOKUP(A55,'Standards Catalogue'!$A:$A,'Standards Catalogue'!$D:$D,""),IF(B55="S",_xludf.XLOOKUP(A55,'Standards Catalogue'!$A:$A,'Standards Catalogue'!$F:$F,""),""))),"")</f>
        <v/>
      </c>
      <c r="O55" t="str">
        <f>IF(M55,IF(B55="Fe",_xludf.XLOOKUP(A55,'Standards Catalogue'!$A:$A,'Standards Catalogue'!$C:$C,""),IF(B55="P",_xludf.XLOOKUP(A55,'Standards Catalogue'!$A:$A,'Standards Catalogue'!$E:$E,""),IF(B55="S",_xludf.XLOOKUP(A55,'Standards Catalogue'!$A:$A,'Standards Catalogue'!$G:$G,""),""))),"")</f>
        <v/>
      </c>
      <c r="P55" t="str">
        <f t="shared" si="2"/>
        <v/>
      </c>
      <c r="Q55" t="str">
        <f t="shared" si="3"/>
        <v/>
      </c>
      <c r="R55" t="str">
        <f t="shared" si="4"/>
        <v/>
      </c>
    </row>
    <row r="56" spans="12:18" x14ac:dyDescent="0.25">
      <c r="L56" t="str">
        <f t="shared" si="0"/>
        <v/>
      </c>
      <c r="M56" t="b">
        <f t="shared" si="1"/>
        <v>0</v>
      </c>
      <c r="N56" t="str">
        <f>IF(M56,IF(B56="Fe",_xludf.XLOOKUP(A56,'Standards Catalogue'!$A:$A,'Standards Catalogue'!$B:$B,""),IF(B56="P",_xludf.XLOOKUP(A56,'Standards Catalogue'!$A:$A,'Standards Catalogue'!$D:$D,""),IF(B56="S",_xludf.XLOOKUP(A56,'Standards Catalogue'!$A:$A,'Standards Catalogue'!$F:$F,""),""))),"")</f>
        <v/>
      </c>
      <c r="O56" t="str">
        <f>IF(M56,IF(B56="Fe",_xludf.XLOOKUP(A56,'Standards Catalogue'!$A:$A,'Standards Catalogue'!$C:$C,""),IF(B56="P",_xludf.XLOOKUP(A56,'Standards Catalogue'!$A:$A,'Standards Catalogue'!$E:$E,""),IF(B56="S",_xludf.XLOOKUP(A56,'Standards Catalogue'!$A:$A,'Standards Catalogue'!$G:$G,""),""))),"")</f>
        <v/>
      </c>
      <c r="P56" t="str">
        <f t="shared" si="2"/>
        <v/>
      </c>
      <c r="Q56" t="str">
        <f t="shared" si="3"/>
        <v/>
      </c>
      <c r="R56" t="str">
        <f t="shared" si="4"/>
        <v/>
      </c>
    </row>
    <row r="57" spans="12:18" x14ac:dyDescent="0.25">
      <c r="L57" t="str">
        <f t="shared" si="0"/>
        <v/>
      </c>
      <c r="M57" t="b">
        <f t="shared" si="1"/>
        <v>0</v>
      </c>
      <c r="N57" t="str">
        <f>IF(M57,IF(B57="Fe",_xludf.XLOOKUP(A57,'Standards Catalogue'!$A:$A,'Standards Catalogue'!$B:$B,""),IF(B57="P",_xludf.XLOOKUP(A57,'Standards Catalogue'!$A:$A,'Standards Catalogue'!$D:$D,""),IF(B57="S",_xludf.XLOOKUP(A57,'Standards Catalogue'!$A:$A,'Standards Catalogue'!$F:$F,""),""))),"")</f>
        <v/>
      </c>
      <c r="O57" t="str">
        <f>IF(M57,IF(B57="Fe",_xludf.XLOOKUP(A57,'Standards Catalogue'!$A:$A,'Standards Catalogue'!$C:$C,""),IF(B57="P",_xludf.XLOOKUP(A57,'Standards Catalogue'!$A:$A,'Standards Catalogue'!$E:$E,""),IF(B57="S",_xludf.XLOOKUP(A57,'Standards Catalogue'!$A:$A,'Standards Catalogue'!$G:$G,""),""))),"")</f>
        <v/>
      </c>
      <c r="P57" t="str">
        <f t="shared" si="2"/>
        <v/>
      </c>
      <c r="Q57" t="str">
        <f t="shared" si="3"/>
        <v/>
      </c>
      <c r="R57" t="str">
        <f t="shared" si="4"/>
        <v/>
      </c>
    </row>
    <row r="58" spans="12:18" x14ac:dyDescent="0.25">
      <c r="L58" t="str">
        <f t="shared" si="0"/>
        <v/>
      </c>
      <c r="M58" t="b">
        <f t="shared" si="1"/>
        <v>0</v>
      </c>
      <c r="N58" t="str">
        <f>IF(M58,IF(B58="Fe",_xludf.XLOOKUP(A58,'Standards Catalogue'!$A:$A,'Standards Catalogue'!$B:$B,""),IF(B58="P",_xludf.XLOOKUP(A58,'Standards Catalogue'!$A:$A,'Standards Catalogue'!$D:$D,""),IF(B58="S",_xludf.XLOOKUP(A58,'Standards Catalogue'!$A:$A,'Standards Catalogue'!$F:$F,""),""))),"")</f>
        <v/>
      </c>
      <c r="O58" t="str">
        <f>IF(M58,IF(B58="Fe",_xludf.XLOOKUP(A58,'Standards Catalogue'!$A:$A,'Standards Catalogue'!$C:$C,""),IF(B58="P",_xludf.XLOOKUP(A58,'Standards Catalogue'!$A:$A,'Standards Catalogue'!$E:$E,""),IF(B58="S",_xludf.XLOOKUP(A58,'Standards Catalogue'!$A:$A,'Standards Catalogue'!$G:$G,""),""))),"")</f>
        <v/>
      </c>
      <c r="P58" t="str">
        <f t="shared" si="2"/>
        <v/>
      </c>
      <c r="Q58" t="str">
        <f t="shared" si="3"/>
        <v/>
      </c>
      <c r="R58" t="str">
        <f t="shared" si="4"/>
        <v/>
      </c>
    </row>
    <row r="59" spans="12:18" x14ac:dyDescent="0.25">
      <c r="L59" t="str">
        <f t="shared" si="0"/>
        <v/>
      </c>
      <c r="M59" t="b">
        <f t="shared" si="1"/>
        <v>0</v>
      </c>
      <c r="N59" t="str">
        <f>IF(M59,IF(B59="Fe",_xludf.XLOOKUP(A59,'Standards Catalogue'!$A:$A,'Standards Catalogue'!$B:$B,""),IF(B59="P",_xludf.XLOOKUP(A59,'Standards Catalogue'!$A:$A,'Standards Catalogue'!$D:$D,""),IF(B59="S",_xludf.XLOOKUP(A59,'Standards Catalogue'!$A:$A,'Standards Catalogue'!$F:$F,""),""))),"")</f>
        <v/>
      </c>
      <c r="O59" t="str">
        <f>IF(M59,IF(B59="Fe",_xludf.XLOOKUP(A59,'Standards Catalogue'!$A:$A,'Standards Catalogue'!$C:$C,""),IF(B59="P",_xludf.XLOOKUP(A59,'Standards Catalogue'!$A:$A,'Standards Catalogue'!$E:$E,""),IF(B59="S",_xludf.XLOOKUP(A59,'Standards Catalogue'!$A:$A,'Standards Catalogue'!$G:$G,""),""))),"")</f>
        <v/>
      </c>
      <c r="P59" t="str">
        <f t="shared" si="2"/>
        <v/>
      </c>
      <c r="Q59" t="str">
        <f t="shared" si="3"/>
        <v/>
      </c>
      <c r="R59" t="str">
        <f t="shared" si="4"/>
        <v/>
      </c>
    </row>
    <row r="60" spans="12:18" x14ac:dyDescent="0.25">
      <c r="L60" t="str">
        <f t="shared" si="0"/>
        <v/>
      </c>
      <c r="M60" t="b">
        <f t="shared" si="1"/>
        <v>0</v>
      </c>
      <c r="N60" t="str">
        <f>IF(M60,IF(B60="Fe",_xludf.XLOOKUP(A60,'Standards Catalogue'!$A:$A,'Standards Catalogue'!$B:$B,""),IF(B60="P",_xludf.XLOOKUP(A60,'Standards Catalogue'!$A:$A,'Standards Catalogue'!$D:$D,""),IF(B60="S",_xludf.XLOOKUP(A60,'Standards Catalogue'!$A:$A,'Standards Catalogue'!$F:$F,""),""))),"")</f>
        <v/>
      </c>
      <c r="O60" t="str">
        <f>IF(M60,IF(B60="Fe",_xludf.XLOOKUP(A60,'Standards Catalogue'!$A:$A,'Standards Catalogue'!$C:$C,""),IF(B60="P",_xludf.XLOOKUP(A60,'Standards Catalogue'!$A:$A,'Standards Catalogue'!$E:$E,""),IF(B60="S",_xludf.XLOOKUP(A60,'Standards Catalogue'!$A:$A,'Standards Catalogue'!$G:$G,""),""))),"")</f>
        <v/>
      </c>
      <c r="P60" t="str">
        <f t="shared" si="2"/>
        <v/>
      </c>
      <c r="Q60" t="str">
        <f t="shared" si="3"/>
        <v/>
      </c>
      <c r="R60" t="str">
        <f t="shared" si="4"/>
        <v/>
      </c>
    </row>
    <row r="61" spans="12:18" x14ac:dyDescent="0.25">
      <c r="L61" t="str">
        <f t="shared" si="0"/>
        <v/>
      </c>
      <c r="M61" t="b">
        <f t="shared" si="1"/>
        <v>0</v>
      </c>
      <c r="N61" t="str">
        <f>IF(M61,IF(B61="Fe",_xludf.XLOOKUP(A61,'Standards Catalogue'!$A:$A,'Standards Catalogue'!$B:$B,""),IF(B61="P",_xludf.XLOOKUP(A61,'Standards Catalogue'!$A:$A,'Standards Catalogue'!$D:$D,""),IF(B61="S",_xludf.XLOOKUP(A61,'Standards Catalogue'!$A:$A,'Standards Catalogue'!$F:$F,""),""))),"")</f>
        <v/>
      </c>
      <c r="O61" t="str">
        <f>IF(M61,IF(B61="Fe",_xludf.XLOOKUP(A61,'Standards Catalogue'!$A:$A,'Standards Catalogue'!$C:$C,""),IF(B61="P",_xludf.XLOOKUP(A61,'Standards Catalogue'!$A:$A,'Standards Catalogue'!$E:$E,""),IF(B61="S",_xludf.XLOOKUP(A61,'Standards Catalogue'!$A:$A,'Standards Catalogue'!$G:$G,""),""))),"")</f>
        <v/>
      </c>
      <c r="P61" t="str">
        <f t="shared" si="2"/>
        <v/>
      </c>
      <c r="Q61" t="str">
        <f t="shared" si="3"/>
        <v/>
      </c>
      <c r="R61" t="str">
        <f t="shared" si="4"/>
        <v/>
      </c>
    </row>
    <row r="62" spans="12:18" x14ac:dyDescent="0.25">
      <c r="L62" t="str">
        <f t="shared" si="0"/>
        <v/>
      </c>
      <c r="M62" t="b">
        <f t="shared" si="1"/>
        <v>0</v>
      </c>
      <c r="N62" t="str">
        <f>IF(M62,IF(B62="Fe",_xludf.XLOOKUP(A62,'Standards Catalogue'!$A:$A,'Standards Catalogue'!$B:$B,""),IF(B62="P",_xludf.XLOOKUP(A62,'Standards Catalogue'!$A:$A,'Standards Catalogue'!$D:$D,""),IF(B62="S",_xludf.XLOOKUP(A62,'Standards Catalogue'!$A:$A,'Standards Catalogue'!$F:$F,""),""))),"")</f>
        <v/>
      </c>
      <c r="O62" t="str">
        <f>IF(M62,IF(B62="Fe",_xludf.XLOOKUP(A62,'Standards Catalogue'!$A:$A,'Standards Catalogue'!$C:$C,""),IF(B62="P",_xludf.XLOOKUP(A62,'Standards Catalogue'!$A:$A,'Standards Catalogue'!$E:$E,""),IF(B62="S",_xludf.XLOOKUP(A62,'Standards Catalogue'!$A:$A,'Standards Catalogue'!$G:$G,""),""))),"")</f>
        <v/>
      </c>
      <c r="P62" t="str">
        <f t="shared" si="2"/>
        <v/>
      </c>
      <c r="Q62" t="str">
        <f t="shared" si="3"/>
        <v/>
      </c>
      <c r="R62" t="str">
        <f t="shared" si="4"/>
        <v/>
      </c>
    </row>
    <row r="63" spans="12:18" x14ac:dyDescent="0.25">
      <c r="L63" t="str">
        <f t="shared" si="0"/>
        <v/>
      </c>
      <c r="M63" t="b">
        <f t="shared" si="1"/>
        <v>0</v>
      </c>
      <c r="N63" t="str">
        <f>IF(M63,IF(B63="Fe",_xludf.XLOOKUP(A63,'Standards Catalogue'!$A:$A,'Standards Catalogue'!$B:$B,""),IF(B63="P",_xludf.XLOOKUP(A63,'Standards Catalogue'!$A:$A,'Standards Catalogue'!$D:$D,""),IF(B63="S",_xludf.XLOOKUP(A63,'Standards Catalogue'!$A:$A,'Standards Catalogue'!$F:$F,""),""))),"")</f>
        <v/>
      </c>
      <c r="O63" t="str">
        <f>IF(M63,IF(B63="Fe",_xludf.XLOOKUP(A63,'Standards Catalogue'!$A:$A,'Standards Catalogue'!$C:$C,""),IF(B63="P",_xludf.XLOOKUP(A63,'Standards Catalogue'!$A:$A,'Standards Catalogue'!$E:$E,""),IF(B63="S",_xludf.XLOOKUP(A63,'Standards Catalogue'!$A:$A,'Standards Catalogue'!$G:$G,""),""))),"")</f>
        <v/>
      </c>
      <c r="P63" t="str">
        <f t="shared" si="2"/>
        <v/>
      </c>
      <c r="Q63" t="str">
        <f t="shared" si="3"/>
        <v/>
      </c>
      <c r="R63" t="str">
        <f t="shared" si="4"/>
        <v/>
      </c>
    </row>
    <row r="64" spans="12:18" x14ac:dyDescent="0.25">
      <c r="L64" t="str">
        <f t="shared" si="0"/>
        <v/>
      </c>
      <c r="M64" t="b">
        <f t="shared" si="1"/>
        <v>0</v>
      </c>
      <c r="N64" t="str">
        <f>IF(M64,IF(B64="Fe",_xludf.XLOOKUP(A64,'Standards Catalogue'!$A:$A,'Standards Catalogue'!$B:$B,""),IF(B64="P",_xludf.XLOOKUP(A64,'Standards Catalogue'!$A:$A,'Standards Catalogue'!$D:$D,""),IF(B64="S",_xludf.XLOOKUP(A64,'Standards Catalogue'!$A:$A,'Standards Catalogue'!$F:$F,""),""))),"")</f>
        <v/>
      </c>
      <c r="O64" t="str">
        <f>IF(M64,IF(B64="Fe",_xludf.XLOOKUP(A64,'Standards Catalogue'!$A:$A,'Standards Catalogue'!$C:$C,""),IF(B64="P",_xludf.XLOOKUP(A64,'Standards Catalogue'!$A:$A,'Standards Catalogue'!$E:$E,""),IF(B64="S",_xludf.XLOOKUP(A64,'Standards Catalogue'!$A:$A,'Standards Catalogue'!$G:$G,""),""))),"")</f>
        <v/>
      </c>
      <c r="P64" t="str">
        <f t="shared" si="2"/>
        <v/>
      </c>
      <c r="Q64" t="str">
        <f t="shared" si="3"/>
        <v/>
      </c>
      <c r="R64" t="str">
        <f t="shared" si="4"/>
        <v/>
      </c>
    </row>
    <row r="65" spans="12:18" x14ac:dyDescent="0.25">
      <c r="L65" t="str">
        <f t="shared" si="0"/>
        <v/>
      </c>
      <c r="M65" t="b">
        <f t="shared" si="1"/>
        <v>0</v>
      </c>
      <c r="N65" t="str">
        <f>IF(M65,IF(B65="Fe",_xludf.XLOOKUP(A65,'Standards Catalogue'!$A:$A,'Standards Catalogue'!$B:$B,""),IF(B65="P",_xludf.XLOOKUP(A65,'Standards Catalogue'!$A:$A,'Standards Catalogue'!$D:$D,""),IF(B65="S",_xludf.XLOOKUP(A65,'Standards Catalogue'!$A:$A,'Standards Catalogue'!$F:$F,""),""))),"")</f>
        <v/>
      </c>
      <c r="O65" t="str">
        <f>IF(M65,IF(B65="Fe",_xludf.XLOOKUP(A65,'Standards Catalogue'!$A:$A,'Standards Catalogue'!$C:$C,""),IF(B65="P",_xludf.XLOOKUP(A65,'Standards Catalogue'!$A:$A,'Standards Catalogue'!$E:$E,""),IF(B65="S",_xludf.XLOOKUP(A65,'Standards Catalogue'!$A:$A,'Standards Catalogue'!$G:$G,""),""))),"")</f>
        <v/>
      </c>
      <c r="P65" t="str">
        <f t="shared" si="2"/>
        <v/>
      </c>
      <c r="Q65" t="str">
        <f t="shared" si="3"/>
        <v/>
      </c>
      <c r="R65" t="str">
        <f t="shared" si="4"/>
        <v/>
      </c>
    </row>
    <row r="66" spans="12:18" x14ac:dyDescent="0.25">
      <c r="L66" t="str">
        <f t="shared" ref="L66:L129" si="5">IF(AND(A66&lt;&gt;"",B66&lt;&gt;""),A66&amp;"|"&amp;B66,"")</f>
        <v/>
      </c>
      <c r="M66" t="b">
        <f t="shared" ref="M66:M129" si="6">IF(COUNTIF(STANDARDS_IDS,A66)&gt;0,TRUE,FALSE)</f>
        <v>0</v>
      </c>
      <c r="N66" t="str">
        <f>IF(M66,IF(B66="Fe",_xludf.XLOOKUP(A66,'Standards Catalogue'!$A:$A,'Standards Catalogue'!$B:$B,""),IF(B66="P",_xludf.XLOOKUP(A66,'Standards Catalogue'!$A:$A,'Standards Catalogue'!$D:$D,""),IF(B66="S",_xludf.XLOOKUP(A66,'Standards Catalogue'!$A:$A,'Standards Catalogue'!$F:$F,""),""))),"")</f>
        <v/>
      </c>
      <c r="O66" t="str">
        <f>IF(M66,IF(B66="Fe",_xludf.XLOOKUP(A66,'Standards Catalogue'!$A:$A,'Standards Catalogue'!$C:$C,""),IF(B66="P",_xludf.XLOOKUP(A66,'Standards Catalogue'!$A:$A,'Standards Catalogue'!$E:$E,""),IF(B66="S",_xludf.XLOOKUP(A66,'Standards Catalogue'!$A:$A,'Standards Catalogue'!$G:$G,""),""))),"")</f>
        <v/>
      </c>
      <c r="P66" t="str">
        <f t="shared" ref="P66:P129" si="7">IF(M66,N66-2*O66,"")</f>
        <v/>
      </c>
      <c r="Q66" t="str">
        <f t="shared" ref="Q66:Q129" si="8">IF(M66,N66+2*O66,"")</f>
        <v/>
      </c>
      <c r="R66" t="str">
        <f t="shared" ref="R66:R129" si="9">IF(M66,IF(OR(C66="",N66="",O66=""),"",IF(AND(C66&gt;=P66,C66&lt;=Q66),"PASS","FAIL")),"")</f>
        <v/>
      </c>
    </row>
    <row r="67" spans="12:18" x14ac:dyDescent="0.25">
      <c r="L67" t="str">
        <f t="shared" si="5"/>
        <v/>
      </c>
      <c r="M67" t="b">
        <f t="shared" si="6"/>
        <v>0</v>
      </c>
      <c r="N67" t="str">
        <f>IF(M67,IF(B67="Fe",_xludf.XLOOKUP(A67,'Standards Catalogue'!$A:$A,'Standards Catalogue'!$B:$B,""),IF(B67="P",_xludf.XLOOKUP(A67,'Standards Catalogue'!$A:$A,'Standards Catalogue'!$D:$D,""),IF(B67="S",_xludf.XLOOKUP(A67,'Standards Catalogue'!$A:$A,'Standards Catalogue'!$F:$F,""),""))),"")</f>
        <v/>
      </c>
      <c r="O67" t="str">
        <f>IF(M67,IF(B67="Fe",_xludf.XLOOKUP(A67,'Standards Catalogue'!$A:$A,'Standards Catalogue'!$C:$C,""),IF(B67="P",_xludf.XLOOKUP(A67,'Standards Catalogue'!$A:$A,'Standards Catalogue'!$E:$E,""),IF(B67="S",_xludf.XLOOKUP(A67,'Standards Catalogue'!$A:$A,'Standards Catalogue'!$G:$G,""),""))),"")</f>
        <v/>
      </c>
      <c r="P67" t="str">
        <f t="shared" si="7"/>
        <v/>
      </c>
      <c r="Q67" t="str">
        <f t="shared" si="8"/>
        <v/>
      </c>
      <c r="R67" t="str">
        <f t="shared" si="9"/>
        <v/>
      </c>
    </row>
    <row r="68" spans="12:18" x14ac:dyDescent="0.25">
      <c r="L68" t="str">
        <f t="shared" si="5"/>
        <v/>
      </c>
      <c r="M68" t="b">
        <f t="shared" si="6"/>
        <v>0</v>
      </c>
      <c r="N68" t="str">
        <f>IF(M68,IF(B68="Fe",_xludf.XLOOKUP(A68,'Standards Catalogue'!$A:$A,'Standards Catalogue'!$B:$B,""),IF(B68="P",_xludf.XLOOKUP(A68,'Standards Catalogue'!$A:$A,'Standards Catalogue'!$D:$D,""),IF(B68="S",_xludf.XLOOKUP(A68,'Standards Catalogue'!$A:$A,'Standards Catalogue'!$F:$F,""),""))),"")</f>
        <v/>
      </c>
      <c r="O68" t="str">
        <f>IF(M68,IF(B68="Fe",_xludf.XLOOKUP(A68,'Standards Catalogue'!$A:$A,'Standards Catalogue'!$C:$C,""),IF(B68="P",_xludf.XLOOKUP(A68,'Standards Catalogue'!$A:$A,'Standards Catalogue'!$E:$E,""),IF(B68="S",_xludf.XLOOKUP(A68,'Standards Catalogue'!$A:$A,'Standards Catalogue'!$G:$G,""),""))),"")</f>
        <v/>
      </c>
      <c r="P68" t="str">
        <f t="shared" si="7"/>
        <v/>
      </c>
      <c r="Q68" t="str">
        <f t="shared" si="8"/>
        <v/>
      </c>
      <c r="R68" t="str">
        <f t="shared" si="9"/>
        <v/>
      </c>
    </row>
    <row r="69" spans="12:18" x14ac:dyDescent="0.25">
      <c r="L69" t="str">
        <f t="shared" si="5"/>
        <v/>
      </c>
      <c r="M69" t="b">
        <f t="shared" si="6"/>
        <v>0</v>
      </c>
      <c r="N69" t="str">
        <f>IF(M69,IF(B69="Fe",_xludf.XLOOKUP(A69,'Standards Catalogue'!$A:$A,'Standards Catalogue'!$B:$B,""),IF(B69="P",_xludf.XLOOKUP(A69,'Standards Catalogue'!$A:$A,'Standards Catalogue'!$D:$D,""),IF(B69="S",_xludf.XLOOKUP(A69,'Standards Catalogue'!$A:$A,'Standards Catalogue'!$F:$F,""),""))),"")</f>
        <v/>
      </c>
      <c r="O69" t="str">
        <f>IF(M69,IF(B69="Fe",_xludf.XLOOKUP(A69,'Standards Catalogue'!$A:$A,'Standards Catalogue'!$C:$C,""),IF(B69="P",_xludf.XLOOKUP(A69,'Standards Catalogue'!$A:$A,'Standards Catalogue'!$E:$E,""),IF(B69="S",_xludf.XLOOKUP(A69,'Standards Catalogue'!$A:$A,'Standards Catalogue'!$G:$G,""),""))),"")</f>
        <v/>
      </c>
      <c r="P69" t="str">
        <f t="shared" si="7"/>
        <v/>
      </c>
      <c r="Q69" t="str">
        <f t="shared" si="8"/>
        <v/>
      </c>
      <c r="R69" t="str">
        <f t="shared" si="9"/>
        <v/>
      </c>
    </row>
    <row r="70" spans="12:18" x14ac:dyDescent="0.25">
      <c r="L70" t="str">
        <f t="shared" si="5"/>
        <v/>
      </c>
      <c r="M70" t="b">
        <f t="shared" si="6"/>
        <v>0</v>
      </c>
      <c r="N70" t="str">
        <f>IF(M70,IF(B70="Fe",_xludf.XLOOKUP(A70,'Standards Catalogue'!$A:$A,'Standards Catalogue'!$B:$B,""),IF(B70="P",_xludf.XLOOKUP(A70,'Standards Catalogue'!$A:$A,'Standards Catalogue'!$D:$D,""),IF(B70="S",_xludf.XLOOKUP(A70,'Standards Catalogue'!$A:$A,'Standards Catalogue'!$F:$F,""),""))),"")</f>
        <v/>
      </c>
      <c r="O70" t="str">
        <f>IF(M70,IF(B70="Fe",_xludf.XLOOKUP(A70,'Standards Catalogue'!$A:$A,'Standards Catalogue'!$C:$C,""),IF(B70="P",_xludf.XLOOKUP(A70,'Standards Catalogue'!$A:$A,'Standards Catalogue'!$E:$E,""),IF(B70="S",_xludf.XLOOKUP(A70,'Standards Catalogue'!$A:$A,'Standards Catalogue'!$G:$G,""),""))),"")</f>
        <v/>
      </c>
      <c r="P70" t="str">
        <f t="shared" si="7"/>
        <v/>
      </c>
      <c r="Q70" t="str">
        <f t="shared" si="8"/>
        <v/>
      </c>
      <c r="R70" t="str">
        <f t="shared" si="9"/>
        <v/>
      </c>
    </row>
    <row r="71" spans="12:18" x14ac:dyDescent="0.25">
      <c r="L71" t="str">
        <f t="shared" si="5"/>
        <v/>
      </c>
      <c r="M71" t="b">
        <f t="shared" si="6"/>
        <v>0</v>
      </c>
      <c r="N71" t="str">
        <f>IF(M71,IF(B71="Fe",_xludf.XLOOKUP(A71,'Standards Catalogue'!$A:$A,'Standards Catalogue'!$B:$B,""),IF(B71="P",_xludf.XLOOKUP(A71,'Standards Catalogue'!$A:$A,'Standards Catalogue'!$D:$D,""),IF(B71="S",_xludf.XLOOKUP(A71,'Standards Catalogue'!$A:$A,'Standards Catalogue'!$F:$F,""),""))),"")</f>
        <v/>
      </c>
      <c r="O71" t="str">
        <f>IF(M71,IF(B71="Fe",_xludf.XLOOKUP(A71,'Standards Catalogue'!$A:$A,'Standards Catalogue'!$C:$C,""),IF(B71="P",_xludf.XLOOKUP(A71,'Standards Catalogue'!$A:$A,'Standards Catalogue'!$E:$E,""),IF(B71="S",_xludf.XLOOKUP(A71,'Standards Catalogue'!$A:$A,'Standards Catalogue'!$G:$G,""),""))),"")</f>
        <v/>
      </c>
      <c r="P71" t="str">
        <f t="shared" si="7"/>
        <v/>
      </c>
      <c r="Q71" t="str">
        <f t="shared" si="8"/>
        <v/>
      </c>
      <c r="R71" t="str">
        <f t="shared" si="9"/>
        <v/>
      </c>
    </row>
    <row r="72" spans="12:18" x14ac:dyDescent="0.25">
      <c r="L72" t="str">
        <f t="shared" si="5"/>
        <v/>
      </c>
      <c r="M72" t="b">
        <f t="shared" si="6"/>
        <v>0</v>
      </c>
      <c r="N72" t="str">
        <f>IF(M72,IF(B72="Fe",_xludf.XLOOKUP(A72,'Standards Catalogue'!$A:$A,'Standards Catalogue'!$B:$B,""),IF(B72="P",_xludf.XLOOKUP(A72,'Standards Catalogue'!$A:$A,'Standards Catalogue'!$D:$D,""),IF(B72="S",_xludf.XLOOKUP(A72,'Standards Catalogue'!$A:$A,'Standards Catalogue'!$F:$F,""),""))),"")</f>
        <v/>
      </c>
      <c r="O72" t="str">
        <f>IF(M72,IF(B72="Fe",_xludf.XLOOKUP(A72,'Standards Catalogue'!$A:$A,'Standards Catalogue'!$C:$C,""),IF(B72="P",_xludf.XLOOKUP(A72,'Standards Catalogue'!$A:$A,'Standards Catalogue'!$E:$E,""),IF(B72="S",_xludf.XLOOKUP(A72,'Standards Catalogue'!$A:$A,'Standards Catalogue'!$G:$G,""),""))),"")</f>
        <v/>
      </c>
      <c r="P72" t="str">
        <f t="shared" si="7"/>
        <v/>
      </c>
      <c r="Q72" t="str">
        <f t="shared" si="8"/>
        <v/>
      </c>
      <c r="R72" t="str">
        <f t="shared" si="9"/>
        <v/>
      </c>
    </row>
    <row r="73" spans="12:18" x14ac:dyDescent="0.25">
      <c r="L73" t="str">
        <f t="shared" si="5"/>
        <v/>
      </c>
      <c r="M73" t="b">
        <f t="shared" si="6"/>
        <v>0</v>
      </c>
      <c r="N73" t="str">
        <f>IF(M73,IF(B73="Fe",_xludf.XLOOKUP(A73,'Standards Catalogue'!$A:$A,'Standards Catalogue'!$B:$B,""),IF(B73="P",_xludf.XLOOKUP(A73,'Standards Catalogue'!$A:$A,'Standards Catalogue'!$D:$D,""),IF(B73="S",_xludf.XLOOKUP(A73,'Standards Catalogue'!$A:$A,'Standards Catalogue'!$F:$F,""),""))),"")</f>
        <v/>
      </c>
      <c r="O73" t="str">
        <f>IF(M73,IF(B73="Fe",_xludf.XLOOKUP(A73,'Standards Catalogue'!$A:$A,'Standards Catalogue'!$C:$C,""),IF(B73="P",_xludf.XLOOKUP(A73,'Standards Catalogue'!$A:$A,'Standards Catalogue'!$E:$E,""),IF(B73="S",_xludf.XLOOKUP(A73,'Standards Catalogue'!$A:$A,'Standards Catalogue'!$G:$G,""),""))),"")</f>
        <v/>
      </c>
      <c r="P73" t="str">
        <f t="shared" si="7"/>
        <v/>
      </c>
      <c r="Q73" t="str">
        <f t="shared" si="8"/>
        <v/>
      </c>
      <c r="R73" t="str">
        <f t="shared" si="9"/>
        <v/>
      </c>
    </row>
    <row r="74" spans="12:18" x14ac:dyDescent="0.25">
      <c r="L74" t="str">
        <f t="shared" si="5"/>
        <v/>
      </c>
      <c r="M74" t="b">
        <f t="shared" si="6"/>
        <v>0</v>
      </c>
      <c r="N74" t="str">
        <f>IF(M74,IF(B74="Fe",_xludf.XLOOKUP(A74,'Standards Catalogue'!$A:$A,'Standards Catalogue'!$B:$B,""),IF(B74="P",_xludf.XLOOKUP(A74,'Standards Catalogue'!$A:$A,'Standards Catalogue'!$D:$D,""),IF(B74="S",_xludf.XLOOKUP(A74,'Standards Catalogue'!$A:$A,'Standards Catalogue'!$F:$F,""),""))),"")</f>
        <v/>
      </c>
      <c r="O74" t="str">
        <f>IF(M74,IF(B74="Fe",_xludf.XLOOKUP(A74,'Standards Catalogue'!$A:$A,'Standards Catalogue'!$C:$C,""),IF(B74="P",_xludf.XLOOKUP(A74,'Standards Catalogue'!$A:$A,'Standards Catalogue'!$E:$E,""),IF(B74="S",_xludf.XLOOKUP(A74,'Standards Catalogue'!$A:$A,'Standards Catalogue'!$G:$G,""),""))),"")</f>
        <v/>
      </c>
      <c r="P74" t="str">
        <f t="shared" si="7"/>
        <v/>
      </c>
      <c r="Q74" t="str">
        <f t="shared" si="8"/>
        <v/>
      </c>
      <c r="R74" t="str">
        <f t="shared" si="9"/>
        <v/>
      </c>
    </row>
    <row r="75" spans="12:18" x14ac:dyDescent="0.25">
      <c r="L75" t="str">
        <f t="shared" si="5"/>
        <v/>
      </c>
      <c r="M75" t="b">
        <f t="shared" si="6"/>
        <v>0</v>
      </c>
      <c r="N75" t="str">
        <f>IF(M75,IF(B75="Fe",_xludf.XLOOKUP(A75,'Standards Catalogue'!$A:$A,'Standards Catalogue'!$B:$B,""),IF(B75="P",_xludf.XLOOKUP(A75,'Standards Catalogue'!$A:$A,'Standards Catalogue'!$D:$D,""),IF(B75="S",_xludf.XLOOKUP(A75,'Standards Catalogue'!$A:$A,'Standards Catalogue'!$F:$F,""),""))),"")</f>
        <v/>
      </c>
      <c r="O75" t="str">
        <f>IF(M75,IF(B75="Fe",_xludf.XLOOKUP(A75,'Standards Catalogue'!$A:$A,'Standards Catalogue'!$C:$C,""),IF(B75="P",_xludf.XLOOKUP(A75,'Standards Catalogue'!$A:$A,'Standards Catalogue'!$E:$E,""),IF(B75="S",_xludf.XLOOKUP(A75,'Standards Catalogue'!$A:$A,'Standards Catalogue'!$G:$G,""),""))),"")</f>
        <v/>
      </c>
      <c r="P75" t="str">
        <f t="shared" si="7"/>
        <v/>
      </c>
      <c r="Q75" t="str">
        <f t="shared" si="8"/>
        <v/>
      </c>
      <c r="R75" t="str">
        <f t="shared" si="9"/>
        <v/>
      </c>
    </row>
    <row r="76" spans="12:18" x14ac:dyDescent="0.25">
      <c r="L76" t="str">
        <f t="shared" si="5"/>
        <v/>
      </c>
      <c r="M76" t="b">
        <f t="shared" si="6"/>
        <v>0</v>
      </c>
      <c r="N76" t="str">
        <f>IF(M76,IF(B76="Fe",_xludf.XLOOKUP(A76,'Standards Catalogue'!$A:$A,'Standards Catalogue'!$B:$B,""),IF(B76="P",_xludf.XLOOKUP(A76,'Standards Catalogue'!$A:$A,'Standards Catalogue'!$D:$D,""),IF(B76="S",_xludf.XLOOKUP(A76,'Standards Catalogue'!$A:$A,'Standards Catalogue'!$F:$F,""),""))),"")</f>
        <v/>
      </c>
      <c r="O76" t="str">
        <f>IF(M76,IF(B76="Fe",_xludf.XLOOKUP(A76,'Standards Catalogue'!$A:$A,'Standards Catalogue'!$C:$C,""),IF(B76="P",_xludf.XLOOKUP(A76,'Standards Catalogue'!$A:$A,'Standards Catalogue'!$E:$E,""),IF(B76="S",_xludf.XLOOKUP(A76,'Standards Catalogue'!$A:$A,'Standards Catalogue'!$G:$G,""),""))),"")</f>
        <v/>
      </c>
      <c r="P76" t="str">
        <f t="shared" si="7"/>
        <v/>
      </c>
      <c r="Q76" t="str">
        <f t="shared" si="8"/>
        <v/>
      </c>
      <c r="R76" t="str">
        <f t="shared" si="9"/>
        <v/>
      </c>
    </row>
    <row r="77" spans="12:18" x14ac:dyDescent="0.25">
      <c r="L77" t="str">
        <f t="shared" si="5"/>
        <v/>
      </c>
      <c r="M77" t="b">
        <f t="shared" si="6"/>
        <v>0</v>
      </c>
      <c r="N77" t="str">
        <f>IF(M77,IF(B77="Fe",_xludf.XLOOKUP(A77,'Standards Catalogue'!$A:$A,'Standards Catalogue'!$B:$B,""),IF(B77="P",_xludf.XLOOKUP(A77,'Standards Catalogue'!$A:$A,'Standards Catalogue'!$D:$D,""),IF(B77="S",_xludf.XLOOKUP(A77,'Standards Catalogue'!$A:$A,'Standards Catalogue'!$F:$F,""),""))),"")</f>
        <v/>
      </c>
      <c r="O77" t="str">
        <f>IF(M77,IF(B77="Fe",_xludf.XLOOKUP(A77,'Standards Catalogue'!$A:$A,'Standards Catalogue'!$C:$C,""),IF(B77="P",_xludf.XLOOKUP(A77,'Standards Catalogue'!$A:$A,'Standards Catalogue'!$E:$E,""),IF(B77="S",_xludf.XLOOKUP(A77,'Standards Catalogue'!$A:$A,'Standards Catalogue'!$G:$G,""),""))),"")</f>
        <v/>
      </c>
      <c r="P77" t="str">
        <f t="shared" si="7"/>
        <v/>
      </c>
      <c r="Q77" t="str">
        <f t="shared" si="8"/>
        <v/>
      </c>
      <c r="R77" t="str">
        <f t="shared" si="9"/>
        <v/>
      </c>
    </row>
    <row r="78" spans="12:18" x14ac:dyDescent="0.25">
      <c r="L78" t="str">
        <f t="shared" si="5"/>
        <v/>
      </c>
      <c r="M78" t="b">
        <f t="shared" si="6"/>
        <v>0</v>
      </c>
      <c r="N78" t="str">
        <f>IF(M78,IF(B78="Fe",_xludf.XLOOKUP(A78,'Standards Catalogue'!$A:$A,'Standards Catalogue'!$B:$B,""),IF(B78="P",_xludf.XLOOKUP(A78,'Standards Catalogue'!$A:$A,'Standards Catalogue'!$D:$D,""),IF(B78="S",_xludf.XLOOKUP(A78,'Standards Catalogue'!$A:$A,'Standards Catalogue'!$F:$F,""),""))),"")</f>
        <v/>
      </c>
      <c r="O78" t="str">
        <f>IF(M78,IF(B78="Fe",_xludf.XLOOKUP(A78,'Standards Catalogue'!$A:$A,'Standards Catalogue'!$C:$C,""),IF(B78="P",_xludf.XLOOKUP(A78,'Standards Catalogue'!$A:$A,'Standards Catalogue'!$E:$E,""),IF(B78="S",_xludf.XLOOKUP(A78,'Standards Catalogue'!$A:$A,'Standards Catalogue'!$G:$G,""),""))),"")</f>
        <v/>
      </c>
      <c r="P78" t="str">
        <f t="shared" si="7"/>
        <v/>
      </c>
      <c r="Q78" t="str">
        <f t="shared" si="8"/>
        <v/>
      </c>
      <c r="R78" t="str">
        <f t="shared" si="9"/>
        <v/>
      </c>
    </row>
    <row r="79" spans="12:18" x14ac:dyDescent="0.25">
      <c r="L79" t="str">
        <f t="shared" si="5"/>
        <v/>
      </c>
      <c r="M79" t="b">
        <f t="shared" si="6"/>
        <v>0</v>
      </c>
      <c r="N79" t="str">
        <f>IF(M79,IF(B79="Fe",_xludf.XLOOKUP(A79,'Standards Catalogue'!$A:$A,'Standards Catalogue'!$B:$B,""),IF(B79="P",_xludf.XLOOKUP(A79,'Standards Catalogue'!$A:$A,'Standards Catalogue'!$D:$D,""),IF(B79="S",_xludf.XLOOKUP(A79,'Standards Catalogue'!$A:$A,'Standards Catalogue'!$F:$F,""),""))),"")</f>
        <v/>
      </c>
      <c r="O79" t="str">
        <f>IF(M79,IF(B79="Fe",_xludf.XLOOKUP(A79,'Standards Catalogue'!$A:$A,'Standards Catalogue'!$C:$C,""),IF(B79="P",_xludf.XLOOKUP(A79,'Standards Catalogue'!$A:$A,'Standards Catalogue'!$E:$E,""),IF(B79="S",_xludf.XLOOKUP(A79,'Standards Catalogue'!$A:$A,'Standards Catalogue'!$G:$G,""),""))),"")</f>
        <v/>
      </c>
      <c r="P79" t="str">
        <f t="shared" si="7"/>
        <v/>
      </c>
      <c r="Q79" t="str">
        <f t="shared" si="8"/>
        <v/>
      </c>
      <c r="R79" t="str">
        <f t="shared" si="9"/>
        <v/>
      </c>
    </row>
    <row r="80" spans="12:18" x14ac:dyDescent="0.25">
      <c r="L80" t="str">
        <f t="shared" si="5"/>
        <v/>
      </c>
      <c r="M80" t="b">
        <f t="shared" si="6"/>
        <v>0</v>
      </c>
      <c r="N80" t="str">
        <f>IF(M80,IF(B80="Fe",_xludf.XLOOKUP(A80,'Standards Catalogue'!$A:$A,'Standards Catalogue'!$B:$B,""),IF(B80="P",_xludf.XLOOKUP(A80,'Standards Catalogue'!$A:$A,'Standards Catalogue'!$D:$D,""),IF(B80="S",_xludf.XLOOKUP(A80,'Standards Catalogue'!$A:$A,'Standards Catalogue'!$F:$F,""),""))),"")</f>
        <v/>
      </c>
      <c r="O80" t="str">
        <f>IF(M80,IF(B80="Fe",_xludf.XLOOKUP(A80,'Standards Catalogue'!$A:$A,'Standards Catalogue'!$C:$C,""),IF(B80="P",_xludf.XLOOKUP(A80,'Standards Catalogue'!$A:$A,'Standards Catalogue'!$E:$E,""),IF(B80="S",_xludf.XLOOKUP(A80,'Standards Catalogue'!$A:$A,'Standards Catalogue'!$G:$G,""),""))),"")</f>
        <v/>
      </c>
      <c r="P80" t="str">
        <f t="shared" si="7"/>
        <v/>
      </c>
      <c r="Q80" t="str">
        <f t="shared" si="8"/>
        <v/>
      </c>
      <c r="R80" t="str">
        <f t="shared" si="9"/>
        <v/>
      </c>
    </row>
    <row r="81" spans="12:18" x14ac:dyDescent="0.25">
      <c r="L81" t="str">
        <f t="shared" si="5"/>
        <v/>
      </c>
      <c r="M81" t="b">
        <f t="shared" si="6"/>
        <v>0</v>
      </c>
      <c r="N81" t="str">
        <f>IF(M81,IF(B81="Fe",_xludf.XLOOKUP(A81,'Standards Catalogue'!$A:$A,'Standards Catalogue'!$B:$B,""),IF(B81="P",_xludf.XLOOKUP(A81,'Standards Catalogue'!$A:$A,'Standards Catalogue'!$D:$D,""),IF(B81="S",_xludf.XLOOKUP(A81,'Standards Catalogue'!$A:$A,'Standards Catalogue'!$F:$F,""),""))),"")</f>
        <v/>
      </c>
      <c r="O81" t="str">
        <f>IF(M81,IF(B81="Fe",_xludf.XLOOKUP(A81,'Standards Catalogue'!$A:$A,'Standards Catalogue'!$C:$C,""),IF(B81="P",_xludf.XLOOKUP(A81,'Standards Catalogue'!$A:$A,'Standards Catalogue'!$E:$E,""),IF(B81="S",_xludf.XLOOKUP(A81,'Standards Catalogue'!$A:$A,'Standards Catalogue'!$G:$G,""),""))),"")</f>
        <v/>
      </c>
      <c r="P81" t="str">
        <f t="shared" si="7"/>
        <v/>
      </c>
      <c r="Q81" t="str">
        <f t="shared" si="8"/>
        <v/>
      </c>
      <c r="R81" t="str">
        <f t="shared" si="9"/>
        <v/>
      </c>
    </row>
    <row r="82" spans="12:18" x14ac:dyDescent="0.25">
      <c r="L82" t="str">
        <f t="shared" si="5"/>
        <v/>
      </c>
      <c r="M82" t="b">
        <f t="shared" si="6"/>
        <v>0</v>
      </c>
      <c r="N82" t="str">
        <f>IF(M82,IF(B82="Fe",_xludf.XLOOKUP(A82,'Standards Catalogue'!$A:$A,'Standards Catalogue'!$B:$B,""),IF(B82="P",_xludf.XLOOKUP(A82,'Standards Catalogue'!$A:$A,'Standards Catalogue'!$D:$D,""),IF(B82="S",_xludf.XLOOKUP(A82,'Standards Catalogue'!$A:$A,'Standards Catalogue'!$F:$F,""),""))),"")</f>
        <v/>
      </c>
      <c r="O82" t="str">
        <f>IF(M82,IF(B82="Fe",_xludf.XLOOKUP(A82,'Standards Catalogue'!$A:$A,'Standards Catalogue'!$C:$C,""),IF(B82="P",_xludf.XLOOKUP(A82,'Standards Catalogue'!$A:$A,'Standards Catalogue'!$E:$E,""),IF(B82="S",_xludf.XLOOKUP(A82,'Standards Catalogue'!$A:$A,'Standards Catalogue'!$G:$G,""),""))),"")</f>
        <v/>
      </c>
      <c r="P82" t="str">
        <f t="shared" si="7"/>
        <v/>
      </c>
      <c r="Q82" t="str">
        <f t="shared" si="8"/>
        <v/>
      </c>
      <c r="R82" t="str">
        <f t="shared" si="9"/>
        <v/>
      </c>
    </row>
    <row r="83" spans="12:18" x14ac:dyDescent="0.25">
      <c r="L83" t="str">
        <f t="shared" si="5"/>
        <v/>
      </c>
      <c r="M83" t="b">
        <f t="shared" si="6"/>
        <v>0</v>
      </c>
      <c r="N83" t="str">
        <f>IF(M83,IF(B83="Fe",_xludf.XLOOKUP(A83,'Standards Catalogue'!$A:$A,'Standards Catalogue'!$B:$B,""),IF(B83="P",_xludf.XLOOKUP(A83,'Standards Catalogue'!$A:$A,'Standards Catalogue'!$D:$D,""),IF(B83="S",_xludf.XLOOKUP(A83,'Standards Catalogue'!$A:$A,'Standards Catalogue'!$F:$F,""),""))),"")</f>
        <v/>
      </c>
      <c r="O83" t="str">
        <f>IF(M83,IF(B83="Fe",_xludf.XLOOKUP(A83,'Standards Catalogue'!$A:$A,'Standards Catalogue'!$C:$C,""),IF(B83="P",_xludf.XLOOKUP(A83,'Standards Catalogue'!$A:$A,'Standards Catalogue'!$E:$E,""),IF(B83="S",_xludf.XLOOKUP(A83,'Standards Catalogue'!$A:$A,'Standards Catalogue'!$G:$G,""),""))),"")</f>
        <v/>
      </c>
      <c r="P83" t="str">
        <f t="shared" si="7"/>
        <v/>
      </c>
      <c r="Q83" t="str">
        <f t="shared" si="8"/>
        <v/>
      </c>
      <c r="R83" t="str">
        <f t="shared" si="9"/>
        <v/>
      </c>
    </row>
    <row r="84" spans="12:18" x14ac:dyDescent="0.25">
      <c r="L84" t="str">
        <f t="shared" si="5"/>
        <v/>
      </c>
      <c r="M84" t="b">
        <f t="shared" si="6"/>
        <v>0</v>
      </c>
      <c r="N84" t="str">
        <f>IF(M84,IF(B84="Fe",_xludf.XLOOKUP(A84,'Standards Catalogue'!$A:$A,'Standards Catalogue'!$B:$B,""),IF(B84="P",_xludf.XLOOKUP(A84,'Standards Catalogue'!$A:$A,'Standards Catalogue'!$D:$D,""),IF(B84="S",_xludf.XLOOKUP(A84,'Standards Catalogue'!$A:$A,'Standards Catalogue'!$F:$F,""),""))),"")</f>
        <v/>
      </c>
      <c r="O84" t="str">
        <f>IF(M84,IF(B84="Fe",_xludf.XLOOKUP(A84,'Standards Catalogue'!$A:$A,'Standards Catalogue'!$C:$C,""),IF(B84="P",_xludf.XLOOKUP(A84,'Standards Catalogue'!$A:$A,'Standards Catalogue'!$E:$E,""),IF(B84="S",_xludf.XLOOKUP(A84,'Standards Catalogue'!$A:$A,'Standards Catalogue'!$G:$G,""),""))),"")</f>
        <v/>
      </c>
      <c r="P84" t="str">
        <f t="shared" si="7"/>
        <v/>
      </c>
      <c r="Q84" t="str">
        <f t="shared" si="8"/>
        <v/>
      </c>
      <c r="R84" t="str">
        <f t="shared" si="9"/>
        <v/>
      </c>
    </row>
    <row r="85" spans="12:18" x14ac:dyDescent="0.25">
      <c r="L85" t="str">
        <f t="shared" si="5"/>
        <v/>
      </c>
      <c r="M85" t="b">
        <f t="shared" si="6"/>
        <v>0</v>
      </c>
      <c r="N85" t="str">
        <f>IF(M85,IF(B85="Fe",_xludf.XLOOKUP(A85,'Standards Catalogue'!$A:$A,'Standards Catalogue'!$B:$B,""),IF(B85="P",_xludf.XLOOKUP(A85,'Standards Catalogue'!$A:$A,'Standards Catalogue'!$D:$D,""),IF(B85="S",_xludf.XLOOKUP(A85,'Standards Catalogue'!$A:$A,'Standards Catalogue'!$F:$F,""),""))),"")</f>
        <v/>
      </c>
      <c r="O85" t="str">
        <f>IF(M85,IF(B85="Fe",_xludf.XLOOKUP(A85,'Standards Catalogue'!$A:$A,'Standards Catalogue'!$C:$C,""),IF(B85="P",_xludf.XLOOKUP(A85,'Standards Catalogue'!$A:$A,'Standards Catalogue'!$E:$E,""),IF(B85="S",_xludf.XLOOKUP(A85,'Standards Catalogue'!$A:$A,'Standards Catalogue'!$G:$G,""),""))),"")</f>
        <v/>
      </c>
      <c r="P85" t="str">
        <f t="shared" si="7"/>
        <v/>
      </c>
      <c r="Q85" t="str">
        <f t="shared" si="8"/>
        <v/>
      </c>
      <c r="R85" t="str">
        <f t="shared" si="9"/>
        <v/>
      </c>
    </row>
    <row r="86" spans="12:18" x14ac:dyDescent="0.25">
      <c r="L86" t="str">
        <f t="shared" si="5"/>
        <v/>
      </c>
      <c r="M86" t="b">
        <f t="shared" si="6"/>
        <v>0</v>
      </c>
      <c r="N86" t="str">
        <f>IF(M86,IF(B86="Fe",_xludf.XLOOKUP(A86,'Standards Catalogue'!$A:$A,'Standards Catalogue'!$B:$B,""),IF(B86="P",_xludf.XLOOKUP(A86,'Standards Catalogue'!$A:$A,'Standards Catalogue'!$D:$D,""),IF(B86="S",_xludf.XLOOKUP(A86,'Standards Catalogue'!$A:$A,'Standards Catalogue'!$F:$F,""),""))),"")</f>
        <v/>
      </c>
      <c r="O86" t="str">
        <f>IF(M86,IF(B86="Fe",_xludf.XLOOKUP(A86,'Standards Catalogue'!$A:$A,'Standards Catalogue'!$C:$C,""),IF(B86="P",_xludf.XLOOKUP(A86,'Standards Catalogue'!$A:$A,'Standards Catalogue'!$E:$E,""),IF(B86="S",_xludf.XLOOKUP(A86,'Standards Catalogue'!$A:$A,'Standards Catalogue'!$G:$G,""),""))),"")</f>
        <v/>
      </c>
      <c r="P86" t="str">
        <f t="shared" si="7"/>
        <v/>
      </c>
      <c r="Q86" t="str">
        <f t="shared" si="8"/>
        <v/>
      </c>
      <c r="R86" t="str">
        <f t="shared" si="9"/>
        <v/>
      </c>
    </row>
    <row r="87" spans="12:18" x14ac:dyDescent="0.25">
      <c r="L87" t="str">
        <f t="shared" si="5"/>
        <v/>
      </c>
      <c r="M87" t="b">
        <f t="shared" si="6"/>
        <v>0</v>
      </c>
      <c r="N87" t="str">
        <f>IF(M87,IF(B87="Fe",_xludf.XLOOKUP(A87,'Standards Catalogue'!$A:$A,'Standards Catalogue'!$B:$B,""),IF(B87="P",_xludf.XLOOKUP(A87,'Standards Catalogue'!$A:$A,'Standards Catalogue'!$D:$D,""),IF(B87="S",_xludf.XLOOKUP(A87,'Standards Catalogue'!$A:$A,'Standards Catalogue'!$F:$F,""),""))),"")</f>
        <v/>
      </c>
      <c r="O87" t="str">
        <f>IF(M87,IF(B87="Fe",_xludf.XLOOKUP(A87,'Standards Catalogue'!$A:$A,'Standards Catalogue'!$C:$C,""),IF(B87="P",_xludf.XLOOKUP(A87,'Standards Catalogue'!$A:$A,'Standards Catalogue'!$E:$E,""),IF(B87="S",_xludf.XLOOKUP(A87,'Standards Catalogue'!$A:$A,'Standards Catalogue'!$G:$G,""),""))),"")</f>
        <v/>
      </c>
      <c r="P87" t="str">
        <f t="shared" si="7"/>
        <v/>
      </c>
      <c r="Q87" t="str">
        <f t="shared" si="8"/>
        <v/>
      </c>
      <c r="R87" t="str">
        <f t="shared" si="9"/>
        <v/>
      </c>
    </row>
    <row r="88" spans="12:18" x14ac:dyDescent="0.25">
      <c r="L88" t="str">
        <f t="shared" si="5"/>
        <v/>
      </c>
      <c r="M88" t="b">
        <f t="shared" si="6"/>
        <v>0</v>
      </c>
      <c r="N88" t="str">
        <f>IF(M88,IF(B88="Fe",_xludf.XLOOKUP(A88,'Standards Catalogue'!$A:$A,'Standards Catalogue'!$B:$B,""),IF(B88="P",_xludf.XLOOKUP(A88,'Standards Catalogue'!$A:$A,'Standards Catalogue'!$D:$D,""),IF(B88="S",_xludf.XLOOKUP(A88,'Standards Catalogue'!$A:$A,'Standards Catalogue'!$F:$F,""),""))),"")</f>
        <v/>
      </c>
      <c r="O88" t="str">
        <f>IF(M88,IF(B88="Fe",_xludf.XLOOKUP(A88,'Standards Catalogue'!$A:$A,'Standards Catalogue'!$C:$C,""),IF(B88="P",_xludf.XLOOKUP(A88,'Standards Catalogue'!$A:$A,'Standards Catalogue'!$E:$E,""),IF(B88="S",_xludf.XLOOKUP(A88,'Standards Catalogue'!$A:$A,'Standards Catalogue'!$G:$G,""),""))),"")</f>
        <v/>
      </c>
      <c r="P88" t="str">
        <f t="shared" si="7"/>
        <v/>
      </c>
      <c r="Q88" t="str">
        <f t="shared" si="8"/>
        <v/>
      </c>
      <c r="R88" t="str">
        <f t="shared" si="9"/>
        <v/>
      </c>
    </row>
    <row r="89" spans="12:18" x14ac:dyDescent="0.25">
      <c r="L89" t="str">
        <f t="shared" si="5"/>
        <v/>
      </c>
      <c r="M89" t="b">
        <f t="shared" si="6"/>
        <v>0</v>
      </c>
      <c r="N89" t="str">
        <f>IF(M89,IF(B89="Fe",_xludf.XLOOKUP(A89,'Standards Catalogue'!$A:$A,'Standards Catalogue'!$B:$B,""),IF(B89="P",_xludf.XLOOKUP(A89,'Standards Catalogue'!$A:$A,'Standards Catalogue'!$D:$D,""),IF(B89="S",_xludf.XLOOKUP(A89,'Standards Catalogue'!$A:$A,'Standards Catalogue'!$F:$F,""),""))),"")</f>
        <v/>
      </c>
      <c r="O89" t="str">
        <f>IF(M89,IF(B89="Fe",_xludf.XLOOKUP(A89,'Standards Catalogue'!$A:$A,'Standards Catalogue'!$C:$C,""),IF(B89="P",_xludf.XLOOKUP(A89,'Standards Catalogue'!$A:$A,'Standards Catalogue'!$E:$E,""),IF(B89="S",_xludf.XLOOKUP(A89,'Standards Catalogue'!$A:$A,'Standards Catalogue'!$G:$G,""),""))),"")</f>
        <v/>
      </c>
      <c r="P89" t="str">
        <f t="shared" si="7"/>
        <v/>
      </c>
      <c r="Q89" t="str">
        <f t="shared" si="8"/>
        <v/>
      </c>
      <c r="R89" t="str">
        <f t="shared" si="9"/>
        <v/>
      </c>
    </row>
    <row r="90" spans="12:18" x14ac:dyDescent="0.25">
      <c r="L90" t="str">
        <f t="shared" si="5"/>
        <v/>
      </c>
      <c r="M90" t="b">
        <f t="shared" si="6"/>
        <v>0</v>
      </c>
      <c r="N90" t="str">
        <f>IF(M90,IF(B90="Fe",_xludf.XLOOKUP(A90,'Standards Catalogue'!$A:$A,'Standards Catalogue'!$B:$B,""),IF(B90="P",_xludf.XLOOKUP(A90,'Standards Catalogue'!$A:$A,'Standards Catalogue'!$D:$D,""),IF(B90="S",_xludf.XLOOKUP(A90,'Standards Catalogue'!$A:$A,'Standards Catalogue'!$F:$F,""),""))),"")</f>
        <v/>
      </c>
      <c r="O90" t="str">
        <f>IF(M90,IF(B90="Fe",_xludf.XLOOKUP(A90,'Standards Catalogue'!$A:$A,'Standards Catalogue'!$C:$C,""),IF(B90="P",_xludf.XLOOKUP(A90,'Standards Catalogue'!$A:$A,'Standards Catalogue'!$E:$E,""),IF(B90="S",_xludf.XLOOKUP(A90,'Standards Catalogue'!$A:$A,'Standards Catalogue'!$G:$G,""),""))),"")</f>
        <v/>
      </c>
      <c r="P90" t="str">
        <f t="shared" si="7"/>
        <v/>
      </c>
      <c r="Q90" t="str">
        <f t="shared" si="8"/>
        <v/>
      </c>
      <c r="R90" t="str">
        <f t="shared" si="9"/>
        <v/>
      </c>
    </row>
    <row r="91" spans="12:18" x14ac:dyDescent="0.25">
      <c r="L91" t="str">
        <f t="shared" si="5"/>
        <v/>
      </c>
      <c r="M91" t="b">
        <f t="shared" si="6"/>
        <v>0</v>
      </c>
      <c r="N91" t="str">
        <f>IF(M91,IF(B91="Fe",_xludf.XLOOKUP(A91,'Standards Catalogue'!$A:$A,'Standards Catalogue'!$B:$B,""),IF(B91="P",_xludf.XLOOKUP(A91,'Standards Catalogue'!$A:$A,'Standards Catalogue'!$D:$D,""),IF(B91="S",_xludf.XLOOKUP(A91,'Standards Catalogue'!$A:$A,'Standards Catalogue'!$F:$F,""),""))),"")</f>
        <v/>
      </c>
      <c r="O91" t="str">
        <f>IF(M91,IF(B91="Fe",_xludf.XLOOKUP(A91,'Standards Catalogue'!$A:$A,'Standards Catalogue'!$C:$C,""),IF(B91="P",_xludf.XLOOKUP(A91,'Standards Catalogue'!$A:$A,'Standards Catalogue'!$E:$E,""),IF(B91="S",_xludf.XLOOKUP(A91,'Standards Catalogue'!$A:$A,'Standards Catalogue'!$G:$G,""),""))),"")</f>
        <v/>
      </c>
      <c r="P91" t="str">
        <f t="shared" si="7"/>
        <v/>
      </c>
      <c r="Q91" t="str">
        <f t="shared" si="8"/>
        <v/>
      </c>
      <c r="R91" t="str">
        <f t="shared" si="9"/>
        <v/>
      </c>
    </row>
    <row r="92" spans="12:18" x14ac:dyDescent="0.25">
      <c r="L92" t="str">
        <f t="shared" si="5"/>
        <v/>
      </c>
      <c r="M92" t="b">
        <f t="shared" si="6"/>
        <v>0</v>
      </c>
      <c r="N92" t="str">
        <f>IF(M92,IF(B92="Fe",_xludf.XLOOKUP(A92,'Standards Catalogue'!$A:$A,'Standards Catalogue'!$B:$B,""),IF(B92="P",_xludf.XLOOKUP(A92,'Standards Catalogue'!$A:$A,'Standards Catalogue'!$D:$D,""),IF(B92="S",_xludf.XLOOKUP(A92,'Standards Catalogue'!$A:$A,'Standards Catalogue'!$F:$F,""),""))),"")</f>
        <v/>
      </c>
      <c r="O92" t="str">
        <f>IF(M92,IF(B92="Fe",_xludf.XLOOKUP(A92,'Standards Catalogue'!$A:$A,'Standards Catalogue'!$C:$C,""),IF(B92="P",_xludf.XLOOKUP(A92,'Standards Catalogue'!$A:$A,'Standards Catalogue'!$E:$E,""),IF(B92="S",_xludf.XLOOKUP(A92,'Standards Catalogue'!$A:$A,'Standards Catalogue'!$G:$G,""),""))),"")</f>
        <v/>
      </c>
      <c r="P92" t="str">
        <f t="shared" si="7"/>
        <v/>
      </c>
      <c r="Q92" t="str">
        <f t="shared" si="8"/>
        <v/>
      </c>
      <c r="R92" t="str">
        <f t="shared" si="9"/>
        <v/>
      </c>
    </row>
    <row r="93" spans="12:18" x14ac:dyDescent="0.25">
      <c r="L93" t="str">
        <f t="shared" si="5"/>
        <v/>
      </c>
      <c r="M93" t="b">
        <f t="shared" si="6"/>
        <v>0</v>
      </c>
      <c r="N93" t="str">
        <f>IF(M93,IF(B93="Fe",_xludf.XLOOKUP(A93,'Standards Catalogue'!$A:$A,'Standards Catalogue'!$B:$B,""),IF(B93="P",_xludf.XLOOKUP(A93,'Standards Catalogue'!$A:$A,'Standards Catalogue'!$D:$D,""),IF(B93="S",_xludf.XLOOKUP(A93,'Standards Catalogue'!$A:$A,'Standards Catalogue'!$F:$F,""),""))),"")</f>
        <v/>
      </c>
      <c r="O93" t="str">
        <f>IF(M93,IF(B93="Fe",_xludf.XLOOKUP(A93,'Standards Catalogue'!$A:$A,'Standards Catalogue'!$C:$C,""),IF(B93="P",_xludf.XLOOKUP(A93,'Standards Catalogue'!$A:$A,'Standards Catalogue'!$E:$E,""),IF(B93="S",_xludf.XLOOKUP(A93,'Standards Catalogue'!$A:$A,'Standards Catalogue'!$G:$G,""),""))),"")</f>
        <v/>
      </c>
      <c r="P93" t="str">
        <f t="shared" si="7"/>
        <v/>
      </c>
      <c r="Q93" t="str">
        <f t="shared" si="8"/>
        <v/>
      </c>
      <c r="R93" t="str">
        <f t="shared" si="9"/>
        <v/>
      </c>
    </row>
    <row r="94" spans="12:18" x14ac:dyDescent="0.25">
      <c r="L94" t="str">
        <f t="shared" si="5"/>
        <v/>
      </c>
      <c r="M94" t="b">
        <f t="shared" si="6"/>
        <v>0</v>
      </c>
      <c r="N94" t="str">
        <f>IF(M94,IF(B94="Fe",_xludf.XLOOKUP(A94,'Standards Catalogue'!$A:$A,'Standards Catalogue'!$B:$B,""),IF(B94="P",_xludf.XLOOKUP(A94,'Standards Catalogue'!$A:$A,'Standards Catalogue'!$D:$D,""),IF(B94="S",_xludf.XLOOKUP(A94,'Standards Catalogue'!$A:$A,'Standards Catalogue'!$F:$F,""),""))),"")</f>
        <v/>
      </c>
      <c r="O94" t="str">
        <f>IF(M94,IF(B94="Fe",_xludf.XLOOKUP(A94,'Standards Catalogue'!$A:$A,'Standards Catalogue'!$C:$C,""),IF(B94="P",_xludf.XLOOKUP(A94,'Standards Catalogue'!$A:$A,'Standards Catalogue'!$E:$E,""),IF(B94="S",_xludf.XLOOKUP(A94,'Standards Catalogue'!$A:$A,'Standards Catalogue'!$G:$G,""),""))),"")</f>
        <v/>
      </c>
      <c r="P94" t="str">
        <f t="shared" si="7"/>
        <v/>
      </c>
      <c r="Q94" t="str">
        <f t="shared" si="8"/>
        <v/>
      </c>
      <c r="R94" t="str">
        <f t="shared" si="9"/>
        <v/>
      </c>
    </row>
    <row r="95" spans="12:18" x14ac:dyDescent="0.25">
      <c r="L95" t="str">
        <f t="shared" si="5"/>
        <v/>
      </c>
      <c r="M95" t="b">
        <f t="shared" si="6"/>
        <v>0</v>
      </c>
      <c r="N95" t="str">
        <f>IF(M95,IF(B95="Fe",_xludf.XLOOKUP(A95,'Standards Catalogue'!$A:$A,'Standards Catalogue'!$B:$B,""),IF(B95="P",_xludf.XLOOKUP(A95,'Standards Catalogue'!$A:$A,'Standards Catalogue'!$D:$D,""),IF(B95="S",_xludf.XLOOKUP(A95,'Standards Catalogue'!$A:$A,'Standards Catalogue'!$F:$F,""),""))),"")</f>
        <v/>
      </c>
      <c r="O95" t="str">
        <f>IF(M95,IF(B95="Fe",_xludf.XLOOKUP(A95,'Standards Catalogue'!$A:$A,'Standards Catalogue'!$C:$C,""),IF(B95="P",_xludf.XLOOKUP(A95,'Standards Catalogue'!$A:$A,'Standards Catalogue'!$E:$E,""),IF(B95="S",_xludf.XLOOKUP(A95,'Standards Catalogue'!$A:$A,'Standards Catalogue'!$G:$G,""),""))),"")</f>
        <v/>
      </c>
      <c r="P95" t="str">
        <f t="shared" si="7"/>
        <v/>
      </c>
      <c r="Q95" t="str">
        <f t="shared" si="8"/>
        <v/>
      </c>
      <c r="R95" t="str">
        <f t="shared" si="9"/>
        <v/>
      </c>
    </row>
    <row r="96" spans="12:18" x14ac:dyDescent="0.25">
      <c r="L96" t="str">
        <f t="shared" si="5"/>
        <v/>
      </c>
      <c r="M96" t="b">
        <f t="shared" si="6"/>
        <v>0</v>
      </c>
      <c r="N96" t="str">
        <f>IF(M96,IF(B96="Fe",_xludf.XLOOKUP(A96,'Standards Catalogue'!$A:$A,'Standards Catalogue'!$B:$B,""),IF(B96="P",_xludf.XLOOKUP(A96,'Standards Catalogue'!$A:$A,'Standards Catalogue'!$D:$D,""),IF(B96="S",_xludf.XLOOKUP(A96,'Standards Catalogue'!$A:$A,'Standards Catalogue'!$F:$F,""),""))),"")</f>
        <v/>
      </c>
      <c r="O96" t="str">
        <f>IF(M96,IF(B96="Fe",_xludf.XLOOKUP(A96,'Standards Catalogue'!$A:$A,'Standards Catalogue'!$C:$C,""),IF(B96="P",_xludf.XLOOKUP(A96,'Standards Catalogue'!$A:$A,'Standards Catalogue'!$E:$E,""),IF(B96="S",_xludf.XLOOKUP(A96,'Standards Catalogue'!$A:$A,'Standards Catalogue'!$G:$G,""),""))),"")</f>
        <v/>
      </c>
      <c r="P96" t="str">
        <f t="shared" si="7"/>
        <v/>
      </c>
      <c r="Q96" t="str">
        <f t="shared" si="8"/>
        <v/>
      </c>
      <c r="R96" t="str">
        <f t="shared" si="9"/>
        <v/>
      </c>
    </row>
    <row r="97" spans="12:18" x14ac:dyDescent="0.25">
      <c r="L97" t="str">
        <f t="shared" si="5"/>
        <v/>
      </c>
      <c r="M97" t="b">
        <f t="shared" si="6"/>
        <v>0</v>
      </c>
      <c r="N97" t="str">
        <f>IF(M97,IF(B97="Fe",_xludf.XLOOKUP(A97,'Standards Catalogue'!$A:$A,'Standards Catalogue'!$B:$B,""),IF(B97="P",_xludf.XLOOKUP(A97,'Standards Catalogue'!$A:$A,'Standards Catalogue'!$D:$D,""),IF(B97="S",_xludf.XLOOKUP(A97,'Standards Catalogue'!$A:$A,'Standards Catalogue'!$F:$F,""),""))),"")</f>
        <v/>
      </c>
      <c r="O97" t="str">
        <f>IF(M97,IF(B97="Fe",_xludf.XLOOKUP(A97,'Standards Catalogue'!$A:$A,'Standards Catalogue'!$C:$C,""),IF(B97="P",_xludf.XLOOKUP(A97,'Standards Catalogue'!$A:$A,'Standards Catalogue'!$E:$E,""),IF(B97="S",_xludf.XLOOKUP(A97,'Standards Catalogue'!$A:$A,'Standards Catalogue'!$G:$G,""),""))),"")</f>
        <v/>
      </c>
      <c r="P97" t="str">
        <f t="shared" si="7"/>
        <v/>
      </c>
      <c r="Q97" t="str">
        <f t="shared" si="8"/>
        <v/>
      </c>
      <c r="R97" t="str">
        <f t="shared" si="9"/>
        <v/>
      </c>
    </row>
    <row r="98" spans="12:18" x14ac:dyDescent="0.25">
      <c r="L98" t="str">
        <f t="shared" si="5"/>
        <v/>
      </c>
      <c r="M98" t="b">
        <f t="shared" si="6"/>
        <v>0</v>
      </c>
      <c r="N98" t="str">
        <f>IF(M98,IF(B98="Fe",_xludf.XLOOKUP(A98,'Standards Catalogue'!$A:$A,'Standards Catalogue'!$B:$B,""),IF(B98="P",_xludf.XLOOKUP(A98,'Standards Catalogue'!$A:$A,'Standards Catalogue'!$D:$D,""),IF(B98="S",_xludf.XLOOKUP(A98,'Standards Catalogue'!$A:$A,'Standards Catalogue'!$F:$F,""),""))),"")</f>
        <v/>
      </c>
      <c r="O98" t="str">
        <f>IF(M98,IF(B98="Fe",_xludf.XLOOKUP(A98,'Standards Catalogue'!$A:$A,'Standards Catalogue'!$C:$C,""),IF(B98="P",_xludf.XLOOKUP(A98,'Standards Catalogue'!$A:$A,'Standards Catalogue'!$E:$E,""),IF(B98="S",_xludf.XLOOKUP(A98,'Standards Catalogue'!$A:$A,'Standards Catalogue'!$G:$G,""),""))),"")</f>
        <v/>
      </c>
      <c r="P98" t="str">
        <f t="shared" si="7"/>
        <v/>
      </c>
      <c r="Q98" t="str">
        <f t="shared" si="8"/>
        <v/>
      </c>
      <c r="R98" t="str">
        <f t="shared" si="9"/>
        <v/>
      </c>
    </row>
    <row r="99" spans="12:18" x14ac:dyDescent="0.25">
      <c r="L99" t="str">
        <f t="shared" si="5"/>
        <v/>
      </c>
      <c r="M99" t="b">
        <f t="shared" si="6"/>
        <v>0</v>
      </c>
      <c r="N99" t="str">
        <f>IF(M99,IF(B99="Fe",_xludf.XLOOKUP(A99,'Standards Catalogue'!$A:$A,'Standards Catalogue'!$B:$B,""),IF(B99="P",_xludf.XLOOKUP(A99,'Standards Catalogue'!$A:$A,'Standards Catalogue'!$D:$D,""),IF(B99="S",_xludf.XLOOKUP(A99,'Standards Catalogue'!$A:$A,'Standards Catalogue'!$F:$F,""),""))),"")</f>
        <v/>
      </c>
      <c r="O99" t="str">
        <f>IF(M99,IF(B99="Fe",_xludf.XLOOKUP(A99,'Standards Catalogue'!$A:$A,'Standards Catalogue'!$C:$C,""),IF(B99="P",_xludf.XLOOKUP(A99,'Standards Catalogue'!$A:$A,'Standards Catalogue'!$E:$E,""),IF(B99="S",_xludf.XLOOKUP(A99,'Standards Catalogue'!$A:$A,'Standards Catalogue'!$G:$G,""),""))),"")</f>
        <v/>
      </c>
      <c r="P99" t="str">
        <f t="shared" si="7"/>
        <v/>
      </c>
      <c r="Q99" t="str">
        <f t="shared" si="8"/>
        <v/>
      </c>
      <c r="R99" t="str">
        <f t="shared" si="9"/>
        <v/>
      </c>
    </row>
    <row r="100" spans="12:18" x14ac:dyDescent="0.25">
      <c r="L100" t="str">
        <f t="shared" si="5"/>
        <v/>
      </c>
      <c r="M100" t="b">
        <f t="shared" si="6"/>
        <v>0</v>
      </c>
      <c r="N100" t="str">
        <f>IF(M100,IF(B100="Fe",_xludf.XLOOKUP(A100,'Standards Catalogue'!$A:$A,'Standards Catalogue'!$B:$B,""),IF(B100="P",_xludf.XLOOKUP(A100,'Standards Catalogue'!$A:$A,'Standards Catalogue'!$D:$D,""),IF(B100="S",_xludf.XLOOKUP(A100,'Standards Catalogue'!$A:$A,'Standards Catalogue'!$F:$F,""),""))),"")</f>
        <v/>
      </c>
      <c r="O100" t="str">
        <f>IF(M100,IF(B100="Fe",_xludf.XLOOKUP(A100,'Standards Catalogue'!$A:$A,'Standards Catalogue'!$C:$C,""),IF(B100="P",_xludf.XLOOKUP(A100,'Standards Catalogue'!$A:$A,'Standards Catalogue'!$E:$E,""),IF(B100="S",_xludf.XLOOKUP(A100,'Standards Catalogue'!$A:$A,'Standards Catalogue'!$G:$G,""),""))),"")</f>
        <v/>
      </c>
      <c r="P100" t="str">
        <f t="shared" si="7"/>
        <v/>
      </c>
      <c r="Q100" t="str">
        <f t="shared" si="8"/>
        <v/>
      </c>
      <c r="R100" t="str">
        <f t="shared" si="9"/>
        <v/>
      </c>
    </row>
    <row r="101" spans="12:18" x14ac:dyDescent="0.25">
      <c r="L101" t="str">
        <f t="shared" si="5"/>
        <v/>
      </c>
      <c r="M101" t="b">
        <f t="shared" si="6"/>
        <v>0</v>
      </c>
      <c r="N101" t="str">
        <f>IF(M101,IF(B101="Fe",_xludf.XLOOKUP(A101,'Standards Catalogue'!$A:$A,'Standards Catalogue'!$B:$B,""),IF(B101="P",_xludf.XLOOKUP(A101,'Standards Catalogue'!$A:$A,'Standards Catalogue'!$D:$D,""),IF(B101="S",_xludf.XLOOKUP(A101,'Standards Catalogue'!$A:$A,'Standards Catalogue'!$F:$F,""),""))),"")</f>
        <v/>
      </c>
      <c r="O101" t="str">
        <f>IF(M101,IF(B101="Fe",_xludf.XLOOKUP(A101,'Standards Catalogue'!$A:$A,'Standards Catalogue'!$C:$C,""),IF(B101="P",_xludf.XLOOKUP(A101,'Standards Catalogue'!$A:$A,'Standards Catalogue'!$E:$E,""),IF(B101="S",_xludf.XLOOKUP(A101,'Standards Catalogue'!$A:$A,'Standards Catalogue'!$G:$G,""),""))),"")</f>
        <v/>
      </c>
      <c r="P101" t="str">
        <f t="shared" si="7"/>
        <v/>
      </c>
      <c r="Q101" t="str">
        <f t="shared" si="8"/>
        <v/>
      </c>
      <c r="R101" t="str">
        <f t="shared" si="9"/>
        <v/>
      </c>
    </row>
    <row r="102" spans="12:18" x14ac:dyDescent="0.25">
      <c r="L102" t="str">
        <f t="shared" si="5"/>
        <v/>
      </c>
      <c r="M102" t="b">
        <f t="shared" si="6"/>
        <v>0</v>
      </c>
      <c r="N102" t="str">
        <f>IF(M102,IF(B102="Fe",_xludf.XLOOKUP(A102,'Standards Catalogue'!$A:$A,'Standards Catalogue'!$B:$B,""),IF(B102="P",_xludf.XLOOKUP(A102,'Standards Catalogue'!$A:$A,'Standards Catalogue'!$D:$D,""),IF(B102="S",_xludf.XLOOKUP(A102,'Standards Catalogue'!$A:$A,'Standards Catalogue'!$F:$F,""),""))),"")</f>
        <v/>
      </c>
      <c r="O102" t="str">
        <f>IF(M102,IF(B102="Fe",_xludf.XLOOKUP(A102,'Standards Catalogue'!$A:$A,'Standards Catalogue'!$C:$C,""),IF(B102="P",_xludf.XLOOKUP(A102,'Standards Catalogue'!$A:$A,'Standards Catalogue'!$E:$E,""),IF(B102="S",_xludf.XLOOKUP(A102,'Standards Catalogue'!$A:$A,'Standards Catalogue'!$G:$G,""),""))),"")</f>
        <v/>
      </c>
      <c r="P102" t="str">
        <f t="shared" si="7"/>
        <v/>
      </c>
      <c r="Q102" t="str">
        <f t="shared" si="8"/>
        <v/>
      </c>
      <c r="R102" t="str">
        <f t="shared" si="9"/>
        <v/>
      </c>
    </row>
    <row r="103" spans="12:18" x14ac:dyDescent="0.25">
      <c r="L103" t="str">
        <f t="shared" si="5"/>
        <v/>
      </c>
      <c r="M103" t="b">
        <f t="shared" si="6"/>
        <v>0</v>
      </c>
      <c r="N103" t="str">
        <f>IF(M103,IF(B103="Fe",_xludf.XLOOKUP(A103,'Standards Catalogue'!$A:$A,'Standards Catalogue'!$B:$B,""),IF(B103="P",_xludf.XLOOKUP(A103,'Standards Catalogue'!$A:$A,'Standards Catalogue'!$D:$D,""),IF(B103="S",_xludf.XLOOKUP(A103,'Standards Catalogue'!$A:$A,'Standards Catalogue'!$F:$F,""),""))),"")</f>
        <v/>
      </c>
      <c r="O103" t="str">
        <f>IF(M103,IF(B103="Fe",_xludf.XLOOKUP(A103,'Standards Catalogue'!$A:$A,'Standards Catalogue'!$C:$C,""),IF(B103="P",_xludf.XLOOKUP(A103,'Standards Catalogue'!$A:$A,'Standards Catalogue'!$E:$E,""),IF(B103="S",_xludf.XLOOKUP(A103,'Standards Catalogue'!$A:$A,'Standards Catalogue'!$G:$G,""),""))),"")</f>
        <v/>
      </c>
      <c r="P103" t="str">
        <f t="shared" si="7"/>
        <v/>
      </c>
      <c r="Q103" t="str">
        <f t="shared" si="8"/>
        <v/>
      </c>
      <c r="R103" t="str">
        <f t="shared" si="9"/>
        <v/>
      </c>
    </row>
    <row r="104" spans="12:18" x14ac:dyDescent="0.25">
      <c r="L104" t="str">
        <f t="shared" si="5"/>
        <v/>
      </c>
      <c r="M104" t="b">
        <f t="shared" si="6"/>
        <v>0</v>
      </c>
      <c r="N104" t="str">
        <f>IF(M104,IF(B104="Fe",_xludf.XLOOKUP(A104,'Standards Catalogue'!$A:$A,'Standards Catalogue'!$B:$B,""),IF(B104="P",_xludf.XLOOKUP(A104,'Standards Catalogue'!$A:$A,'Standards Catalogue'!$D:$D,""),IF(B104="S",_xludf.XLOOKUP(A104,'Standards Catalogue'!$A:$A,'Standards Catalogue'!$F:$F,""),""))),"")</f>
        <v/>
      </c>
      <c r="O104" t="str">
        <f>IF(M104,IF(B104="Fe",_xludf.XLOOKUP(A104,'Standards Catalogue'!$A:$A,'Standards Catalogue'!$C:$C,""),IF(B104="P",_xludf.XLOOKUP(A104,'Standards Catalogue'!$A:$A,'Standards Catalogue'!$E:$E,""),IF(B104="S",_xludf.XLOOKUP(A104,'Standards Catalogue'!$A:$A,'Standards Catalogue'!$G:$G,""),""))),"")</f>
        <v/>
      </c>
      <c r="P104" t="str">
        <f t="shared" si="7"/>
        <v/>
      </c>
      <c r="Q104" t="str">
        <f t="shared" si="8"/>
        <v/>
      </c>
      <c r="R104" t="str">
        <f t="shared" si="9"/>
        <v/>
      </c>
    </row>
    <row r="105" spans="12:18" x14ac:dyDescent="0.25">
      <c r="L105" t="str">
        <f t="shared" si="5"/>
        <v/>
      </c>
      <c r="M105" t="b">
        <f t="shared" si="6"/>
        <v>0</v>
      </c>
      <c r="N105" t="str">
        <f>IF(M105,IF(B105="Fe",_xludf.XLOOKUP(A105,'Standards Catalogue'!$A:$A,'Standards Catalogue'!$B:$B,""),IF(B105="P",_xludf.XLOOKUP(A105,'Standards Catalogue'!$A:$A,'Standards Catalogue'!$D:$D,""),IF(B105="S",_xludf.XLOOKUP(A105,'Standards Catalogue'!$A:$A,'Standards Catalogue'!$F:$F,""),""))),"")</f>
        <v/>
      </c>
      <c r="O105" t="str">
        <f>IF(M105,IF(B105="Fe",_xludf.XLOOKUP(A105,'Standards Catalogue'!$A:$A,'Standards Catalogue'!$C:$C,""),IF(B105="P",_xludf.XLOOKUP(A105,'Standards Catalogue'!$A:$A,'Standards Catalogue'!$E:$E,""),IF(B105="S",_xludf.XLOOKUP(A105,'Standards Catalogue'!$A:$A,'Standards Catalogue'!$G:$G,""),""))),"")</f>
        <v/>
      </c>
      <c r="P105" t="str">
        <f t="shared" si="7"/>
        <v/>
      </c>
      <c r="Q105" t="str">
        <f t="shared" si="8"/>
        <v/>
      </c>
      <c r="R105" t="str">
        <f t="shared" si="9"/>
        <v/>
      </c>
    </row>
    <row r="106" spans="12:18" x14ac:dyDescent="0.25">
      <c r="L106" t="str">
        <f t="shared" si="5"/>
        <v/>
      </c>
      <c r="M106" t="b">
        <f t="shared" si="6"/>
        <v>0</v>
      </c>
      <c r="N106" t="str">
        <f>IF(M106,IF(B106="Fe",_xludf.XLOOKUP(A106,'Standards Catalogue'!$A:$A,'Standards Catalogue'!$B:$B,""),IF(B106="P",_xludf.XLOOKUP(A106,'Standards Catalogue'!$A:$A,'Standards Catalogue'!$D:$D,""),IF(B106="S",_xludf.XLOOKUP(A106,'Standards Catalogue'!$A:$A,'Standards Catalogue'!$F:$F,""),""))),"")</f>
        <v/>
      </c>
      <c r="O106" t="str">
        <f>IF(M106,IF(B106="Fe",_xludf.XLOOKUP(A106,'Standards Catalogue'!$A:$A,'Standards Catalogue'!$C:$C,""),IF(B106="P",_xludf.XLOOKUP(A106,'Standards Catalogue'!$A:$A,'Standards Catalogue'!$E:$E,""),IF(B106="S",_xludf.XLOOKUP(A106,'Standards Catalogue'!$A:$A,'Standards Catalogue'!$G:$G,""),""))),"")</f>
        <v/>
      </c>
      <c r="P106" t="str">
        <f t="shared" si="7"/>
        <v/>
      </c>
      <c r="Q106" t="str">
        <f t="shared" si="8"/>
        <v/>
      </c>
      <c r="R106" t="str">
        <f t="shared" si="9"/>
        <v/>
      </c>
    </row>
    <row r="107" spans="12:18" x14ac:dyDescent="0.25">
      <c r="L107" t="str">
        <f t="shared" si="5"/>
        <v/>
      </c>
      <c r="M107" t="b">
        <f t="shared" si="6"/>
        <v>0</v>
      </c>
      <c r="N107" t="str">
        <f>IF(M107,IF(B107="Fe",_xludf.XLOOKUP(A107,'Standards Catalogue'!$A:$A,'Standards Catalogue'!$B:$B,""),IF(B107="P",_xludf.XLOOKUP(A107,'Standards Catalogue'!$A:$A,'Standards Catalogue'!$D:$D,""),IF(B107="S",_xludf.XLOOKUP(A107,'Standards Catalogue'!$A:$A,'Standards Catalogue'!$F:$F,""),""))),"")</f>
        <v/>
      </c>
      <c r="O107" t="str">
        <f>IF(M107,IF(B107="Fe",_xludf.XLOOKUP(A107,'Standards Catalogue'!$A:$A,'Standards Catalogue'!$C:$C,""),IF(B107="P",_xludf.XLOOKUP(A107,'Standards Catalogue'!$A:$A,'Standards Catalogue'!$E:$E,""),IF(B107="S",_xludf.XLOOKUP(A107,'Standards Catalogue'!$A:$A,'Standards Catalogue'!$G:$G,""),""))),"")</f>
        <v/>
      </c>
      <c r="P107" t="str">
        <f t="shared" si="7"/>
        <v/>
      </c>
      <c r="Q107" t="str">
        <f t="shared" si="8"/>
        <v/>
      </c>
      <c r="R107" t="str">
        <f t="shared" si="9"/>
        <v/>
      </c>
    </row>
    <row r="108" spans="12:18" x14ac:dyDescent="0.25">
      <c r="L108" t="str">
        <f t="shared" si="5"/>
        <v/>
      </c>
      <c r="M108" t="b">
        <f t="shared" si="6"/>
        <v>0</v>
      </c>
      <c r="N108" t="str">
        <f>IF(M108,IF(B108="Fe",_xludf.XLOOKUP(A108,'Standards Catalogue'!$A:$A,'Standards Catalogue'!$B:$B,""),IF(B108="P",_xludf.XLOOKUP(A108,'Standards Catalogue'!$A:$A,'Standards Catalogue'!$D:$D,""),IF(B108="S",_xludf.XLOOKUP(A108,'Standards Catalogue'!$A:$A,'Standards Catalogue'!$F:$F,""),""))),"")</f>
        <v/>
      </c>
      <c r="O108" t="str">
        <f>IF(M108,IF(B108="Fe",_xludf.XLOOKUP(A108,'Standards Catalogue'!$A:$A,'Standards Catalogue'!$C:$C,""),IF(B108="P",_xludf.XLOOKUP(A108,'Standards Catalogue'!$A:$A,'Standards Catalogue'!$E:$E,""),IF(B108="S",_xludf.XLOOKUP(A108,'Standards Catalogue'!$A:$A,'Standards Catalogue'!$G:$G,""),""))),"")</f>
        <v/>
      </c>
      <c r="P108" t="str">
        <f t="shared" si="7"/>
        <v/>
      </c>
      <c r="Q108" t="str">
        <f t="shared" si="8"/>
        <v/>
      </c>
      <c r="R108" t="str">
        <f t="shared" si="9"/>
        <v/>
      </c>
    </row>
    <row r="109" spans="12:18" x14ac:dyDescent="0.25">
      <c r="L109" t="str">
        <f t="shared" si="5"/>
        <v/>
      </c>
      <c r="M109" t="b">
        <f t="shared" si="6"/>
        <v>0</v>
      </c>
      <c r="N109" t="str">
        <f>IF(M109,IF(B109="Fe",_xludf.XLOOKUP(A109,'Standards Catalogue'!$A:$A,'Standards Catalogue'!$B:$B,""),IF(B109="P",_xludf.XLOOKUP(A109,'Standards Catalogue'!$A:$A,'Standards Catalogue'!$D:$D,""),IF(B109="S",_xludf.XLOOKUP(A109,'Standards Catalogue'!$A:$A,'Standards Catalogue'!$F:$F,""),""))),"")</f>
        <v/>
      </c>
      <c r="O109" t="str">
        <f>IF(M109,IF(B109="Fe",_xludf.XLOOKUP(A109,'Standards Catalogue'!$A:$A,'Standards Catalogue'!$C:$C,""),IF(B109="P",_xludf.XLOOKUP(A109,'Standards Catalogue'!$A:$A,'Standards Catalogue'!$E:$E,""),IF(B109="S",_xludf.XLOOKUP(A109,'Standards Catalogue'!$A:$A,'Standards Catalogue'!$G:$G,""),""))),"")</f>
        <v/>
      </c>
      <c r="P109" t="str">
        <f t="shared" si="7"/>
        <v/>
      </c>
      <c r="Q109" t="str">
        <f t="shared" si="8"/>
        <v/>
      </c>
      <c r="R109" t="str">
        <f t="shared" si="9"/>
        <v/>
      </c>
    </row>
    <row r="110" spans="12:18" x14ac:dyDescent="0.25">
      <c r="L110" t="str">
        <f t="shared" si="5"/>
        <v/>
      </c>
      <c r="M110" t="b">
        <f t="shared" si="6"/>
        <v>0</v>
      </c>
      <c r="N110" t="str">
        <f>IF(M110,IF(B110="Fe",_xludf.XLOOKUP(A110,'Standards Catalogue'!$A:$A,'Standards Catalogue'!$B:$B,""),IF(B110="P",_xludf.XLOOKUP(A110,'Standards Catalogue'!$A:$A,'Standards Catalogue'!$D:$D,""),IF(B110="S",_xludf.XLOOKUP(A110,'Standards Catalogue'!$A:$A,'Standards Catalogue'!$F:$F,""),""))),"")</f>
        <v/>
      </c>
      <c r="O110" t="str">
        <f>IF(M110,IF(B110="Fe",_xludf.XLOOKUP(A110,'Standards Catalogue'!$A:$A,'Standards Catalogue'!$C:$C,""),IF(B110="P",_xludf.XLOOKUP(A110,'Standards Catalogue'!$A:$A,'Standards Catalogue'!$E:$E,""),IF(B110="S",_xludf.XLOOKUP(A110,'Standards Catalogue'!$A:$A,'Standards Catalogue'!$G:$G,""),""))),"")</f>
        <v/>
      </c>
      <c r="P110" t="str">
        <f t="shared" si="7"/>
        <v/>
      </c>
      <c r="Q110" t="str">
        <f t="shared" si="8"/>
        <v/>
      </c>
      <c r="R110" t="str">
        <f t="shared" si="9"/>
        <v/>
      </c>
    </row>
    <row r="111" spans="12:18" x14ac:dyDescent="0.25">
      <c r="L111" t="str">
        <f t="shared" si="5"/>
        <v/>
      </c>
      <c r="M111" t="b">
        <f t="shared" si="6"/>
        <v>0</v>
      </c>
      <c r="N111" t="str">
        <f>IF(M111,IF(B111="Fe",_xludf.XLOOKUP(A111,'Standards Catalogue'!$A:$A,'Standards Catalogue'!$B:$B,""),IF(B111="P",_xludf.XLOOKUP(A111,'Standards Catalogue'!$A:$A,'Standards Catalogue'!$D:$D,""),IF(B111="S",_xludf.XLOOKUP(A111,'Standards Catalogue'!$A:$A,'Standards Catalogue'!$F:$F,""),""))),"")</f>
        <v/>
      </c>
      <c r="O111" t="str">
        <f>IF(M111,IF(B111="Fe",_xludf.XLOOKUP(A111,'Standards Catalogue'!$A:$A,'Standards Catalogue'!$C:$C,""),IF(B111="P",_xludf.XLOOKUP(A111,'Standards Catalogue'!$A:$A,'Standards Catalogue'!$E:$E,""),IF(B111="S",_xludf.XLOOKUP(A111,'Standards Catalogue'!$A:$A,'Standards Catalogue'!$G:$G,""),""))),"")</f>
        <v/>
      </c>
      <c r="P111" t="str">
        <f t="shared" si="7"/>
        <v/>
      </c>
      <c r="Q111" t="str">
        <f t="shared" si="8"/>
        <v/>
      </c>
      <c r="R111" t="str">
        <f t="shared" si="9"/>
        <v/>
      </c>
    </row>
    <row r="112" spans="12:18" x14ac:dyDescent="0.25">
      <c r="L112" t="str">
        <f t="shared" si="5"/>
        <v/>
      </c>
      <c r="M112" t="b">
        <f t="shared" si="6"/>
        <v>0</v>
      </c>
      <c r="N112" t="str">
        <f>IF(M112,IF(B112="Fe",_xludf.XLOOKUP(A112,'Standards Catalogue'!$A:$A,'Standards Catalogue'!$B:$B,""),IF(B112="P",_xludf.XLOOKUP(A112,'Standards Catalogue'!$A:$A,'Standards Catalogue'!$D:$D,""),IF(B112="S",_xludf.XLOOKUP(A112,'Standards Catalogue'!$A:$A,'Standards Catalogue'!$F:$F,""),""))),"")</f>
        <v/>
      </c>
      <c r="O112" t="str">
        <f>IF(M112,IF(B112="Fe",_xludf.XLOOKUP(A112,'Standards Catalogue'!$A:$A,'Standards Catalogue'!$C:$C,""),IF(B112="P",_xludf.XLOOKUP(A112,'Standards Catalogue'!$A:$A,'Standards Catalogue'!$E:$E,""),IF(B112="S",_xludf.XLOOKUP(A112,'Standards Catalogue'!$A:$A,'Standards Catalogue'!$G:$G,""),""))),"")</f>
        <v/>
      </c>
      <c r="P112" t="str">
        <f t="shared" si="7"/>
        <v/>
      </c>
      <c r="Q112" t="str">
        <f t="shared" si="8"/>
        <v/>
      </c>
      <c r="R112" t="str">
        <f t="shared" si="9"/>
        <v/>
      </c>
    </row>
    <row r="113" spans="12:18" x14ac:dyDescent="0.25">
      <c r="L113" t="str">
        <f t="shared" si="5"/>
        <v/>
      </c>
      <c r="M113" t="b">
        <f t="shared" si="6"/>
        <v>0</v>
      </c>
      <c r="N113" t="str">
        <f>IF(M113,IF(B113="Fe",_xludf.XLOOKUP(A113,'Standards Catalogue'!$A:$A,'Standards Catalogue'!$B:$B,""),IF(B113="P",_xludf.XLOOKUP(A113,'Standards Catalogue'!$A:$A,'Standards Catalogue'!$D:$D,""),IF(B113="S",_xludf.XLOOKUP(A113,'Standards Catalogue'!$A:$A,'Standards Catalogue'!$F:$F,""),""))),"")</f>
        <v/>
      </c>
      <c r="O113" t="str">
        <f>IF(M113,IF(B113="Fe",_xludf.XLOOKUP(A113,'Standards Catalogue'!$A:$A,'Standards Catalogue'!$C:$C,""),IF(B113="P",_xludf.XLOOKUP(A113,'Standards Catalogue'!$A:$A,'Standards Catalogue'!$E:$E,""),IF(B113="S",_xludf.XLOOKUP(A113,'Standards Catalogue'!$A:$A,'Standards Catalogue'!$G:$G,""),""))),"")</f>
        <v/>
      </c>
      <c r="P113" t="str">
        <f t="shared" si="7"/>
        <v/>
      </c>
      <c r="Q113" t="str">
        <f t="shared" si="8"/>
        <v/>
      </c>
      <c r="R113" t="str">
        <f t="shared" si="9"/>
        <v/>
      </c>
    </row>
    <row r="114" spans="12:18" x14ac:dyDescent="0.25">
      <c r="L114" t="str">
        <f t="shared" si="5"/>
        <v/>
      </c>
      <c r="M114" t="b">
        <f t="shared" si="6"/>
        <v>0</v>
      </c>
      <c r="N114" t="str">
        <f>IF(M114,IF(B114="Fe",_xludf.XLOOKUP(A114,'Standards Catalogue'!$A:$A,'Standards Catalogue'!$B:$B,""),IF(B114="P",_xludf.XLOOKUP(A114,'Standards Catalogue'!$A:$A,'Standards Catalogue'!$D:$D,""),IF(B114="S",_xludf.XLOOKUP(A114,'Standards Catalogue'!$A:$A,'Standards Catalogue'!$F:$F,""),""))),"")</f>
        <v/>
      </c>
      <c r="O114" t="str">
        <f>IF(M114,IF(B114="Fe",_xludf.XLOOKUP(A114,'Standards Catalogue'!$A:$A,'Standards Catalogue'!$C:$C,""),IF(B114="P",_xludf.XLOOKUP(A114,'Standards Catalogue'!$A:$A,'Standards Catalogue'!$E:$E,""),IF(B114="S",_xludf.XLOOKUP(A114,'Standards Catalogue'!$A:$A,'Standards Catalogue'!$G:$G,""),""))),"")</f>
        <v/>
      </c>
      <c r="P114" t="str">
        <f t="shared" si="7"/>
        <v/>
      </c>
      <c r="Q114" t="str">
        <f t="shared" si="8"/>
        <v/>
      </c>
      <c r="R114" t="str">
        <f t="shared" si="9"/>
        <v/>
      </c>
    </row>
    <row r="115" spans="12:18" x14ac:dyDescent="0.25">
      <c r="L115" t="str">
        <f t="shared" si="5"/>
        <v/>
      </c>
      <c r="M115" t="b">
        <f t="shared" si="6"/>
        <v>0</v>
      </c>
      <c r="N115" t="str">
        <f>IF(M115,IF(B115="Fe",_xludf.XLOOKUP(A115,'Standards Catalogue'!$A:$A,'Standards Catalogue'!$B:$B,""),IF(B115="P",_xludf.XLOOKUP(A115,'Standards Catalogue'!$A:$A,'Standards Catalogue'!$D:$D,""),IF(B115="S",_xludf.XLOOKUP(A115,'Standards Catalogue'!$A:$A,'Standards Catalogue'!$F:$F,""),""))),"")</f>
        <v/>
      </c>
      <c r="O115" t="str">
        <f>IF(M115,IF(B115="Fe",_xludf.XLOOKUP(A115,'Standards Catalogue'!$A:$A,'Standards Catalogue'!$C:$C,""),IF(B115="P",_xludf.XLOOKUP(A115,'Standards Catalogue'!$A:$A,'Standards Catalogue'!$E:$E,""),IF(B115="S",_xludf.XLOOKUP(A115,'Standards Catalogue'!$A:$A,'Standards Catalogue'!$G:$G,""),""))),"")</f>
        <v/>
      </c>
      <c r="P115" t="str">
        <f t="shared" si="7"/>
        <v/>
      </c>
      <c r="Q115" t="str">
        <f t="shared" si="8"/>
        <v/>
      </c>
      <c r="R115" t="str">
        <f t="shared" si="9"/>
        <v/>
      </c>
    </row>
    <row r="116" spans="12:18" x14ac:dyDescent="0.25">
      <c r="L116" t="str">
        <f t="shared" si="5"/>
        <v/>
      </c>
      <c r="M116" t="b">
        <f t="shared" si="6"/>
        <v>0</v>
      </c>
      <c r="N116" t="str">
        <f>IF(M116,IF(B116="Fe",_xludf.XLOOKUP(A116,'Standards Catalogue'!$A:$A,'Standards Catalogue'!$B:$B,""),IF(B116="P",_xludf.XLOOKUP(A116,'Standards Catalogue'!$A:$A,'Standards Catalogue'!$D:$D,""),IF(B116="S",_xludf.XLOOKUP(A116,'Standards Catalogue'!$A:$A,'Standards Catalogue'!$F:$F,""),""))),"")</f>
        <v/>
      </c>
      <c r="O116" t="str">
        <f>IF(M116,IF(B116="Fe",_xludf.XLOOKUP(A116,'Standards Catalogue'!$A:$A,'Standards Catalogue'!$C:$C,""),IF(B116="P",_xludf.XLOOKUP(A116,'Standards Catalogue'!$A:$A,'Standards Catalogue'!$E:$E,""),IF(B116="S",_xludf.XLOOKUP(A116,'Standards Catalogue'!$A:$A,'Standards Catalogue'!$G:$G,""),""))),"")</f>
        <v/>
      </c>
      <c r="P116" t="str">
        <f t="shared" si="7"/>
        <v/>
      </c>
      <c r="Q116" t="str">
        <f t="shared" si="8"/>
        <v/>
      </c>
      <c r="R116" t="str">
        <f t="shared" si="9"/>
        <v/>
      </c>
    </row>
    <row r="117" spans="12:18" x14ac:dyDescent="0.25">
      <c r="L117" t="str">
        <f t="shared" si="5"/>
        <v/>
      </c>
      <c r="M117" t="b">
        <f t="shared" si="6"/>
        <v>0</v>
      </c>
      <c r="N117" t="str">
        <f>IF(M117,IF(B117="Fe",_xludf.XLOOKUP(A117,'Standards Catalogue'!$A:$A,'Standards Catalogue'!$B:$B,""),IF(B117="P",_xludf.XLOOKUP(A117,'Standards Catalogue'!$A:$A,'Standards Catalogue'!$D:$D,""),IF(B117="S",_xludf.XLOOKUP(A117,'Standards Catalogue'!$A:$A,'Standards Catalogue'!$F:$F,""),""))),"")</f>
        <v/>
      </c>
      <c r="O117" t="str">
        <f>IF(M117,IF(B117="Fe",_xludf.XLOOKUP(A117,'Standards Catalogue'!$A:$A,'Standards Catalogue'!$C:$C,""),IF(B117="P",_xludf.XLOOKUP(A117,'Standards Catalogue'!$A:$A,'Standards Catalogue'!$E:$E,""),IF(B117="S",_xludf.XLOOKUP(A117,'Standards Catalogue'!$A:$A,'Standards Catalogue'!$G:$G,""),""))),"")</f>
        <v/>
      </c>
      <c r="P117" t="str">
        <f t="shared" si="7"/>
        <v/>
      </c>
      <c r="Q117" t="str">
        <f t="shared" si="8"/>
        <v/>
      </c>
      <c r="R117" t="str">
        <f t="shared" si="9"/>
        <v/>
      </c>
    </row>
    <row r="118" spans="12:18" x14ac:dyDescent="0.25">
      <c r="L118" t="str">
        <f t="shared" si="5"/>
        <v/>
      </c>
      <c r="M118" t="b">
        <f t="shared" si="6"/>
        <v>0</v>
      </c>
      <c r="N118" t="str">
        <f>IF(M118,IF(B118="Fe",_xludf.XLOOKUP(A118,'Standards Catalogue'!$A:$A,'Standards Catalogue'!$B:$B,""),IF(B118="P",_xludf.XLOOKUP(A118,'Standards Catalogue'!$A:$A,'Standards Catalogue'!$D:$D,""),IF(B118="S",_xludf.XLOOKUP(A118,'Standards Catalogue'!$A:$A,'Standards Catalogue'!$F:$F,""),""))),"")</f>
        <v/>
      </c>
      <c r="O118" t="str">
        <f>IF(M118,IF(B118="Fe",_xludf.XLOOKUP(A118,'Standards Catalogue'!$A:$A,'Standards Catalogue'!$C:$C,""),IF(B118="P",_xludf.XLOOKUP(A118,'Standards Catalogue'!$A:$A,'Standards Catalogue'!$E:$E,""),IF(B118="S",_xludf.XLOOKUP(A118,'Standards Catalogue'!$A:$A,'Standards Catalogue'!$G:$G,""),""))),"")</f>
        <v/>
      </c>
      <c r="P118" t="str">
        <f t="shared" si="7"/>
        <v/>
      </c>
      <c r="Q118" t="str">
        <f t="shared" si="8"/>
        <v/>
      </c>
      <c r="R118" t="str">
        <f t="shared" si="9"/>
        <v/>
      </c>
    </row>
    <row r="119" spans="12:18" x14ac:dyDescent="0.25">
      <c r="L119" t="str">
        <f t="shared" si="5"/>
        <v/>
      </c>
      <c r="M119" t="b">
        <f t="shared" si="6"/>
        <v>0</v>
      </c>
      <c r="N119" t="str">
        <f>IF(M119,IF(B119="Fe",_xludf.XLOOKUP(A119,'Standards Catalogue'!$A:$A,'Standards Catalogue'!$B:$B,""),IF(B119="P",_xludf.XLOOKUP(A119,'Standards Catalogue'!$A:$A,'Standards Catalogue'!$D:$D,""),IF(B119="S",_xludf.XLOOKUP(A119,'Standards Catalogue'!$A:$A,'Standards Catalogue'!$F:$F,""),""))),"")</f>
        <v/>
      </c>
      <c r="O119" t="str">
        <f>IF(M119,IF(B119="Fe",_xludf.XLOOKUP(A119,'Standards Catalogue'!$A:$A,'Standards Catalogue'!$C:$C,""),IF(B119="P",_xludf.XLOOKUP(A119,'Standards Catalogue'!$A:$A,'Standards Catalogue'!$E:$E,""),IF(B119="S",_xludf.XLOOKUP(A119,'Standards Catalogue'!$A:$A,'Standards Catalogue'!$G:$G,""),""))),"")</f>
        <v/>
      </c>
      <c r="P119" t="str">
        <f t="shared" si="7"/>
        <v/>
      </c>
      <c r="Q119" t="str">
        <f t="shared" si="8"/>
        <v/>
      </c>
      <c r="R119" t="str">
        <f t="shared" si="9"/>
        <v/>
      </c>
    </row>
    <row r="120" spans="12:18" x14ac:dyDescent="0.25">
      <c r="L120" t="str">
        <f t="shared" si="5"/>
        <v/>
      </c>
      <c r="M120" t="b">
        <f t="shared" si="6"/>
        <v>0</v>
      </c>
      <c r="N120" t="str">
        <f>IF(M120,IF(B120="Fe",_xludf.XLOOKUP(A120,'Standards Catalogue'!$A:$A,'Standards Catalogue'!$B:$B,""),IF(B120="P",_xludf.XLOOKUP(A120,'Standards Catalogue'!$A:$A,'Standards Catalogue'!$D:$D,""),IF(B120="S",_xludf.XLOOKUP(A120,'Standards Catalogue'!$A:$A,'Standards Catalogue'!$F:$F,""),""))),"")</f>
        <v/>
      </c>
      <c r="O120" t="str">
        <f>IF(M120,IF(B120="Fe",_xludf.XLOOKUP(A120,'Standards Catalogue'!$A:$A,'Standards Catalogue'!$C:$C,""),IF(B120="P",_xludf.XLOOKUP(A120,'Standards Catalogue'!$A:$A,'Standards Catalogue'!$E:$E,""),IF(B120="S",_xludf.XLOOKUP(A120,'Standards Catalogue'!$A:$A,'Standards Catalogue'!$G:$G,""),""))),"")</f>
        <v/>
      </c>
      <c r="P120" t="str">
        <f t="shared" si="7"/>
        <v/>
      </c>
      <c r="Q120" t="str">
        <f t="shared" si="8"/>
        <v/>
      </c>
      <c r="R120" t="str">
        <f t="shared" si="9"/>
        <v/>
      </c>
    </row>
    <row r="121" spans="12:18" x14ac:dyDescent="0.25">
      <c r="L121" t="str">
        <f t="shared" si="5"/>
        <v/>
      </c>
      <c r="M121" t="b">
        <f t="shared" si="6"/>
        <v>0</v>
      </c>
      <c r="N121" t="str">
        <f>IF(M121,IF(B121="Fe",_xludf.XLOOKUP(A121,'Standards Catalogue'!$A:$A,'Standards Catalogue'!$B:$B,""),IF(B121="P",_xludf.XLOOKUP(A121,'Standards Catalogue'!$A:$A,'Standards Catalogue'!$D:$D,""),IF(B121="S",_xludf.XLOOKUP(A121,'Standards Catalogue'!$A:$A,'Standards Catalogue'!$F:$F,""),""))),"")</f>
        <v/>
      </c>
      <c r="O121" t="str">
        <f>IF(M121,IF(B121="Fe",_xludf.XLOOKUP(A121,'Standards Catalogue'!$A:$A,'Standards Catalogue'!$C:$C,""),IF(B121="P",_xludf.XLOOKUP(A121,'Standards Catalogue'!$A:$A,'Standards Catalogue'!$E:$E,""),IF(B121="S",_xludf.XLOOKUP(A121,'Standards Catalogue'!$A:$A,'Standards Catalogue'!$G:$G,""),""))),"")</f>
        <v/>
      </c>
      <c r="P121" t="str">
        <f t="shared" si="7"/>
        <v/>
      </c>
      <c r="Q121" t="str">
        <f t="shared" si="8"/>
        <v/>
      </c>
      <c r="R121" t="str">
        <f t="shared" si="9"/>
        <v/>
      </c>
    </row>
    <row r="122" spans="12:18" x14ac:dyDescent="0.25">
      <c r="L122" t="str">
        <f t="shared" si="5"/>
        <v/>
      </c>
      <c r="M122" t="b">
        <f t="shared" si="6"/>
        <v>0</v>
      </c>
      <c r="N122" t="str">
        <f>IF(M122,IF(B122="Fe",_xludf.XLOOKUP(A122,'Standards Catalogue'!$A:$A,'Standards Catalogue'!$B:$B,""),IF(B122="P",_xludf.XLOOKUP(A122,'Standards Catalogue'!$A:$A,'Standards Catalogue'!$D:$D,""),IF(B122="S",_xludf.XLOOKUP(A122,'Standards Catalogue'!$A:$A,'Standards Catalogue'!$F:$F,""),""))),"")</f>
        <v/>
      </c>
      <c r="O122" t="str">
        <f>IF(M122,IF(B122="Fe",_xludf.XLOOKUP(A122,'Standards Catalogue'!$A:$A,'Standards Catalogue'!$C:$C,""),IF(B122="P",_xludf.XLOOKUP(A122,'Standards Catalogue'!$A:$A,'Standards Catalogue'!$E:$E,""),IF(B122="S",_xludf.XLOOKUP(A122,'Standards Catalogue'!$A:$A,'Standards Catalogue'!$G:$G,""),""))),"")</f>
        <v/>
      </c>
      <c r="P122" t="str">
        <f t="shared" si="7"/>
        <v/>
      </c>
      <c r="Q122" t="str">
        <f t="shared" si="8"/>
        <v/>
      </c>
      <c r="R122" t="str">
        <f t="shared" si="9"/>
        <v/>
      </c>
    </row>
    <row r="123" spans="12:18" x14ac:dyDescent="0.25">
      <c r="L123" t="str">
        <f t="shared" si="5"/>
        <v/>
      </c>
      <c r="M123" t="b">
        <f t="shared" si="6"/>
        <v>0</v>
      </c>
      <c r="N123" t="str">
        <f>IF(M123,IF(B123="Fe",_xludf.XLOOKUP(A123,'Standards Catalogue'!$A:$A,'Standards Catalogue'!$B:$B,""),IF(B123="P",_xludf.XLOOKUP(A123,'Standards Catalogue'!$A:$A,'Standards Catalogue'!$D:$D,""),IF(B123="S",_xludf.XLOOKUP(A123,'Standards Catalogue'!$A:$A,'Standards Catalogue'!$F:$F,""),""))),"")</f>
        <v/>
      </c>
      <c r="O123" t="str">
        <f>IF(M123,IF(B123="Fe",_xludf.XLOOKUP(A123,'Standards Catalogue'!$A:$A,'Standards Catalogue'!$C:$C,""),IF(B123="P",_xludf.XLOOKUP(A123,'Standards Catalogue'!$A:$A,'Standards Catalogue'!$E:$E,""),IF(B123="S",_xludf.XLOOKUP(A123,'Standards Catalogue'!$A:$A,'Standards Catalogue'!$G:$G,""),""))),"")</f>
        <v/>
      </c>
      <c r="P123" t="str">
        <f t="shared" si="7"/>
        <v/>
      </c>
      <c r="Q123" t="str">
        <f t="shared" si="8"/>
        <v/>
      </c>
      <c r="R123" t="str">
        <f t="shared" si="9"/>
        <v/>
      </c>
    </row>
    <row r="124" spans="12:18" x14ac:dyDescent="0.25">
      <c r="L124" t="str">
        <f t="shared" si="5"/>
        <v/>
      </c>
      <c r="M124" t="b">
        <f t="shared" si="6"/>
        <v>0</v>
      </c>
      <c r="N124" t="str">
        <f>IF(M124,IF(B124="Fe",_xludf.XLOOKUP(A124,'Standards Catalogue'!$A:$A,'Standards Catalogue'!$B:$B,""),IF(B124="P",_xludf.XLOOKUP(A124,'Standards Catalogue'!$A:$A,'Standards Catalogue'!$D:$D,""),IF(B124="S",_xludf.XLOOKUP(A124,'Standards Catalogue'!$A:$A,'Standards Catalogue'!$F:$F,""),""))),"")</f>
        <v/>
      </c>
      <c r="O124" t="str">
        <f>IF(M124,IF(B124="Fe",_xludf.XLOOKUP(A124,'Standards Catalogue'!$A:$A,'Standards Catalogue'!$C:$C,""),IF(B124="P",_xludf.XLOOKUP(A124,'Standards Catalogue'!$A:$A,'Standards Catalogue'!$E:$E,""),IF(B124="S",_xludf.XLOOKUP(A124,'Standards Catalogue'!$A:$A,'Standards Catalogue'!$G:$G,""),""))),"")</f>
        <v/>
      </c>
      <c r="P124" t="str">
        <f t="shared" si="7"/>
        <v/>
      </c>
      <c r="Q124" t="str">
        <f t="shared" si="8"/>
        <v/>
      </c>
      <c r="R124" t="str">
        <f t="shared" si="9"/>
        <v/>
      </c>
    </row>
    <row r="125" spans="12:18" x14ac:dyDescent="0.25">
      <c r="L125" t="str">
        <f t="shared" si="5"/>
        <v/>
      </c>
      <c r="M125" t="b">
        <f t="shared" si="6"/>
        <v>0</v>
      </c>
      <c r="N125" t="str">
        <f>IF(M125,IF(B125="Fe",_xludf.XLOOKUP(A125,'Standards Catalogue'!$A:$A,'Standards Catalogue'!$B:$B,""),IF(B125="P",_xludf.XLOOKUP(A125,'Standards Catalogue'!$A:$A,'Standards Catalogue'!$D:$D,""),IF(B125="S",_xludf.XLOOKUP(A125,'Standards Catalogue'!$A:$A,'Standards Catalogue'!$F:$F,""),""))),"")</f>
        <v/>
      </c>
      <c r="O125" t="str">
        <f>IF(M125,IF(B125="Fe",_xludf.XLOOKUP(A125,'Standards Catalogue'!$A:$A,'Standards Catalogue'!$C:$C,""),IF(B125="P",_xludf.XLOOKUP(A125,'Standards Catalogue'!$A:$A,'Standards Catalogue'!$E:$E,""),IF(B125="S",_xludf.XLOOKUP(A125,'Standards Catalogue'!$A:$A,'Standards Catalogue'!$G:$G,""),""))),"")</f>
        <v/>
      </c>
      <c r="P125" t="str">
        <f t="shared" si="7"/>
        <v/>
      </c>
      <c r="Q125" t="str">
        <f t="shared" si="8"/>
        <v/>
      </c>
      <c r="R125" t="str">
        <f t="shared" si="9"/>
        <v/>
      </c>
    </row>
    <row r="126" spans="12:18" x14ac:dyDescent="0.25">
      <c r="L126" t="str">
        <f t="shared" si="5"/>
        <v/>
      </c>
      <c r="M126" t="b">
        <f t="shared" si="6"/>
        <v>0</v>
      </c>
      <c r="N126" t="str">
        <f>IF(M126,IF(B126="Fe",_xludf.XLOOKUP(A126,'Standards Catalogue'!$A:$A,'Standards Catalogue'!$B:$B,""),IF(B126="P",_xludf.XLOOKUP(A126,'Standards Catalogue'!$A:$A,'Standards Catalogue'!$D:$D,""),IF(B126="S",_xludf.XLOOKUP(A126,'Standards Catalogue'!$A:$A,'Standards Catalogue'!$F:$F,""),""))),"")</f>
        <v/>
      </c>
      <c r="O126" t="str">
        <f>IF(M126,IF(B126="Fe",_xludf.XLOOKUP(A126,'Standards Catalogue'!$A:$A,'Standards Catalogue'!$C:$C,""),IF(B126="P",_xludf.XLOOKUP(A126,'Standards Catalogue'!$A:$A,'Standards Catalogue'!$E:$E,""),IF(B126="S",_xludf.XLOOKUP(A126,'Standards Catalogue'!$A:$A,'Standards Catalogue'!$G:$G,""),""))),"")</f>
        <v/>
      </c>
      <c r="P126" t="str">
        <f t="shared" si="7"/>
        <v/>
      </c>
      <c r="Q126" t="str">
        <f t="shared" si="8"/>
        <v/>
      </c>
      <c r="R126" t="str">
        <f t="shared" si="9"/>
        <v/>
      </c>
    </row>
    <row r="127" spans="12:18" x14ac:dyDescent="0.25">
      <c r="L127" t="str">
        <f t="shared" si="5"/>
        <v/>
      </c>
      <c r="M127" t="b">
        <f t="shared" si="6"/>
        <v>0</v>
      </c>
      <c r="N127" t="str">
        <f>IF(M127,IF(B127="Fe",_xludf.XLOOKUP(A127,'Standards Catalogue'!$A:$A,'Standards Catalogue'!$B:$B,""),IF(B127="P",_xludf.XLOOKUP(A127,'Standards Catalogue'!$A:$A,'Standards Catalogue'!$D:$D,""),IF(B127="S",_xludf.XLOOKUP(A127,'Standards Catalogue'!$A:$A,'Standards Catalogue'!$F:$F,""),""))),"")</f>
        <v/>
      </c>
      <c r="O127" t="str">
        <f>IF(M127,IF(B127="Fe",_xludf.XLOOKUP(A127,'Standards Catalogue'!$A:$A,'Standards Catalogue'!$C:$C,""),IF(B127="P",_xludf.XLOOKUP(A127,'Standards Catalogue'!$A:$A,'Standards Catalogue'!$E:$E,""),IF(B127="S",_xludf.XLOOKUP(A127,'Standards Catalogue'!$A:$A,'Standards Catalogue'!$G:$G,""),""))),"")</f>
        <v/>
      </c>
      <c r="P127" t="str">
        <f t="shared" si="7"/>
        <v/>
      </c>
      <c r="Q127" t="str">
        <f t="shared" si="8"/>
        <v/>
      </c>
      <c r="R127" t="str">
        <f t="shared" si="9"/>
        <v/>
      </c>
    </row>
    <row r="128" spans="12:18" x14ac:dyDescent="0.25">
      <c r="L128" t="str">
        <f t="shared" si="5"/>
        <v/>
      </c>
      <c r="M128" t="b">
        <f t="shared" si="6"/>
        <v>0</v>
      </c>
      <c r="N128" t="str">
        <f>IF(M128,IF(B128="Fe",_xludf.XLOOKUP(A128,'Standards Catalogue'!$A:$A,'Standards Catalogue'!$B:$B,""),IF(B128="P",_xludf.XLOOKUP(A128,'Standards Catalogue'!$A:$A,'Standards Catalogue'!$D:$D,""),IF(B128="S",_xludf.XLOOKUP(A128,'Standards Catalogue'!$A:$A,'Standards Catalogue'!$F:$F,""),""))),"")</f>
        <v/>
      </c>
      <c r="O128" t="str">
        <f>IF(M128,IF(B128="Fe",_xludf.XLOOKUP(A128,'Standards Catalogue'!$A:$A,'Standards Catalogue'!$C:$C,""),IF(B128="P",_xludf.XLOOKUP(A128,'Standards Catalogue'!$A:$A,'Standards Catalogue'!$E:$E,""),IF(B128="S",_xludf.XLOOKUP(A128,'Standards Catalogue'!$A:$A,'Standards Catalogue'!$G:$G,""),""))),"")</f>
        <v/>
      </c>
      <c r="P128" t="str">
        <f t="shared" si="7"/>
        <v/>
      </c>
      <c r="Q128" t="str">
        <f t="shared" si="8"/>
        <v/>
      </c>
      <c r="R128" t="str">
        <f t="shared" si="9"/>
        <v/>
      </c>
    </row>
    <row r="129" spans="12:18" x14ac:dyDescent="0.25">
      <c r="L129" t="str">
        <f t="shared" si="5"/>
        <v/>
      </c>
      <c r="M129" t="b">
        <f t="shared" si="6"/>
        <v>0</v>
      </c>
      <c r="N129" t="str">
        <f>IF(M129,IF(B129="Fe",_xludf.XLOOKUP(A129,'Standards Catalogue'!$A:$A,'Standards Catalogue'!$B:$B,""),IF(B129="P",_xludf.XLOOKUP(A129,'Standards Catalogue'!$A:$A,'Standards Catalogue'!$D:$D,""),IF(B129="S",_xludf.XLOOKUP(A129,'Standards Catalogue'!$A:$A,'Standards Catalogue'!$F:$F,""),""))),"")</f>
        <v/>
      </c>
      <c r="O129" t="str">
        <f>IF(M129,IF(B129="Fe",_xludf.XLOOKUP(A129,'Standards Catalogue'!$A:$A,'Standards Catalogue'!$C:$C,""),IF(B129="P",_xludf.XLOOKUP(A129,'Standards Catalogue'!$A:$A,'Standards Catalogue'!$E:$E,""),IF(B129="S",_xludf.XLOOKUP(A129,'Standards Catalogue'!$A:$A,'Standards Catalogue'!$G:$G,""),""))),"")</f>
        <v/>
      </c>
      <c r="P129" t="str">
        <f t="shared" si="7"/>
        <v/>
      </c>
      <c r="Q129" t="str">
        <f t="shared" si="8"/>
        <v/>
      </c>
      <c r="R129" t="str">
        <f t="shared" si="9"/>
        <v/>
      </c>
    </row>
    <row r="130" spans="12:18" x14ac:dyDescent="0.25">
      <c r="L130" t="str">
        <f t="shared" ref="L130:L193" si="10">IF(AND(A130&lt;&gt;"",B130&lt;&gt;""),A130&amp;"|"&amp;B130,"")</f>
        <v/>
      </c>
      <c r="M130" t="b">
        <f t="shared" ref="M130:M193" si="11">IF(COUNTIF(STANDARDS_IDS,A130)&gt;0,TRUE,FALSE)</f>
        <v>0</v>
      </c>
      <c r="N130" t="str">
        <f>IF(M130,IF(B130="Fe",_xludf.XLOOKUP(A130,'Standards Catalogue'!$A:$A,'Standards Catalogue'!$B:$B,""),IF(B130="P",_xludf.XLOOKUP(A130,'Standards Catalogue'!$A:$A,'Standards Catalogue'!$D:$D,""),IF(B130="S",_xludf.XLOOKUP(A130,'Standards Catalogue'!$A:$A,'Standards Catalogue'!$F:$F,""),""))),"")</f>
        <v/>
      </c>
      <c r="O130" t="str">
        <f>IF(M130,IF(B130="Fe",_xludf.XLOOKUP(A130,'Standards Catalogue'!$A:$A,'Standards Catalogue'!$C:$C,""),IF(B130="P",_xludf.XLOOKUP(A130,'Standards Catalogue'!$A:$A,'Standards Catalogue'!$E:$E,""),IF(B130="S",_xludf.XLOOKUP(A130,'Standards Catalogue'!$A:$A,'Standards Catalogue'!$G:$G,""),""))),"")</f>
        <v/>
      </c>
      <c r="P130" t="str">
        <f t="shared" ref="P130:P193" si="12">IF(M130,N130-2*O130,"")</f>
        <v/>
      </c>
      <c r="Q130" t="str">
        <f t="shared" ref="Q130:Q193" si="13">IF(M130,N130+2*O130,"")</f>
        <v/>
      </c>
      <c r="R130" t="str">
        <f t="shared" ref="R130:R193" si="14">IF(M130,IF(OR(C130="",N130="",O130=""),"",IF(AND(C130&gt;=P130,C130&lt;=Q130),"PASS","FAIL")),"")</f>
        <v/>
      </c>
    </row>
    <row r="131" spans="12:18" x14ac:dyDescent="0.25">
      <c r="L131" t="str">
        <f t="shared" si="10"/>
        <v/>
      </c>
      <c r="M131" t="b">
        <f t="shared" si="11"/>
        <v>0</v>
      </c>
      <c r="N131" t="str">
        <f>IF(M131,IF(B131="Fe",_xludf.XLOOKUP(A131,'Standards Catalogue'!$A:$A,'Standards Catalogue'!$B:$B,""),IF(B131="P",_xludf.XLOOKUP(A131,'Standards Catalogue'!$A:$A,'Standards Catalogue'!$D:$D,""),IF(B131="S",_xludf.XLOOKUP(A131,'Standards Catalogue'!$A:$A,'Standards Catalogue'!$F:$F,""),""))),"")</f>
        <v/>
      </c>
      <c r="O131" t="str">
        <f>IF(M131,IF(B131="Fe",_xludf.XLOOKUP(A131,'Standards Catalogue'!$A:$A,'Standards Catalogue'!$C:$C,""),IF(B131="P",_xludf.XLOOKUP(A131,'Standards Catalogue'!$A:$A,'Standards Catalogue'!$E:$E,""),IF(B131="S",_xludf.XLOOKUP(A131,'Standards Catalogue'!$A:$A,'Standards Catalogue'!$G:$G,""),""))),"")</f>
        <v/>
      </c>
      <c r="P131" t="str">
        <f t="shared" si="12"/>
        <v/>
      </c>
      <c r="Q131" t="str">
        <f t="shared" si="13"/>
        <v/>
      </c>
      <c r="R131" t="str">
        <f t="shared" si="14"/>
        <v/>
      </c>
    </row>
    <row r="132" spans="12:18" x14ac:dyDescent="0.25">
      <c r="L132" t="str">
        <f t="shared" si="10"/>
        <v/>
      </c>
      <c r="M132" t="b">
        <f t="shared" si="11"/>
        <v>0</v>
      </c>
      <c r="N132" t="str">
        <f>IF(M132,IF(B132="Fe",_xludf.XLOOKUP(A132,'Standards Catalogue'!$A:$A,'Standards Catalogue'!$B:$B,""),IF(B132="P",_xludf.XLOOKUP(A132,'Standards Catalogue'!$A:$A,'Standards Catalogue'!$D:$D,""),IF(B132="S",_xludf.XLOOKUP(A132,'Standards Catalogue'!$A:$A,'Standards Catalogue'!$F:$F,""),""))),"")</f>
        <v/>
      </c>
      <c r="O132" t="str">
        <f>IF(M132,IF(B132="Fe",_xludf.XLOOKUP(A132,'Standards Catalogue'!$A:$A,'Standards Catalogue'!$C:$C,""),IF(B132="P",_xludf.XLOOKUP(A132,'Standards Catalogue'!$A:$A,'Standards Catalogue'!$E:$E,""),IF(B132="S",_xludf.XLOOKUP(A132,'Standards Catalogue'!$A:$A,'Standards Catalogue'!$G:$G,""),""))),"")</f>
        <v/>
      </c>
      <c r="P132" t="str">
        <f t="shared" si="12"/>
        <v/>
      </c>
      <c r="Q132" t="str">
        <f t="shared" si="13"/>
        <v/>
      </c>
      <c r="R132" t="str">
        <f t="shared" si="14"/>
        <v/>
      </c>
    </row>
    <row r="133" spans="12:18" x14ac:dyDescent="0.25">
      <c r="L133" t="str">
        <f t="shared" si="10"/>
        <v/>
      </c>
      <c r="M133" t="b">
        <f t="shared" si="11"/>
        <v>0</v>
      </c>
      <c r="N133" t="str">
        <f>IF(M133,IF(B133="Fe",_xludf.XLOOKUP(A133,'Standards Catalogue'!$A:$A,'Standards Catalogue'!$B:$B,""),IF(B133="P",_xludf.XLOOKUP(A133,'Standards Catalogue'!$A:$A,'Standards Catalogue'!$D:$D,""),IF(B133="S",_xludf.XLOOKUP(A133,'Standards Catalogue'!$A:$A,'Standards Catalogue'!$F:$F,""),""))),"")</f>
        <v/>
      </c>
      <c r="O133" t="str">
        <f>IF(M133,IF(B133="Fe",_xludf.XLOOKUP(A133,'Standards Catalogue'!$A:$A,'Standards Catalogue'!$C:$C,""),IF(B133="P",_xludf.XLOOKUP(A133,'Standards Catalogue'!$A:$A,'Standards Catalogue'!$E:$E,""),IF(B133="S",_xludf.XLOOKUP(A133,'Standards Catalogue'!$A:$A,'Standards Catalogue'!$G:$G,""),""))),"")</f>
        <v/>
      </c>
      <c r="P133" t="str">
        <f t="shared" si="12"/>
        <v/>
      </c>
      <c r="Q133" t="str">
        <f t="shared" si="13"/>
        <v/>
      </c>
      <c r="R133" t="str">
        <f t="shared" si="14"/>
        <v/>
      </c>
    </row>
    <row r="134" spans="12:18" x14ac:dyDescent="0.25">
      <c r="L134" t="str">
        <f t="shared" si="10"/>
        <v/>
      </c>
      <c r="M134" t="b">
        <f t="shared" si="11"/>
        <v>0</v>
      </c>
      <c r="N134" t="str">
        <f>IF(M134,IF(B134="Fe",_xludf.XLOOKUP(A134,'Standards Catalogue'!$A:$A,'Standards Catalogue'!$B:$B,""),IF(B134="P",_xludf.XLOOKUP(A134,'Standards Catalogue'!$A:$A,'Standards Catalogue'!$D:$D,""),IF(B134="S",_xludf.XLOOKUP(A134,'Standards Catalogue'!$A:$A,'Standards Catalogue'!$F:$F,""),""))),"")</f>
        <v/>
      </c>
      <c r="O134" t="str">
        <f>IF(M134,IF(B134="Fe",_xludf.XLOOKUP(A134,'Standards Catalogue'!$A:$A,'Standards Catalogue'!$C:$C,""),IF(B134="P",_xludf.XLOOKUP(A134,'Standards Catalogue'!$A:$A,'Standards Catalogue'!$E:$E,""),IF(B134="S",_xludf.XLOOKUP(A134,'Standards Catalogue'!$A:$A,'Standards Catalogue'!$G:$G,""),""))),"")</f>
        <v/>
      </c>
      <c r="P134" t="str">
        <f t="shared" si="12"/>
        <v/>
      </c>
      <c r="Q134" t="str">
        <f t="shared" si="13"/>
        <v/>
      </c>
      <c r="R134" t="str">
        <f t="shared" si="14"/>
        <v/>
      </c>
    </row>
    <row r="135" spans="12:18" x14ac:dyDescent="0.25">
      <c r="L135" t="str">
        <f t="shared" si="10"/>
        <v/>
      </c>
      <c r="M135" t="b">
        <f t="shared" si="11"/>
        <v>0</v>
      </c>
      <c r="N135" t="str">
        <f>IF(M135,IF(B135="Fe",_xludf.XLOOKUP(A135,'Standards Catalogue'!$A:$A,'Standards Catalogue'!$B:$B,""),IF(B135="P",_xludf.XLOOKUP(A135,'Standards Catalogue'!$A:$A,'Standards Catalogue'!$D:$D,""),IF(B135="S",_xludf.XLOOKUP(A135,'Standards Catalogue'!$A:$A,'Standards Catalogue'!$F:$F,""),""))),"")</f>
        <v/>
      </c>
      <c r="O135" t="str">
        <f>IF(M135,IF(B135="Fe",_xludf.XLOOKUP(A135,'Standards Catalogue'!$A:$A,'Standards Catalogue'!$C:$C,""),IF(B135="P",_xludf.XLOOKUP(A135,'Standards Catalogue'!$A:$A,'Standards Catalogue'!$E:$E,""),IF(B135="S",_xludf.XLOOKUP(A135,'Standards Catalogue'!$A:$A,'Standards Catalogue'!$G:$G,""),""))),"")</f>
        <v/>
      </c>
      <c r="P135" t="str">
        <f t="shared" si="12"/>
        <v/>
      </c>
      <c r="Q135" t="str">
        <f t="shared" si="13"/>
        <v/>
      </c>
      <c r="R135" t="str">
        <f t="shared" si="14"/>
        <v/>
      </c>
    </row>
    <row r="136" spans="12:18" x14ac:dyDescent="0.25">
      <c r="L136" t="str">
        <f t="shared" si="10"/>
        <v/>
      </c>
      <c r="M136" t="b">
        <f t="shared" si="11"/>
        <v>0</v>
      </c>
      <c r="N136" t="str">
        <f>IF(M136,IF(B136="Fe",_xludf.XLOOKUP(A136,'Standards Catalogue'!$A:$A,'Standards Catalogue'!$B:$B,""),IF(B136="P",_xludf.XLOOKUP(A136,'Standards Catalogue'!$A:$A,'Standards Catalogue'!$D:$D,""),IF(B136="S",_xludf.XLOOKUP(A136,'Standards Catalogue'!$A:$A,'Standards Catalogue'!$F:$F,""),""))),"")</f>
        <v/>
      </c>
      <c r="O136" t="str">
        <f>IF(M136,IF(B136="Fe",_xludf.XLOOKUP(A136,'Standards Catalogue'!$A:$A,'Standards Catalogue'!$C:$C,""),IF(B136="P",_xludf.XLOOKUP(A136,'Standards Catalogue'!$A:$A,'Standards Catalogue'!$E:$E,""),IF(B136="S",_xludf.XLOOKUP(A136,'Standards Catalogue'!$A:$A,'Standards Catalogue'!$G:$G,""),""))),"")</f>
        <v/>
      </c>
      <c r="P136" t="str">
        <f t="shared" si="12"/>
        <v/>
      </c>
      <c r="Q136" t="str">
        <f t="shared" si="13"/>
        <v/>
      </c>
      <c r="R136" t="str">
        <f t="shared" si="14"/>
        <v/>
      </c>
    </row>
    <row r="137" spans="12:18" x14ac:dyDescent="0.25">
      <c r="L137" t="str">
        <f t="shared" si="10"/>
        <v/>
      </c>
      <c r="M137" t="b">
        <f t="shared" si="11"/>
        <v>0</v>
      </c>
      <c r="N137" t="str">
        <f>IF(M137,IF(B137="Fe",_xludf.XLOOKUP(A137,'Standards Catalogue'!$A:$A,'Standards Catalogue'!$B:$B,""),IF(B137="P",_xludf.XLOOKUP(A137,'Standards Catalogue'!$A:$A,'Standards Catalogue'!$D:$D,""),IF(B137="S",_xludf.XLOOKUP(A137,'Standards Catalogue'!$A:$A,'Standards Catalogue'!$F:$F,""),""))),"")</f>
        <v/>
      </c>
      <c r="O137" t="str">
        <f>IF(M137,IF(B137="Fe",_xludf.XLOOKUP(A137,'Standards Catalogue'!$A:$A,'Standards Catalogue'!$C:$C,""),IF(B137="P",_xludf.XLOOKUP(A137,'Standards Catalogue'!$A:$A,'Standards Catalogue'!$E:$E,""),IF(B137="S",_xludf.XLOOKUP(A137,'Standards Catalogue'!$A:$A,'Standards Catalogue'!$G:$G,""),""))),"")</f>
        <v/>
      </c>
      <c r="P137" t="str">
        <f t="shared" si="12"/>
        <v/>
      </c>
      <c r="Q137" t="str">
        <f t="shared" si="13"/>
        <v/>
      </c>
      <c r="R137" t="str">
        <f t="shared" si="14"/>
        <v/>
      </c>
    </row>
    <row r="138" spans="12:18" x14ac:dyDescent="0.25">
      <c r="L138" t="str">
        <f t="shared" si="10"/>
        <v/>
      </c>
      <c r="M138" t="b">
        <f t="shared" si="11"/>
        <v>0</v>
      </c>
      <c r="N138" t="str">
        <f>IF(M138,IF(B138="Fe",_xludf.XLOOKUP(A138,'Standards Catalogue'!$A:$A,'Standards Catalogue'!$B:$B,""),IF(B138="P",_xludf.XLOOKUP(A138,'Standards Catalogue'!$A:$A,'Standards Catalogue'!$D:$D,""),IF(B138="S",_xludf.XLOOKUP(A138,'Standards Catalogue'!$A:$A,'Standards Catalogue'!$F:$F,""),""))),"")</f>
        <v/>
      </c>
      <c r="O138" t="str">
        <f>IF(M138,IF(B138="Fe",_xludf.XLOOKUP(A138,'Standards Catalogue'!$A:$A,'Standards Catalogue'!$C:$C,""),IF(B138="P",_xludf.XLOOKUP(A138,'Standards Catalogue'!$A:$A,'Standards Catalogue'!$E:$E,""),IF(B138="S",_xludf.XLOOKUP(A138,'Standards Catalogue'!$A:$A,'Standards Catalogue'!$G:$G,""),""))),"")</f>
        <v/>
      </c>
      <c r="P138" t="str">
        <f t="shared" si="12"/>
        <v/>
      </c>
      <c r="Q138" t="str">
        <f t="shared" si="13"/>
        <v/>
      </c>
      <c r="R138" t="str">
        <f t="shared" si="14"/>
        <v/>
      </c>
    </row>
    <row r="139" spans="12:18" x14ac:dyDescent="0.25">
      <c r="L139" t="str">
        <f t="shared" si="10"/>
        <v/>
      </c>
      <c r="M139" t="b">
        <f t="shared" si="11"/>
        <v>0</v>
      </c>
      <c r="N139" t="str">
        <f>IF(M139,IF(B139="Fe",_xludf.XLOOKUP(A139,'Standards Catalogue'!$A:$A,'Standards Catalogue'!$B:$B,""),IF(B139="P",_xludf.XLOOKUP(A139,'Standards Catalogue'!$A:$A,'Standards Catalogue'!$D:$D,""),IF(B139="S",_xludf.XLOOKUP(A139,'Standards Catalogue'!$A:$A,'Standards Catalogue'!$F:$F,""),""))),"")</f>
        <v/>
      </c>
      <c r="O139" t="str">
        <f>IF(M139,IF(B139="Fe",_xludf.XLOOKUP(A139,'Standards Catalogue'!$A:$A,'Standards Catalogue'!$C:$C,""),IF(B139="P",_xludf.XLOOKUP(A139,'Standards Catalogue'!$A:$A,'Standards Catalogue'!$E:$E,""),IF(B139="S",_xludf.XLOOKUP(A139,'Standards Catalogue'!$A:$A,'Standards Catalogue'!$G:$G,""),""))),"")</f>
        <v/>
      </c>
      <c r="P139" t="str">
        <f t="shared" si="12"/>
        <v/>
      </c>
      <c r="Q139" t="str">
        <f t="shared" si="13"/>
        <v/>
      </c>
      <c r="R139" t="str">
        <f t="shared" si="14"/>
        <v/>
      </c>
    </row>
    <row r="140" spans="12:18" x14ac:dyDescent="0.25">
      <c r="L140" t="str">
        <f t="shared" si="10"/>
        <v/>
      </c>
      <c r="M140" t="b">
        <f t="shared" si="11"/>
        <v>0</v>
      </c>
      <c r="N140" t="str">
        <f>IF(M140,IF(B140="Fe",_xludf.XLOOKUP(A140,'Standards Catalogue'!$A:$A,'Standards Catalogue'!$B:$B,""),IF(B140="P",_xludf.XLOOKUP(A140,'Standards Catalogue'!$A:$A,'Standards Catalogue'!$D:$D,""),IF(B140="S",_xludf.XLOOKUP(A140,'Standards Catalogue'!$A:$A,'Standards Catalogue'!$F:$F,""),""))),"")</f>
        <v/>
      </c>
      <c r="O140" t="str">
        <f>IF(M140,IF(B140="Fe",_xludf.XLOOKUP(A140,'Standards Catalogue'!$A:$A,'Standards Catalogue'!$C:$C,""),IF(B140="P",_xludf.XLOOKUP(A140,'Standards Catalogue'!$A:$A,'Standards Catalogue'!$E:$E,""),IF(B140="S",_xludf.XLOOKUP(A140,'Standards Catalogue'!$A:$A,'Standards Catalogue'!$G:$G,""),""))),"")</f>
        <v/>
      </c>
      <c r="P140" t="str">
        <f t="shared" si="12"/>
        <v/>
      </c>
      <c r="Q140" t="str">
        <f t="shared" si="13"/>
        <v/>
      </c>
      <c r="R140" t="str">
        <f t="shared" si="14"/>
        <v/>
      </c>
    </row>
    <row r="141" spans="12:18" x14ac:dyDescent="0.25">
      <c r="L141" t="str">
        <f t="shared" si="10"/>
        <v/>
      </c>
      <c r="M141" t="b">
        <f t="shared" si="11"/>
        <v>0</v>
      </c>
      <c r="N141" t="str">
        <f>IF(M141,IF(B141="Fe",_xludf.XLOOKUP(A141,'Standards Catalogue'!$A:$A,'Standards Catalogue'!$B:$B,""),IF(B141="P",_xludf.XLOOKUP(A141,'Standards Catalogue'!$A:$A,'Standards Catalogue'!$D:$D,""),IF(B141="S",_xludf.XLOOKUP(A141,'Standards Catalogue'!$A:$A,'Standards Catalogue'!$F:$F,""),""))),"")</f>
        <v/>
      </c>
      <c r="O141" t="str">
        <f>IF(M141,IF(B141="Fe",_xludf.XLOOKUP(A141,'Standards Catalogue'!$A:$A,'Standards Catalogue'!$C:$C,""),IF(B141="P",_xludf.XLOOKUP(A141,'Standards Catalogue'!$A:$A,'Standards Catalogue'!$E:$E,""),IF(B141="S",_xludf.XLOOKUP(A141,'Standards Catalogue'!$A:$A,'Standards Catalogue'!$G:$G,""),""))),"")</f>
        <v/>
      </c>
      <c r="P141" t="str">
        <f t="shared" si="12"/>
        <v/>
      </c>
      <c r="Q141" t="str">
        <f t="shared" si="13"/>
        <v/>
      </c>
      <c r="R141" t="str">
        <f t="shared" si="14"/>
        <v/>
      </c>
    </row>
    <row r="142" spans="12:18" x14ac:dyDescent="0.25">
      <c r="L142" t="str">
        <f t="shared" si="10"/>
        <v/>
      </c>
      <c r="M142" t="b">
        <f t="shared" si="11"/>
        <v>0</v>
      </c>
      <c r="N142" t="str">
        <f>IF(M142,IF(B142="Fe",_xludf.XLOOKUP(A142,'Standards Catalogue'!$A:$A,'Standards Catalogue'!$B:$B,""),IF(B142="P",_xludf.XLOOKUP(A142,'Standards Catalogue'!$A:$A,'Standards Catalogue'!$D:$D,""),IF(B142="S",_xludf.XLOOKUP(A142,'Standards Catalogue'!$A:$A,'Standards Catalogue'!$F:$F,""),""))),"")</f>
        <v/>
      </c>
      <c r="O142" t="str">
        <f>IF(M142,IF(B142="Fe",_xludf.XLOOKUP(A142,'Standards Catalogue'!$A:$A,'Standards Catalogue'!$C:$C,""),IF(B142="P",_xludf.XLOOKUP(A142,'Standards Catalogue'!$A:$A,'Standards Catalogue'!$E:$E,""),IF(B142="S",_xludf.XLOOKUP(A142,'Standards Catalogue'!$A:$A,'Standards Catalogue'!$G:$G,""),""))),"")</f>
        <v/>
      </c>
      <c r="P142" t="str">
        <f t="shared" si="12"/>
        <v/>
      </c>
      <c r="Q142" t="str">
        <f t="shared" si="13"/>
        <v/>
      </c>
      <c r="R142" t="str">
        <f t="shared" si="14"/>
        <v/>
      </c>
    </row>
    <row r="143" spans="12:18" x14ac:dyDescent="0.25">
      <c r="L143" t="str">
        <f t="shared" si="10"/>
        <v/>
      </c>
      <c r="M143" t="b">
        <f t="shared" si="11"/>
        <v>0</v>
      </c>
      <c r="N143" t="str">
        <f>IF(M143,IF(B143="Fe",_xludf.XLOOKUP(A143,'Standards Catalogue'!$A:$A,'Standards Catalogue'!$B:$B,""),IF(B143="P",_xludf.XLOOKUP(A143,'Standards Catalogue'!$A:$A,'Standards Catalogue'!$D:$D,""),IF(B143="S",_xludf.XLOOKUP(A143,'Standards Catalogue'!$A:$A,'Standards Catalogue'!$F:$F,""),""))),"")</f>
        <v/>
      </c>
      <c r="O143" t="str">
        <f>IF(M143,IF(B143="Fe",_xludf.XLOOKUP(A143,'Standards Catalogue'!$A:$A,'Standards Catalogue'!$C:$C,""),IF(B143="P",_xludf.XLOOKUP(A143,'Standards Catalogue'!$A:$A,'Standards Catalogue'!$E:$E,""),IF(B143="S",_xludf.XLOOKUP(A143,'Standards Catalogue'!$A:$A,'Standards Catalogue'!$G:$G,""),""))),"")</f>
        <v/>
      </c>
      <c r="P143" t="str">
        <f t="shared" si="12"/>
        <v/>
      </c>
      <c r="Q143" t="str">
        <f t="shared" si="13"/>
        <v/>
      </c>
      <c r="R143" t="str">
        <f t="shared" si="14"/>
        <v/>
      </c>
    </row>
    <row r="144" spans="12:18" x14ac:dyDescent="0.25">
      <c r="L144" t="str">
        <f t="shared" si="10"/>
        <v/>
      </c>
      <c r="M144" t="b">
        <f t="shared" si="11"/>
        <v>0</v>
      </c>
      <c r="N144" t="str">
        <f>IF(M144,IF(B144="Fe",_xludf.XLOOKUP(A144,'Standards Catalogue'!$A:$A,'Standards Catalogue'!$B:$B,""),IF(B144="P",_xludf.XLOOKUP(A144,'Standards Catalogue'!$A:$A,'Standards Catalogue'!$D:$D,""),IF(B144="S",_xludf.XLOOKUP(A144,'Standards Catalogue'!$A:$A,'Standards Catalogue'!$F:$F,""),""))),"")</f>
        <v/>
      </c>
      <c r="O144" t="str">
        <f>IF(M144,IF(B144="Fe",_xludf.XLOOKUP(A144,'Standards Catalogue'!$A:$A,'Standards Catalogue'!$C:$C,""),IF(B144="P",_xludf.XLOOKUP(A144,'Standards Catalogue'!$A:$A,'Standards Catalogue'!$E:$E,""),IF(B144="S",_xludf.XLOOKUP(A144,'Standards Catalogue'!$A:$A,'Standards Catalogue'!$G:$G,""),""))),"")</f>
        <v/>
      </c>
      <c r="P144" t="str">
        <f t="shared" si="12"/>
        <v/>
      </c>
      <c r="Q144" t="str">
        <f t="shared" si="13"/>
        <v/>
      </c>
      <c r="R144" t="str">
        <f t="shared" si="14"/>
        <v/>
      </c>
    </row>
    <row r="145" spans="12:18" x14ac:dyDescent="0.25">
      <c r="L145" t="str">
        <f t="shared" si="10"/>
        <v/>
      </c>
      <c r="M145" t="b">
        <f t="shared" si="11"/>
        <v>0</v>
      </c>
      <c r="N145" t="str">
        <f>IF(M145,IF(B145="Fe",_xludf.XLOOKUP(A145,'Standards Catalogue'!$A:$A,'Standards Catalogue'!$B:$B,""),IF(B145="P",_xludf.XLOOKUP(A145,'Standards Catalogue'!$A:$A,'Standards Catalogue'!$D:$D,""),IF(B145="S",_xludf.XLOOKUP(A145,'Standards Catalogue'!$A:$A,'Standards Catalogue'!$F:$F,""),""))),"")</f>
        <v/>
      </c>
      <c r="O145" t="str">
        <f>IF(M145,IF(B145="Fe",_xludf.XLOOKUP(A145,'Standards Catalogue'!$A:$A,'Standards Catalogue'!$C:$C,""),IF(B145="P",_xludf.XLOOKUP(A145,'Standards Catalogue'!$A:$A,'Standards Catalogue'!$E:$E,""),IF(B145="S",_xludf.XLOOKUP(A145,'Standards Catalogue'!$A:$A,'Standards Catalogue'!$G:$G,""),""))),"")</f>
        <v/>
      </c>
      <c r="P145" t="str">
        <f t="shared" si="12"/>
        <v/>
      </c>
      <c r="Q145" t="str">
        <f t="shared" si="13"/>
        <v/>
      </c>
      <c r="R145" t="str">
        <f t="shared" si="14"/>
        <v/>
      </c>
    </row>
    <row r="146" spans="12:18" x14ac:dyDescent="0.25">
      <c r="L146" t="str">
        <f t="shared" si="10"/>
        <v/>
      </c>
      <c r="M146" t="b">
        <f t="shared" si="11"/>
        <v>0</v>
      </c>
      <c r="N146" t="str">
        <f>IF(M146,IF(B146="Fe",_xludf.XLOOKUP(A146,'Standards Catalogue'!$A:$A,'Standards Catalogue'!$B:$B,""),IF(B146="P",_xludf.XLOOKUP(A146,'Standards Catalogue'!$A:$A,'Standards Catalogue'!$D:$D,""),IF(B146="S",_xludf.XLOOKUP(A146,'Standards Catalogue'!$A:$A,'Standards Catalogue'!$F:$F,""),""))),"")</f>
        <v/>
      </c>
      <c r="O146" t="str">
        <f>IF(M146,IF(B146="Fe",_xludf.XLOOKUP(A146,'Standards Catalogue'!$A:$A,'Standards Catalogue'!$C:$C,""),IF(B146="P",_xludf.XLOOKUP(A146,'Standards Catalogue'!$A:$A,'Standards Catalogue'!$E:$E,""),IF(B146="S",_xludf.XLOOKUP(A146,'Standards Catalogue'!$A:$A,'Standards Catalogue'!$G:$G,""),""))),"")</f>
        <v/>
      </c>
      <c r="P146" t="str">
        <f t="shared" si="12"/>
        <v/>
      </c>
      <c r="Q146" t="str">
        <f t="shared" si="13"/>
        <v/>
      </c>
      <c r="R146" t="str">
        <f t="shared" si="14"/>
        <v/>
      </c>
    </row>
    <row r="147" spans="12:18" x14ac:dyDescent="0.25">
      <c r="L147" t="str">
        <f t="shared" si="10"/>
        <v/>
      </c>
      <c r="M147" t="b">
        <f t="shared" si="11"/>
        <v>0</v>
      </c>
      <c r="N147" t="str">
        <f>IF(M147,IF(B147="Fe",_xludf.XLOOKUP(A147,'Standards Catalogue'!$A:$A,'Standards Catalogue'!$B:$B,""),IF(B147="P",_xludf.XLOOKUP(A147,'Standards Catalogue'!$A:$A,'Standards Catalogue'!$D:$D,""),IF(B147="S",_xludf.XLOOKUP(A147,'Standards Catalogue'!$A:$A,'Standards Catalogue'!$F:$F,""),""))),"")</f>
        <v/>
      </c>
      <c r="O147" t="str">
        <f>IF(M147,IF(B147="Fe",_xludf.XLOOKUP(A147,'Standards Catalogue'!$A:$A,'Standards Catalogue'!$C:$C,""),IF(B147="P",_xludf.XLOOKUP(A147,'Standards Catalogue'!$A:$A,'Standards Catalogue'!$E:$E,""),IF(B147="S",_xludf.XLOOKUP(A147,'Standards Catalogue'!$A:$A,'Standards Catalogue'!$G:$G,""),""))),"")</f>
        <v/>
      </c>
      <c r="P147" t="str">
        <f t="shared" si="12"/>
        <v/>
      </c>
      <c r="Q147" t="str">
        <f t="shared" si="13"/>
        <v/>
      </c>
      <c r="R147" t="str">
        <f t="shared" si="14"/>
        <v/>
      </c>
    </row>
    <row r="148" spans="12:18" x14ac:dyDescent="0.25">
      <c r="L148" t="str">
        <f t="shared" si="10"/>
        <v/>
      </c>
      <c r="M148" t="b">
        <f t="shared" si="11"/>
        <v>0</v>
      </c>
      <c r="N148" t="str">
        <f>IF(M148,IF(B148="Fe",_xludf.XLOOKUP(A148,'Standards Catalogue'!$A:$A,'Standards Catalogue'!$B:$B,""),IF(B148="P",_xludf.XLOOKUP(A148,'Standards Catalogue'!$A:$A,'Standards Catalogue'!$D:$D,""),IF(B148="S",_xludf.XLOOKUP(A148,'Standards Catalogue'!$A:$A,'Standards Catalogue'!$F:$F,""),""))),"")</f>
        <v/>
      </c>
      <c r="O148" t="str">
        <f>IF(M148,IF(B148="Fe",_xludf.XLOOKUP(A148,'Standards Catalogue'!$A:$A,'Standards Catalogue'!$C:$C,""),IF(B148="P",_xludf.XLOOKUP(A148,'Standards Catalogue'!$A:$A,'Standards Catalogue'!$E:$E,""),IF(B148="S",_xludf.XLOOKUP(A148,'Standards Catalogue'!$A:$A,'Standards Catalogue'!$G:$G,""),""))),"")</f>
        <v/>
      </c>
      <c r="P148" t="str">
        <f t="shared" si="12"/>
        <v/>
      </c>
      <c r="Q148" t="str">
        <f t="shared" si="13"/>
        <v/>
      </c>
      <c r="R148" t="str">
        <f t="shared" si="14"/>
        <v/>
      </c>
    </row>
    <row r="149" spans="12:18" x14ac:dyDescent="0.25">
      <c r="L149" t="str">
        <f t="shared" si="10"/>
        <v/>
      </c>
      <c r="M149" t="b">
        <f t="shared" si="11"/>
        <v>0</v>
      </c>
      <c r="N149" t="str">
        <f>IF(M149,IF(B149="Fe",_xludf.XLOOKUP(A149,'Standards Catalogue'!$A:$A,'Standards Catalogue'!$B:$B,""),IF(B149="P",_xludf.XLOOKUP(A149,'Standards Catalogue'!$A:$A,'Standards Catalogue'!$D:$D,""),IF(B149="S",_xludf.XLOOKUP(A149,'Standards Catalogue'!$A:$A,'Standards Catalogue'!$F:$F,""),""))),"")</f>
        <v/>
      </c>
      <c r="O149" t="str">
        <f>IF(M149,IF(B149="Fe",_xludf.XLOOKUP(A149,'Standards Catalogue'!$A:$A,'Standards Catalogue'!$C:$C,""),IF(B149="P",_xludf.XLOOKUP(A149,'Standards Catalogue'!$A:$A,'Standards Catalogue'!$E:$E,""),IF(B149="S",_xludf.XLOOKUP(A149,'Standards Catalogue'!$A:$A,'Standards Catalogue'!$G:$G,""),""))),"")</f>
        <v/>
      </c>
      <c r="P149" t="str">
        <f t="shared" si="12"/>
        <v/>
      </c>
      <c r="Q149" t="str">
        <f t="shared" si="13"/>
        <v/>
      </c>
      <c r="R149" t="str">
        <f t="shared" si="14"/>
        <v/>
      </c>
    </row>
    <row r="150" spans="12:18" x14ac:dyDescent="0.25">
      <c r="L150" t="str">
        <f t="shared" si="10"/>
        <v/>
      </c>
      <c r="M150" t="b">
        <f t="shared" si="11"/>
        <v>0</v>
      </c>
      <c r="N150" t="str">
        <f>IF(M150,IF(B150="Fe",_xludf.XLOOKUP(A150,'Standards Catalogue'!$A:$A,'Standards Catalogue'!$B:$B,""),IF(B150="P",_xludf.XLOOKUP(A150,'Standards Catalogue'!$A:$A,'Standards Catalogue'!$D:$D,""),IF(B150="S",_xludf.XLOOKUP(A150,'Standards Catalogue'!$A:$A,'Standards Catalogue'!$F:$F,""),""))),"")</f>
        <v/>
      </c>
      <c r="O150" t="str">
        <f>IF(M150,IF(B150="Fe",_xludf.XLOOKUP(A150,'Standards Catalogue'!$A:$A,'Standards Catalogue'!$C:$C,""),IF(B150="P",_xludf.XLOOKUP(A150,'Standards Catalogue'!$A:$A,'Standards Catalogue'!$E:$E,""),IF(B150="S",_xludf.XLOOKUP(A150,'Standards Catalogue'!$A:$A,'Standards Catalogue'!$G:$G,""),""))),"")</f>
        <v/>
      </c>
      <c r="P150" t="str">
        <f t="shared" si="12"/>
        <v/>
      </c>
      <c r="Q150" t="str">
        <f t="shared" si="13"/>
        <v/>
      </c>
      <c r="R150" t="str">
        <f t="shared" si="14"/>
        <v/>
      </c>
    </row>
    <row r="151" spans="12:18" x14ac:dyDescent="0.25">
      <c r="L151" t="str">
        <f t="shared" si="10"/>
        <v/>
      </c>
      <c r="M151" t="b">
        <f t="shared" si="11"/>
        <v>0</v>
      </c>
      <c r="N151" t="str">
        <f>IF(M151,IF(B151="Fe",_xludf.XLOOKUP(A151,'Standards Catalogue'!$A:$A,'Standards Catalogue'!$B:$B,""),IF(B151="P",_xludf.XLOOKUP(A151,'Standards Catalogue'!$A:$A,'Standards Catalogue'!$D:$D,""),IF(B151="S",_xludf.XLOOKUP(A151,'Standards Catalogue'!$A:$A,'Standards Catalogue'!$F:$F,""),""))),"")</f>
        <v/>
      </c>
      <c r="O151" t="str">
        <f>IF(M151,IF(B151="Fe",_xludf.XLOOKUP(A151,'Standards Catalogue'!$A:$A,'Standards Catalogue'!$C:$C,""),IF(B151="P",_xludf.XLOOKUP(A151,'Standards Catalogue'!$A:$A,'Standards Catalogue'!$E:$E,""),IF(B151="S",_xludf.XLOOKUP(A151,'Standards Catalogue'!$A:$A,'Standards Catalogue'!$G:$G,""),""))),"")</f>
        <v/>
      </c>
      <c r="P151" t="str">
        <f t="shared" si="12"/>
        <v/>
      </c>
      <c r="Q151" t="str">
        <f t="shared" si="13"/>
        <v/>
      </c>
      <c r="R151" t="str">
        <f t="shared" si="14"/>
        <v/>
      </c>
    </row>
    <row r="152" spans="12:18" x14ac:dyDescent="0.25">
      <c r="L152" t="str">
        <f t="shared" si="10"/>
        <v/>
      </c>
      <c r="M152" t="b">
        <f t="shared" si="11"/>
        <v>0</v>
      </c>
      <c r="N152" t="str">
        <f>IF(M152,IF(B152="Fe",_xludf.XLOOKUP(A152,'Standards Catalogue'!$A:$A,'Standards Catalogue'!$B:$B,""),IF(B152="P",_xludf.XLOOKUP(A152,'Standards Catalogue'!$A:$A,'Standards Catalogue'!$D:$D,""),IF(B152="S",_xludf.XLOOKUP(A152,'Standards Catalogue'!$A:$A,'Standards Catalogue'!$F:$F,""),""))),"")</f>
        <v/>
      </c>
      <c r="O152" t="str">
        <f>IF(M152,IF(B152="Fe",_xludf.XLOOKUP(A152,'Standards Catalogue'!$A:$A,'Standards Catalogue'!$C:$C,""),IF(B152="P",_xludf.XLOOKUP(A152,'Standards Catalogue'!$A:$A,'Standards Catalogue'!$E:$E,""),IF(B152="S",_xludf.XLOOKUP(A152,'Standards Catalogue'!$A:$A,'Standards Catalogue'!$G:$G,""),""))),"")</f>
        <v/>
      </c>
      <c r="P152" t="str">
        <f t="shared" si="12"/>
        <v/>
      </c>
      <c r="Q152" t="str">
        <f t="shared" si="13"/>
        <v/>
      </c>
      <c r="R152" t="str">
        <f t="shared" si="14"/>
        <v/>
      </c>
    </row>
    <row r="153" spans="12:18" x14ac:dyDescent="0.25">
      <c r="L153" t="str">
        <f t="shared" si="10"/>
        <v/>
      </c>
      <c r="M153" t="b">
        <f t="shared" si="11"/>
        <v>0</v>
      </c>
      <c r="N153" t="str">
        <f>IF(M153,IF(B153="Fe",_xludf.XLOOKUP(A153,'Standards Catalogue'!$A:$A,'Standards Catalogue'!$B:$B,""),IF(B153="P",_xludf.XLOOKUP(A153,'Standards Catalogue'!$A:$A,'Standards Catalogue'!$D:$D,""),IF(B153="S",_xludf.XLOOKUP(A153,'Standards Catalogue'!$A:$A,'Standards Catalogue'!$F:$F,""),""))),"")</f>
        <v/>
      </c>
      <c r="O153" t="str">
        <f>IF(M153,IF(B153="Fe",_xludf.XLOOKUP(A153,'Standards Catalogue'!$A:$A,'Standards Catalogue'!$C:$C,""),IF(B153="P",_xludf.XLOOKUP(A153,'Standards Catalogue'!$A:$A,'Standards Catalogue'!$E:$E,""),IF(B153="S",_xludf.XLOOKUP(A153,'Standards Catalogue'!$A:$A,'Standards Catalogue'!$G:$G,""),""))),"")</f>
        <v/>
      </c>
      <c r="P153" t="str">
        <f t="shared" si="12"/>
        <v/>
      </c>
      <c r="Q153" t="str">
        <f t="shared" si="13"/>
        <v/>
      </c>
      <c r="R153" t="str">
        <f t="shared" si="14"/>
        <v/>
      </c>
    </row>
    <row r="154" spans="12:18" x14ac:dyDescent="0.25">
      <c r="L154" t="str">
        <f t="shared" si="10"/>
        <v/>
      </c>
      <c r="M154" t="b">
        <f t="shared" si="11"/>
        <v>0</v>
      </c>
      <c r="N154" t="str">
        <f>IF(M154,IF(B154="Fe",_xludf.XLOOKUP(A154,'Standards Catalogue'!$A:$A,'Standards Catalogue'!$B:$B,""),IF(B154="P",_xludf.XLOOKUP(A154,'Standards Catalogue'!$A:$A,'Standards Catalogue'!$D:$D,""),IF(B154="S",_xludf.XLOOKUP(A154,'Standards Catalogue'!$A:$A,'Standards Catalogue'!$F:$F,""),""))),"")</f>
        <v/>
      </c>
      <c r="O154" t="str">
        <f>IF(M154,IF(B154="Fe",_xludf.XLOOKUP(A154,'Standards Catalogue'!$A:$A,'Standards Catalogue'!$C:$C,""),IF(B154="P",_xludf.XLOOKUP(A154,'Standards Catalogue'!$A:$A,'Standards Catalogue'!$E:$E,""),IF(B154="S",_xludf.XLOOKUP(A154,'Standards Catalogue'!$A:$A,'Standards Catalogue'!$G:$G,""),""))),"")</f>
        <v/>
      </c>
      <c r="P154" t="str">
        <f t="shared" si="12"/>
        <v/>
      </c>
      <c r="Q154" t="str">
        <f t="shared" si="13"/>
        <v/>
      </c>
      <c r="R154" t="str">
        <f t="shared" si="14"/>
        <v/>
      </c>
    </row>
    <row r="155" spans="12:18" x14ac:dyDescent="0.25">
      <c r="L155" t="str">
        <f t="shared" si="10"/>
        <v/>
      </c>
      <c r="M155" t="b">
        <f t="shared" si="11"/>
        <v>0</v>
      </c>
      <c r="N155" t="str">
        <f>IF(M155,IF(B155="Fe",_xludf.XLOOKUP(A155,'Standards Catalogue'!$A:$A,'Standards Catalogue'!$B:$B,""),IF(B155="P",_xludf.XLOOKUP(A155,'Standards Catalogue'!$A:$A,'Standards Catalogue'!$D:$D,""),IF(B155="S",_xludf.XLOOKUP(A155,'Standards Catalogue'!$A:$A,'Standards Catalogue'!$F:$F,""),""))),"")</f>
        <v/>
      </c>
      <c r="O155" t="str">
        <f>IF(M155,IF(B155="Fe",_xludf.XLOOKUP(A155,'Standards Catalogue'!$A:$A,'Standards Catalogue'!$C:$C,""),IF(B155="P",_xludf.XLOOKUP(A155,'Standards Catalogue'!$A:$A,'Standards Catalogue'!$E:$E,""),IF(B155="S",_xludf.XLOOKUP(A155,'Standards Catalogue'!$A:$A,'Standards Catalogue'!$G:$G,""),""))),"")</f>
        <v/>
      </c>
      <c r="P155" t="str">
        <f t="shared" si="12"/>
        <v/>
      </c>
      <c r="Q155" t="str">
        <f t="shared" si="13"/>
        <v/>
      </c>
      <c r="R155" t="str">
        <f t="shared" si="14"/>
        <v/>
      </c>
    </row>
    <row r="156" spans="12:18" x14ac:dyDescent="0.25">
      <c r="L156" t="str">
        <f t="shared" si="10"/>
        <v/>
      </c>
      <c r="M156" t="b">
        <f t="shared" si="11"/>
        <v>0</v>
      </c>
      <c r="N156" t="str">
        <f>IF(M156,IF(B156="Fe",_xludf.XLOOKUP(A156,'Standards Catalogue'!$A:$A,'Standards Catalogue'!$B:$B,""),IF(B156="P",_xludf.XLOOKUP(A156,'Standards Catalogue'!$A:$A,'Standards Catalogue'!$D:$D,""),IF(B156="S",_xludf.XLOOKUP(A156,'Standards Catalogue'!$A:$A,'Standards Catalogue'!$F:$F,""),""))),"")</f>
        <v/>
      </c>
      <c r="O156" t="str">
        <f>IF(M156,IF(B156="Fe",_xludf.XLOOKUP(A156,'Standards Catalogue'!$A:$A,'Standards Catalogue'!$C:$C,""),IF(B156="P",_xludf.XLOOKUP(A156,'Standards Catalogue'!$A:$A,'Standards Catalogue'!$E:$E,""),IF(B156="S",_xludf.XLOOKUP(A156,'Standards Catalogue'!$A:$A,'Standards Catalogue'!$G:$G,""),""))),"")</f>
        <v/>
      </c>
      <c r="P156" t="str">
        <f t="shared" si="12"/>
        <v/>
      </c>
      <c r="Q156" t="str">
        <f t="shared" si="13"/>
        <v/>
      </c>
      <c r="R156" t="str">
        <f t="shared" si="14"/>
        <v/>
      </c>
    </row>
    <row r="157" spans="12:18" x14ac:dyDescent="0.25">
      <c r="L157" t="str">
        <f t="shared" si="10"/>
        <v/>
      </c>
      <c r="M157" t="b">
        <f t="shared" si="11"/>
        <v>0</v>
      </c>
      <c r="N157" t="str">
        <f>IF(M157,IF(B157="Fe",_xludf.XLOOKUP(A157,'Standards Catalogue'!$A:$A,'Standards Catalogue'!$B:$B,""),IF(B157="P",_xludf.XLOOKUP(A157,'Standards Catalogue'!$A:$A,'Standards Catalogue'!$D:$D,""),IF(B157="S",_xludf.XLOOKUP(A157,'Standards Catalogue'!$A:$A,'Standards Catalogue'!$F:$F,""),""))),"")</f>
        <v/>
      </c>
      <c r="O157" t="str">
        <f>IF(M157,IF(B157="Fe",_xludf.XLOOKUP(A157,'Standards Catalogue'!$A:$A,'Standards Catalogue'!$C:$C,""),IF(B157="P",_xludf.XLOOKUP(A157,'Standards Catalogue'!$A:$A,'Standards Catalogue'!$E:$E,""),IF(B157="S",_xludf.XLOOKUP(A157,'Standards Catalogue'!$A:$A,'Standards Catalogue'!$G:$G,""),""))),"")</f>
        <v/>
      </c>
      <c r="P157" t="str">
        <f t="shared" si="12"/>
        <v/>
      </c>
      <c r="Q157" t="str">
        <f t="shared" si="13"/>
        <v/>
      </c>
      <c r="R157" t="str">
        <f t="shared" si="14"/>
        <v/>
      </c>
    </row>
    <row r="158" spans="12:18" x14ac:dyDescent="0.25">
      <c r="L158" t="str">
        <f t="shared" si="10"/>
        <v/>
      </c>
      <c r="M158" t="b">
        <f t="shared" si="11"/>
        <v>0</v>
      </c>
      <c r="N158" t="str">
        <f>IF(M158,IF(B158="Fe",_xludf.XLOOKUP(A158,'Standards Catalogue'!$A:$A,'Standards Catalogue'!$B:$B,""),IF(B158="P",_xludf.XLOOKUP(A158,'Standards Catalogue'!$A:$A,'Standards Catalogue'!$D:$D,""),IF(B158="S",_xludf.XLOOKUP(A158,'Standards Catalogue'!$A:$A,'Standards Catalogue'!$F:$F,""),""))),"")</f>
        <v/>
      </c>
      <c r="O158" t="str">
        <f>IF(M158,IF(B158="Fe",_xludf.XLOOKUP(A158,'Standards Catalogue'!$A:$A,'Standards Catalogue'!$C:$C,""),IF(B158="P",_xludf.XLOOKUP(A158,'Standards Catalogue'!$A:$A,'Standards Catalogue'!$E:$E,""),IF(B158="S",_xludf.XLOOKUP(A158,'Standards Catalogue'!$A:$A,'Standards Catalogue'!$G:$G,""),""))),"")</f>
        <v/>
      </c>
      <c r="P158" t="str">
        <f t="shared" si="12"/>
        <v/>
      </c>
      <c r="Q158" t="str">
        <f t="shared" si="13"/>
        <v/>
      </c>
      <c r="R158" t="str">
        <f t="shared" si="14"/>
        <v/>
      </c>
    </row>
    <row r="159" spans="12:18" x14ac:dyDescent="0.25">
      <c r="L159" t="str">
        <f t="shared" si="10"/>
        <v/>
      </c>
      <c r="M159" t="b">
        <f t="shared" si="11"/>
        <v>0</v>
      </c>
      <c r="N159" t="str">
        <f>IF(M159,IF(B159="Fe",_xludf.XLOOKUP(A159,'Standards Catalogue'!$A:$A,'Standards Catalogue'!$B:$B,""),IF(B159="P",_xludf.XLOOKUP(A159,'Standards Catalogue'!$A:$A,'Standards Catalogue'!$D:$D,""),IF(B159="S",_xludf.XLOOKUP(A159,'Standards Catalogue'!$A:$A,'Standards Catalogue'!$F:$F,""),""))),"")</f>
        <v/>
      </c>
      <c r="O159" t="str">
        <f>IF(M159,IF(B159="Fe",_xludf.XLOOKUP(A159,'Standards Catalogue'!$A:$A,'Standards Catalogue'!$C:$C,""),IF(B159="P",_xludf.XLOOKUP(A159,'Standards Catalogue'!$A:$A,'Standards Catalogue'!$E:$E,""),IF(B159="S",_xludf.XLOOKUP(A159,'Standards Catalogue'!$A:$A,'Standards Catalogue'!$G:$G,""),""))),"")</f>
        <v/>
      </c>
      <c r="P159" t="str">
        <f t="shared" si="12"/>
        <v/>
      </c>
      <c r="Q159" t="str">
        <f t="shared" si="13"/>
        <v/>
      </c>
      <c r="R159" t="str">
        <f t="shared" si="14"/>
        <v/>
      </c>
    </row>
    <row r="160" spans="12:18" x14ac:dyDescent="0.25">
      <c r="L160" t="str">
        <f t="shared" si="10"/>
        <v/>
      </c>
      <c r="M160" t="b">
        <f t="shared" si="11"/>
        <v>0</v>
      </c>
      <c r="N160" t="str">
        <f>IF(M160,IF(B160="Fe",_xludf.XLOOKUP(A160,'Standards Catalogue'!$A:$A,'Standards Catalogue'!$B:$B,""),IF(B160="P",_xludf.XLOOKUP(A160,'Standards Catalogue'!$A:$A,'Standards Catalogue'!$D:$D,""),IF(B160="S",_xludf.XLOOKUP(A160,'Standards Catalogue'!$A:$A,'Standards Catalogue'!$F:$F,""),""))),"")</f>
        <v/>
      </c>
      <c r="O160" t="str">
        <f>IF(M160,IF(B160="Fe",_xludf.XLOOKUP(A160,'Standards Catalogue'!$A:$A,'Standards Catalogue'!$C:$C,""),IF(B160="P",_xludf.XLOOKUP(A160,'Standards Catalogue'!$A:$A,'Standards Catalogue'!$E:$E,""),IF(B160="S",_xludf.XLOOKUP(A160,'Standards Catalogue'!$A:$A,'Standards Catalogue'!$G:$G,""),""))),"")</f>
        <v/>
      </c>
      <c r="P160" t="str">
        <f t="shared" si="12"/>
        <v/>
      </c>
      <c r="Q160" t="str">
        <f t="shared" si="13"/>
        <v/>
      </c>
      <c r="R160" t="str">
        <f t="shared" si="14"/>
        <v/>
      </c>
    </row>
    <row r="161" spans="12:18" x14ac:dyDescent="0.25">
      <c r="L161" t="str">
        <f t="shared" si="10"/>
        <v/>
      </c>
      <c r="M161" t="b">
        <f t="shared" si="11"/>
        <v>0</v>
      </c>
      <c r="N161" t="str">
        <f>IF(M161,IF(B161="Fe",_xludf.XLOOKUP(A161,'Standards Catalogue'!$A:$A,'Standards Catalogue'!$B:$B,""),IF(B161="P",_xludf.XLOOKUP(A161,'Standards Catalogue'!$A:$A,'Standards Catalogue'!$D:$D,""),IF(B161="S",_xludf.XLOOKUP(A161,'Standards Catalogue'!$A:$A,'Standards Catalogue'!$F:$F,""),""))),"")</f>
        <v/>
      </c>
      <c r="O161" t="str">
        <f>IF(M161,IF(B161="Fe",_xludf.XLOOKUP(A161,'Standards Catalogue'!$A:$A,'Standards Catalogue'!$C:$C,""),IF(B161="P",_xludf.XLOOKUP(A161,'Standards Catalogue'!$A:$A,'Standards Catalogue'!$E:$E,""),IF(B161="S",_xludf.XLOOKUP(A161,'Standards Catalogue'!$A:$A,'Standards Catalogue'!$G:$G,""),""))),"")</f>
        <v/>
      </c>
      <c r="P161" t="str">
        <f t="shared" si="12"/>
        <v/>
      </c>
      <c r="Q161" t="str">
        <f t="shared" si="13"/>
        <v/>
      </c>
      <c r="R161" t="str">
        <f t="shared" si="14"/>
        <v/>
      </c>
    </row>
    <row r="162" spans="12:18" x14ac:dyDescent="0.25">
      <c r="L162" t="str">
        <f t="shared" si="10"/>
        <v/>
      </c>
      <c r="M162" t="b">
        <f t="shared" si="11"/>
        <v>0</v>
      </c>
      <c r="N162" t="str">
        <f>IF(M162,IF(B162="Fe",_xludf.XLOOKUP(A162,'Standards Catalogue'!$A:$A,'Standards Catalogue'!$B:$B,""),IF(B162="P",_xludf.XLOOKUP(A162,'Standards Catalogue'!$A:$A,'Standards Catalogue'!$D:$D,""),IF(B162="S",_xludf.XLOOKUP(A162,'Standards Catalogue'!$A:$A,'Standards Catalogue'!$F:$F,""),""))),"")</f>
        <v/>
      </c>
      <c r="O162" t="str">
        <f>IF(M162,IF(B162="Fe",_xludf.XLOOKUP(A162,'Standards Catalogue'!$A:$A,'Standards Catalogue'!$C:$C,""),IF(B162="P",_xludf.XLOOKUP(A162,'Standards Catalogue'!$A:$A,'Standards Catalogue'!$E:$E,""),IF(B162="S",_xludf.XLOOKUP(A162,'Standards Catalogue'!$A:$A,'Standards Catalogue'!$G:$G,""),""))),"")</f>
        <v/>
      </c>
      <c r="P162" t="str">
        <f t="shared" si="12"/>
        <v/>
      </c>
      <c r="Q162" t="str">
        <f t="shared" si="13"/>
        <v/>
      </c>
      <c r="R162" t="str">
        <f t="shared" si="14"/>
        <v/>
      </c>
    </row>
    <row r="163" spans="12:18" x14ac:dyDescent="0.25">
      <c r="L163" t="str">
        <f t="shared" si="10"/>
        <v/>
      </c>
      <c r="M163" t="b">
        <f t="shared" si="11"/>
        <v>0</v>
      </c>
      <c r="N163" t="str">
        <f>IF(M163,IF(B163="Fe",_xludf.XLOOKUP(A163,'Standards Catalogue'!$A:$A,'Standards Catalogue'!$B:$B,""),IF(B163="P",_xludf.XLOOKUP(A163,'Standards Catalogue'!$A:$A,'Standards Catalogue'!$D:$D,""),IF(B163="S",_xludf.XLOOKUP(A163,'Standards Catalogue'!$A:$A,'Standards Catalogue'!$F:$F,""),""))),"")</f>
        <v/>
      </c>
      <c r="O163" t="str">
        <f>IF(M163,IF(B163="Fe",_xludf.XLOOKUP(A163,'Standards Catalogue'!$A:$A,'Standards Catalogue'!$C:$C,""),IF(B163="P",_xludf.XLOOKUP(A163,'Standards Catalogue'!$A:$A,'Standards Catalogue'!$E:$E,""),IF(B163="S",_xludf.XLOOKUP(A163,'Standards Catalogue'!$A:$A,'Standards Catalogue'!$G:$G,""),""))),"")</f>
        <v/>
      </c>
      <c r="P163" t="str">
        <f t="shared" si="12"/>
        <v/>
      </c>
      <c r="Q163" t="str">
        <f t="shared" si="13"/>
        <v/>
      </c>
      <c r="R163" t="str">
        <f t="shared" si="14"/>
        <v/>
      </c>
    </row>
    <row r="164" spans="12:18" x14ac:dyDescent="0.25">
      <c r="L164" t="str">
        <f t="shared" si="10"/>
        <v/>
      </c>
      <c r="M164" t="b">
        <f t="shared" si="11"/>
        <v>0</v>
      </c>
      <c r="N164" t="str">
        <f>IF(M164,IF(B164="Fe",_xludf.XLOOKUP(A164,'Standards Catalogue'!$A:$A,'Standards Catalogue'!$B:$B,""),IF(B164="P",_xludf.XLOOKUP(A164,'Standards Catalogue'!$A:$A,'Standards Catalogue'!$D:$D,""),IF(B164="S",_xludf.XLOOKUP(A164,'Standards Catalogue'!$A:$A,'Standards Catalogue'!$F:$F,""),""))),"")</f>
        <v/>
      </c>
      <c r="O164" t="str">
        <f>IF(M164,IF(B164="Fe",_xludf.XLOOKUP(A164,'Standards Catalogue'!$A:$A,'Standards Catalogue'!$C:$C,""),IF(B164="P",_xludf.XLOOKUP(A164,'Standards Catalogue'!$A:$A,'Standards Catalogue'!$E:$E,""),IF(B164="S",_xludf.XLOOKUP(A164,'Standards Catalogue'!$A:$A,'Standards Catalogue'!$G:$G,""),""))),"")</f>
        <v/>
      </c>
      <c r="P164" t="str">
        <f t="shared" si="12"/>
        <v/>
      </c>
      <c r="Q164" t="str">
        <f t="shared" si="13"/>
        <v/>
      </c>
      <c r="R164" t="str">
        <f t="shared" si="14"/>
        <v/>
      </c>
    </row>
    <row r="165" spans="12:18" x14ac:dyDescent="0.25">
      <c r="L165" t="str">
        <f t="shared" si="10"/>
        <v/>
      </c>
      <c r="M165" t="b">
        <f t="shared" si="11"/>
        <v>0</v>
      </c>
      <c r="N165" t="str">
        <f>IF(M165,IF(B165="Fe",_xludf.XLOOKUP(A165,'Standards Catalogue'!$A:$A,'Standards Catalogue'!$B:$B,""),IF(B165="P",_xludf.XLOOKUP(A165,'Standards Catalogue'!$A:$A,'Standards Catalogue'!$D:$D,""),IF(B165="S",_xludf.XLOOKUP(A165,'Standards Catalogue'!$A:$A,'Standards Catalogue'!$F:$F,""),""))),"")</f>
        <v/>
      </c>
      <c r="O165" t="str">
        <f>IF(M165,IF(B165="Fe",_xludf.XLOOKUP(A165,'Standards Catalogue'!$A:$A,'Standards Catalogue'!$C:$C,""),IF(B165="P",_xludf.XLOOKUP(A165,'Standards Catalogue'!$A:$A,'Standards Catalogue'!$E:$E,""),IF(B165="S",_xludf.XLOOKUP(A165,'Standards Catalogue'!$A:$A,'Standards Catalogue'!$G:$G,""),""))),"")</f>
        <v/>
      </c>
      <c r="P165" t="str">
        <f t="shared" si="12"/>
        <v/>
      </c>
      <c r="Q165" t="str">
        <f t="shared" si="13"/>
        <v/>
      </c>
      <c r="R165" t="str">
        <f t="shared" si="14"/>
        <v/>
      </c>
    </row>
    <row r="166" spans="12:18" x14ac:dyDescent="0.25">
      <c r="L166" t="str">
        <f t="shared" si="10"/>
        <v/>
      </c>
      <c r="M166" t="b">
        <f t="shared" si="11"/>
        <v>0</v>
      </c>
      <c r="N166" t="str">
        <f>IF(M166,IF(B166="Fe",_xludf.XLOOKUP(A166,'Standards Catalogue'!$A:$A,'Standards Catalogue'!$B:$B,""),IF(B166="P",_xludf.XLOOKUP(A166,'Standards Catalogue'!$A:$A,'Standards Catalogue'!$D:$D,""),IF(B166="S",_xludf.XLOOKUP(A166,'Standards Catalogue'!$A:$A,'Standards Catalogue'!$F:$F,""),""))),"")</f>
        <v/>
      </c>
      <c r="O166" t="str">
        <f>IF(M166,IF(B166="Fe",_xludf.XLOOKUP(A166,'Standards Catalogue'!$A:$A,'Standards Catalogue'!$C:$C,""),IF(B166="P",_xludf.XLOOKUP(A166,'Standards Catalogue'!$A:$A,'Standards Catalogue'!$E:$E,""),IF(B166="S",_xludf.XLOOKUP(A166,'Standards Catalogue'!$A:$A,'Standards Catalogue'!$G:$G,""),""))),"")</f>
        <v/>
      </c>
      <c r="P166" t="str">
        <f t="shared" si="12"/>
        <v/>
      </c>
      <c r="Q166" t="str">
        <f t="shared" si="13"/>
        <v/>
      </c>
      <c r="R166" t="str">
        <f t="shared" si="14"/>
        <v/>
      </c>
    </row>
    <row r="167" spans="12:18" x14ac:dyDescent="0.25">
      <c r="L167" t="str">
        <f t="shared" si="10"/>
        <v/>
      </c>
      <c r="M167" t="b">
        <f t="shared" si="11"/>
        <v>0</v>
      </c>
      <c r="N167" t="str">
        <f>IF(M167,IF(B167="Fe",_xludf.XLOOKUP(A167,'Standards Catalogue'!$A:$A,'Standards Catalogue'!$B:$B,""),IF(B167="P",_xludf.XLOOKUP(A167,'Standards Catalogue'!$A:$A,'Standards Catalogue'!$D:$D,""),IF(B167="S",_xludf.XLOOKUP(A167,'Standards Catalogue'!$A:$A,'Standards Catalogue'!$F:$F,""),""))),"")</f>
        <v/>
      </c>
      <c r="O167" t="str">
        <f>IF(M167,IF(B167="Fe",_xludf.XLOOKUP(A167,'Standards Catalogue'!$A:$A,'Standards Catalogue'!$C:$C,""),IF(B167="P",_xludf.XLOOKUP(A167,'Standards Catalogue'!$A:$A,'Standards Catalogue'!$E:$E,""),IF(B167="S",_xludf.XLOOKUP(A167,'Standards Catalogue'!$A:$A,'Standards Catalogue'!$G:$G,""),""))),"")</f>
        <v/>
      </c>
      <c r="P167" t="str">
        <f t="shared" si="12"/>
        <v/>
      </c>
      <c r="Q167" t="str">
        <f t="shared" si="13"/>
        <v/>
      </c>
      <c r="R167" t="str">
        <f t="shared" si="14"/>
        <v/>
      </c>
    </row>
    <row r="168" spans="12:18" x14ac:dyDescent="0.25">
      <c r="L168" t="str">
        <f t="shared" si="10"/>
        <v/>
      </c>
      <c r="M168" t="b">
        <f t="shared" si="11"/>
        <v>0</v>
      </c>
      <c r="N168" t="str">
        <f>IF(M168,IF(B168="Fe",_xludf.XLOOKUP(A168,'Standards Catalogue'!$A:$A,'Standards Catalogue'!$B:$B,""),IF(B168="P",_xludf.XLOOKUP(A168,'Standards Catalogue'!$A:$A,'Standards Catalogue'!$D:$D,""),IF(B168="S",_xludf.XLOOKUP(A168,'Standards Catalogue'!$A:$A,'Standards Catalogue'!$F:$F,""),""))),"")</f>
        <v/>
      </c>
      <c r="O168" t="str">
        <f>IF(M168,IF(B168="Fe",_xludf.XLOOKUP(A168,'Standards Catalogue'!$A:$A,'Standards Catalogue'!$C:$C,""),IF(B168="P",_xludf.XLOOKUP(A168,'Standards Catalogue'!$A:$A,'Standards Catalogue'!$E:$E,""),IF(B168="S",_xludf.XLOOKUP(A168,'Standards Catalogue'!$A:$A,'Standards Catalogue'!$G:$G,""),""))),"")</f>
        <v/>
      </c>
      <c r="P168" t="str">
        <f t="shared" si="12"/>
        <v/>
      </c>
      <c r="Q168" t="str">
        <f t="shared" si="13"/>
        <v/>
      </c>
      <c r="R168" t="str">
        <f t="shared" si="14"/>
        <v/>
      </c>
    </row>
    <row r="169" spans="12:18" x14ac:dyDescent="0.25">
      <c r="L169" t="str">
        <f t="shared" si="10"/>
        <v/>
      </c>
      <c r="M169" t="b">
        <f t="shared" si="11"/>
        <v>0</v>
      </c>
      <c r="N169" t="str">
        <f>IF(M169,IF(B169="Fe",_xludf.XLOOKUP(A169,'Standards Catalogue'!$A:$A,'Standards Catalogue'!$B:$B,""),IF(B169="P",_xludf.XLOOKUP(A169,'Standards Catalogue'!$A:$A,'Standards Catalogue'!$D:$D,""),IF(B169="S",_xludf.XLOOKUP(A169,'Standards Catalogue'!$A:$A,'Standards Catalogue'!$F:$F,""),""))),"")</f>
        <v/>
      </c>
      <c r="O169" t="str">
        <f>IF(M169,IF(B169="Fe",_xludf.XLOOKUP(A169,'Standards Catalogue'!$A:$A,'Standards Catalogue'!$C:$C,""),IF(B169="P",_xludf.XLOOKUP(A169,'Standards Catalogue'!$A:$A,'Standards Catalogue'!$E:$E,""),IF(B169="S",_xludf.XLOOKUP(A169,'Standards Catalogue'!$A:$A,'Standards Catalogue'!$G:$G,""),""))),"")</f>
        <v/>
      </c>
      <c r="P169" t="str">
        <f t="shared" si="12"/>
        <v/>
      </c>
      <c r="Q169" t="str">
        <f t="shared" si="13"/>
        <v/>
      </c>
      <c r="R169" t="str">
        <f t="shared" si="14"/>
        <v/>
      </c>
    </row>
    <row r="170" spans="12:18" x14ac:dyDescent="0.25">
      <c r="L170" t="str">
        <f t="shared" si="10"/>
        <v/>
      </c>
      <c r="M170" t="b">
        <f t="shared" si="11"/>
        <v>0</v>
      </c>
      <c r="N170" t="str">
        <f>IF(M170,IF(B170="Fe",_xludf.XLOOKUP(A170,'Standards Catalogue'!$A:$A,'Standards Catalogue'!$B:$B,""),IF(B170="P",_xludf.XLOOKUP(A170,'Standards Catalogue'!$A:$A,'Standards Catalogue'!$D:$D,""),IF(B170="S",_xludf.XLOOKUP(A170,'Standards Catalogue'!$A:$A,'Standards Catalogue'!$F:$F,""),""))),"")</f>
        <v/>
      </c>
      <c r="O170" t="str">
        <f>IF(M170,IF(B170="Fe",_xludf.XLOOKUP(A170,'Standards Catalogue'!$A:$A,'Standards Catalogue'!$C:$C,""),IF(B170="P",_xludf.XLOOKUP(A170,'Standards Catalogue'!$A:$A,'Standards Catalogue'!$E:$E,""),IF(B170="S",_xludf.XLOOKUP(A170,'Standards Catalogue'!$A:$A,'Standards Catalogue'!$G:$G,""),""))),"")</f>
        <v/>
      </c>
      <c r="P170" t="str">
        <f t="shared" si="12"/>
        <v/>
      </c>
      <c r="Q170" t="str">
        <f t="shared" si="13"/>
        <v/>
      </c>
      <c r="R170" t="str">
        <f t="shared" si="14"/>
        <v/>
      </c>
    </row>
    <row r="171" spans="12:18" x14ac:dyDescent="0.25">
      <c r="L171" t="str">
        <f t="shared" si="10"/>
        <v/>
      </c>
      <c r="M171" t="b">
        <f t="shared" si="11"/>
        <v>0</v>
      </c>
      <c r="N171" t="str">
        <f>IF(M171,IF(B171="Fe",_xludf.XLOOKUP(A171,'Standards Catalogue'!$A:$A,'Standards Catalogue'!$B:$B,""),IF(B171="P",_xludf.XLOOKUP(A171,'Standards Catalogue'!$A:$A,'Standards Catalogue'!$D:$D,""),IF(B171="S",_xludf.XLOOKUP(A171,'Standards Catalogue'!$A:$A,'Standards Catalogue'!$F:$F,""),""))),"")</f>
        <v/>
      </c>
      <c r="O171" t="str">
        <f>IF(M171,IF(B171="Fe",_xludf.XLOOKUP(A171,'Standards Catalogue'!$A:$A,'Standards Catalogue'!$C:$C,""),IF(B171="P",_xludf.XLOOKUP(A171,'Standards Catalogue'!$A:$A,'Standards Catalogue'!$E:$E,""),IF(B171="S",_xludf.XLOOKUP(A171,'Standards Catalogue'!$A:$A,'Standards Catalogue'!$G:$G,""),""))),"")</f>
        <v/>
      </c>
      <c r="P171" t="str">
        <f t="shared" si="12"/>
        <v/>
      </c>
      <c r="Q171" t="str">
        <f t="shared" si="13"/>
        <v/>
      </c>
      <c r="R171" t="str">
        <f t="shared" si="14"/>
        <v/>
      </c>
    </row>
    <row r="172" spans="12:18" x14ac:dyDescent="0.25">
      <c r="L172" t="str">
        <f t="shared" si="10"/>
        <v/>
      </c>
      <c r="M172" t="b">
        <f t="shared" si="11"/>
        <v>0</v>
      </c>
      <c r="N172" t="str">
        <f>IF(M172,IF(B172="Fe",_xludf.XLOOKUP(A172,'Standards Catalogue'!$A:$A,'Standards Catalogue'!$B:$B,""),IF(B172="P",_xludf.XLOOKUP(A172,'Standards Catalogue'!$A:$A,'Standards Catalogue'!$D:$D,""),IF(B172="S",_xludf.XLOOKUP(A172,'Standards Catalogue'!$A:$A,'Standards Catalogue'!$F:$F,""),""))),"")</f>
        <v/>
      </c>
      <c r="O172" t="str">
        <f>IF(M172,IF(B172="Fe",_xludf.XLOOKUP(A172,'Standards Catalogue'!$A:$A,'Standards Catalogue'!$C:$C,""),IF(B172="P",_xludf.XLOOKUP(A172,'Standards Catalogue'!$A:$A,'Standards Catalogue'!$E:$E,""),IF(B172="S",_xludf.XLOOKUP(A172,'Standards Catalogue'!$A:$A,'Standards Catalogue'!$G:$G,""),""))),"")</f>
        <v/>
      </c>
      <c r="P172" t="str">
        <f t="shared" si="12"/>
        <v/>
      </c>
      <c r="Q172" t="str">
        <f t="shared" si="13"/>
        <v/>
      </c>
      <c r="R172" t="str">
        <f t="shared" si="14"/>
        <v/>
      </c>
    </row>
    <row r="173" spans="12:18" x14ac:dyDescent="0.25">
      <c r="L173" t="str">
        <f t="shared" si="10"/>
        <v/>
      </c>
      <c r="M173" t="b">
        <f t="shared" si="11"/>
        <v>0</v>
      </c>
      <c r="N173" t="str">
        <f>IF(M173,IF(B173="Fe",_xludf.XLOOKUP(A173,'Standards Catalogue'!$A:$A,'Standards Catalogue'!$B:$B,""),IF(B173="P",_xludf.XLOOKUP(A173,'Standards Catalogue'!$A:$A,'Standards Catalogue'!$D:$D,""),IF(B173="S",_xludf.XLOOKUP(A173,'Standards Catalogue'!$A:$A,'Standards Catalogue'!$F:$F,""),""))),"")</f>
        <v/>
      </c>
      <c r="O173" t="str">
        <f>IF(M173,IF(B173="Fe",_xludf.XLOOKUP(A173,'Standards Catalogue'!$A:$A,'Standards Catalogue'!$C:$C,""),IF(B173="P",_xludf.XLOOKUP(A173,'Standards Catalogue'!$A:$A,'Standards Catalogue'!$E:$E,""),IF(B173="S",_xludf.XLOOKUP(A173,'Standards Catalogue'!$A:$A,'Standards Catalogue'!$G:$G,""),""))),"")</f>
        <v/>
      </c>
      <c r="P173" t="str">
        <f t="shared" si="12"/>
        <v/>
      </c>
      <c r="Q173" t="str">
        <f t="shared" si="13"/>
        <v/>
      </c>
      <c r="R173" t="str">
        <f t="shared" si="14"/>
        <v/>
      </c>
    </row>
    <row r="174" spans="12:18" x14ac:dyDescent="0.25">
      <c r="L174" t="str">
        <f t="shared" si="10"/>
        <v/>
      </c>
      <c r="M174" t="b">
        <f t="shared" si="11"/>
        <v>0</v>
      </c>
      <c r="N174" t="str">
        <f>IF(M174,IF(B174="Fe",_xludf.XLOOKUP(A174,'Standards Catalogue'!$A:$A,'Standards Catalogue'!$B:$B,""),IF(B174="P",_xludf.XLOOKUP(A174,'Standards Catalogue'!$A:$A,'Standards Catalogue'!$D:$D,""),IF(B174="S",_xludf.XLOOKUP(A174,'Standards Catalogue'!$A:$A,'Standards Catalogue'!$F:$F,""),""))),"")</f>
        <v/>
      </c>
      <c r="O174" t="str">
        <f>IF(M174,IF(B174="Fe",_xludf.XLOOKUP(A174,'Standards Catalogue'!$A:$A,'Standards Catalogue'!$C:$C,""),IF(B174="P",_xludf.XLOOKUP(A174,'Standards Catalogue'!$A:$A,'Standards Catalogue'!$E:$E,""),IF(B174="S",_xludf.XLOOKUP(A174,'Standards Catalogue'!$A:$A,'Standards Catalogue'!$G:$G,""),""))),"")</f>
        <v/>
      </c>
      <c r="P174" t="str">
        <f t="shared" si="12"/>
        <v/>
      </c>
      <c r="Q174" t="str">
        <f t="shared" si="13"/>
        <v/>
      </c>
      <c r="R174" t="str">
        <f t="shared" si="14"/>
        <v/>
      </c>
    </row>
    <row r="175" spans="12:18" x14ac:dyDescent="0.25">
      <c r="L175" t="str">
        <f t="shared" si="10"/>
        <v/>
      </c>
      <c r="M175" t="b">
        <f t="shared" si="11"/>
        <v>0</v>
      </c>
      <c r="N175" t="str">
        <f>IF(M175,IF(B175="Fe",_xludf.XLOOKUP(A175,'Standards Catalogue'!$A:$A,'Standards Catalogue'!$B:$B,""),IF(B175="P",_xludf.XLOOKUP(A175,'Standards Catalogue'!$A:$A,'Standards Catalogue'!$D:$D,""),IF(B175="S",_xludf.XLOOKUP(A175,'Standards Catalogue'!$A:$A,'Standards Catalogue'!$F:$F,""),""))),"")</f>
        <v/>
      </c>
      <c r="O175" t="str">
        <f>IF(M175,IF(B175="Fe",_xludf.XLOOKUP(A175,'Standards Catalogue'!$A:$A,'Standards Catalogue'!$C:$C,""),IF(B175="P",_xludf.XLOOKUP(A175,'Standards Catalogue'!$A:$A,'Standards Catalogue'!$E:$E,""),IF(B175="S",_xludf.XLOOKUP(A175,'Standards Catalogue'!$A:$A,'Standards Catalogue'!$G:$G,""),""))),"")</f>
        <v/>
      </c>
      <c r="P175" t="str">
        <f t="shared" si="12"/>
        <v/>
      </c>
      <c r="Q175" t="str">
        <f t="shared" si="13"/>
        <v/>
      </c>
      <c r="R175" t="str">
        <f t="shared" si="14"/>
        <v/>
      </c>
    </row>
    <row r="176" spans="12:18" x14ac:dyDescent="0.25">
      <c r="L176" t="str">
        <f t="shared" si="10"/>
        <v/>
      </c>
      <c r="M176" t="b">
        <f t="shared" si="11"/>
        <v>0</v>
      </c>
      <c r="N176" t="str">
        <f>IF(M176,IF(B176="Fe",_xludf.XLOOKUP(A176,'Standards Catalogue'!$A:$A,'Standards Catalogue'!$B:$B,""),IF(B176="P",_xludf.XLOOKUP(A176,'Standards Catalogue'!$A:$A,'Standards Catalogue'!$D:$D,""),IF(B176="S",_xludf.XLOOKUP(A176,'Standards Catalogue'!$A:$A,'Standards Catalogue'!$F:$F,""),""))),"")</f>
        <v/>
      </c>
      <c r="O176" t="str">
        <f>IF(M176,IF(B176="Fe",_xludf.XLOOKUP(A176,'Standards Catalogue'!$A:$A,'Standards Catalogue'!$C:$C,""),IF(B176="P",_xludf.XLOOKUP(A176,'Standards Catalogue'!$A:$A,'Standards Catalogue'!$E:$E,""),IF(B176="S",_xludf.XLOOKUP(A176,'Standards Catalogue'!$A:$A,'Standards Catalogue'!$G:$G,""),""))),"")</f>
        <v/>
      </c>
      <c r="P176" t="str">
        <f t="shared" si="12"/>
        <v/>
      </c>
      <c r="Q176" t="str">
        <f t="shared" si="13"/>
        <v/>
      </c>
      <c r="R176" t="str">
        <f t="shared" si="14"/>
        <v/>
      </c>
    </row>
    <row r="177" spans="12:18" x14ac:dyDescent="0.25">
      <c r="L177" t="str">
        <f t="shared" si="10"/>
        <v/>
      </c>
      <c r="M177" t="b">
        <f t="shared" si="11"/>
        <v>0</v>
      </c>
      <c r="N177" t="str">
        <f>IF(M177,IF(B177="Fe",_xludf.XLOOKUP(A177,'Standards Catalogue'!$A:$A,'Standards Catalogue'!$B:$B,""),IF(B177="P",_xludf.XLOOKUP(A177,'Standards Catalogue'!$A:$A,'Standards Catalogue'!$D:$D,""),IF(B177="S",_xludf.XLOOKUP(A177,'Standards Catalogue'!$A:$A,'Standards Catalogue'!$F:$F,""),""))),"")</f>
        <v/>
      </c>
      <c r="O177" t="str">
        <f>IF(M177,IF(B177="Fe",_xludf.XLOOKUP(A177,'Standards Catalogue'!$A:$A,'Standards Catalogue'!$C:$C,""),IF(B177="P",_xludf.XLOOKUP(A177,'Standards Catalogue'!$A:$A,'Standards Catalogue'!$E:$E,""),IF(B177="S",_xludf.XLOOKUP(A177,'Standards Catalogue'!$A:$A,'Standards Catalogue'!$G:$G,""),""))),"")</f>
        <v/>
      </c>
      <c r="P177" t="str">
        <f t="shared" si="12"/>
        <v/>
      </c>
      <c r="Q177" t="str">
        <f t="shared" si="13"/>
        <v/>
      </c>
      <c r="R177" t="str">
        <f t="shared" si="14"/>
        <v/>
      </c>
    </row>
    <row r="178" spans="12:18" x14ac:dyDescent="0.25">
      <c r="L178" t="str">
        <f t="shared" si="10"/>
        <v/>
      </c>
      <c r="M178" t="b">
        <f t="shared" si="11"/>
        <v>0</v>
      </c>
      <c r="N178" t="str">
        <f>IF(M178,IF(B178="Fe",_xludf.XLOOKUP(A178,'Standards Catalogue'!$A:$A,'Standards Catalogue'!$B:$B,""),IF(B178="P",_xludf.XLOOKUP(A178,'Standards Catalogue'!$A:$A,'Standards Catalogue'!$D:$D,""),IF(B178="S",_xludf.XLOOKUP(A178,'Standards Catalogue'!$A:$A,'Standards Catalogue'!$F:$F,""),""))),"")</f>
        <v/>
      </c>
      <c r="O178" t="str">
        <f>IF(M178,IF(B178="Fe",_xludf.XLOOKUP(A178,'Standards Catalogue'!$A:$A,'Standards Catalogue'!$C:$C,""),IF(B178="P",_xludf.XLOOKUP(A178,'Standards Catalogue'!$A:$A,'Standards Catalogue'!$E:$E,""),IF(B178="S",_xludf.XLOOKUP(A178,'Standards Catalogue'!$A:$A,'Standards Catalogue'!$G:$G,""),""))),"")</f>
        <v/>
      </c>
      <c r="P178" t="str">
        <f t="shared" si="12"/>
        <v/>
      </c>
      <c r="Q178" t="str">
        <f t="shared" si="13"/>
        <v/>
      </c>
      <c r="R178" t="str">
        <f t="shared" si="14"/>
        <v/>
      </c>
    </row>
    <row r="179" spans="12:18" x14ac:dyDescent="0.25">
      <c r="L179" t="str">
        <f t="shared" si="10"/>
        <v/>
      </c>
      <c r="M179" t="b">
        <f t="shared" si="11"/>
        <v>0</v>
      </c>
      <c r="N179" t="str">
        <f>IF(M179,IF(B179="Fe",_xludf.XLOOKUP(A179,'Standards Catalogue'!$A:$A,'Standards Catalogue'!$B:$B,""),IF(B179="P",_xludf.XLOOKUP(A179,'Standards Catalogue'!$A:$A,'Standards Catalogue'!$D:$D,""),IF(B179="S",_xludf.XLOOKUP(A179,'Standards Catalogue'!$A:$A,'Standards Catalogue'!$F:$F,""),""))),"")</f>
        <v/>
      </c>
      <c r="O179" t="str">
        <f>IF(M179,IF(B179="Fe",_xludf.XLOOKUP(A179,'Standards Catalogue'!$A:$A,'Standards Catalogue'!$C:$C,""),IF(B179="P",_xludf.XLOOKUP(A179,'Standards Catalogue'!$A:$A,'Standards Catalogue'!$E:$E,""),IF(B179="S",_xludf.XLOOKUP(A179,'Standards Catalogue'!$A:$A,'Standards Catalogue'!$G:$G,""),""))),"")</f>
        <v/>
      </c>
      <c r="P179" t="str">
        <f t="shared" si="12"/>
        <v/>
      </c>
      <c r="Q179" t="str">
        <f t="shared" si="13"/>
        <v/>
      </c>
      <c r="R179" t="str">
        <f t="shared" si="14"/>
        <v/>
      </c>
    </row>
    <row r="180" spans="12:18" x14ac:dyDescent="0.25">
      <c r="L180" t="str">
        <f t="shared" si="10"/>
        <v/>
      </c>
      <c r="M180" t="b">
        <f t="shared" si="11"/>
        <v>0</v>
      </c>
      <c r="N180" t="str">
        <f>IF(M180,IF(B180="Fe",_xludf.XLOOKUP(A180,'Standards Catalogue'!$A:$A,'Standards Catalogue'!$B:$B,""),IF(B180="P",_xludf.XLOOKUP(A180,'Standards Catalogue'!$A:$A,'Standards Catalogue'!$D:$D,""),IF(B180="S",_xludf.XLOOKUP(A180,'Standards Catalogue'!$A:$A,'Standards Catalogue'!$F:$F,""),""))),"")</f>
        <v/>
      </c>
      <c r="O180" t="str">
        <f>IF(M180,IF(B180="Fe",_xludf.XLOOKUP(A180,'Standards Catalogue'!$A:$A,'Standards Catalogue'!$C:$C,""),IF(B180="P",_xludf.XLOOKUP(A180,'Standards Catalogue'!$A:$A,'Standards Catalogue'!$E:$E,""),IF(B180="S",_xludf.XLOOKUP(A180,'Standards Catalogue'!$A:$A,'Standards Catalogue'!$G:$G,""),""))),"")</f>
        <v/>
      </c>
      <c r="P180" t="str">
        <f t="shared" si="12"/>
        <v/>
      </c>
      <c r="Q180" t="str">
        <f t="shared" si="13"/>
        <v/>
      </c>
      <c r="R180" t="str">
        <f t="shared" si="14"/>
        <v/>
      </c>
    </row>
    <row r="181" spans="12:18" x14ac:dyDescent="0.25">
      <c r="L181" t="str">
        <f t="shared" si="10"/>
        <v/>
      </c>
      <c r="M181" t="b">
        <f t="shared" si="11"/>
        <v>0</v>
      </c>
      <c r="N181" t="str">
        <f>IF(M181,IF(B181="Fe",_xludf.XLOOKUP(A181,'Standards Catalogue'!$A:$A,'Standards Catalogue'!$B:$B,""),IF(B181="P",_xludf.XLOOKUP(A181,'Standards Catalogue'!$A:$A,'Standards Catalogue'!$D:$D,""),IF(B181="S",_xludf.XLOOKUP(A181,'Standards Catalogue'!$A:$A,'Standards Catalogue'!$F:$F,""),""))),"")</f>
        <v/>
      </c>
      <c r="O181" t="str">
        <f>IF(M181,IF(B181="Fe",_xludf.XLOOKUP(A181,'Standards Catalogue'!$A:$A,'Standards Catalogue'!$C:$C,""),IF(B181="P",_xludf.XLOOKUP(A181,'Standards Catalogue'!$A:$A,'Standards Catalogue'!$E:$E,""),IF(B181="S",_xludf.XLOOKUP(A181,'Standards Catalogue'!$A:$A,'Standards Catalogue'!$G:$G,""),""))),"")</f>
        <v/>
      </c>
      <c r="P181" t="str">
        <f t="shared" si="12"/>
        <v/>
      </c>
      <c r="Q181" t="str">
        <f t="shared" si="13"/>
        <v/>
      </c>
      <c r="R181" t="str">
        <f t="shared" si="14"/>
        <v/>
      </c>
    </row>
    <row r="182" spans="12:18" x14ac:dyDescent="0.25">
      <c r="L182" t="str">
        <f t="shared" si="10"/>
        <v/>
      </c>
      <c r="M182" t="b">
        <f t="shared" si="11"/>
        <v>0</v>
      </c>
      <c r="N182" t="str">
        <f>IF(M182,IF(B182="Fe",_xludf.XLOOKUP(A182,'Standards Catalogue'!$A:$A,'Standards Catalogue'!$B:$B,""),IF(B182="P",_xludf.XLOOKUP(A182,'Standards Catalogue'!$A:$A,'Standards Catalogue'!$D:$D,""),IF(B182="S",_xludf.XLOOKUP(A182,'Standards Catalogue'!$A:$A,'Standards Catalogue'!$F:$F,""),""))),"")</f>
        <v/>
      </c>
      <c r="O182" t="str">
        <f>IF(M182,IF(B182="Fe",_xludf.XLOOKUP(A182,'Standards Catalogue'!$A:$A,'Standards Catalogue'!$C:$C,""),IF(B182="P",_xludf.XLOOKUP(A182,'Standards Catalogue'!$A:$A,'Standards Catalogue'!$E:$E,""),IF(B182="S",_xludf.XLOOKUP(A182,'Standards Catalogue'!$A:$A,'Standards Catalogue'!$G:$G,""),""))),"")</f>
        <v/>
      </c>
      <c r="P182" t="str">
        <f t="shared" si="12"/>
        <v/>
      </c>
      <c r="Q182" t="str">
        <f t="shared" si="13"/>
        <v/>
      </c>
      <c r="R182" t="str">
        <f t="shared" si="14"/>
        <v/>
      </c>
    </row>
    <row r="183" spans="12:18" x14ac:dyDescent="0.25">
      <c r="L183" t="str">
        <f t="shared" si="10"/>
        <v/>
      </c>
      <c r="M183" t="b">
        <f t="shared" si="11"/>
        <v>0</v>
      </c>
      <c r="N183" t="str">
        <f>IF(M183,IF(B183="Fe",_xludf.XLOOKUP(A183,'Standards Catalogue'!$A:$A,'Standards Catalogue'!$B:$B,""),IF(B183="P",_xludf.XLOOKUP(A183,'Standards Catalogue'!$A:$A,'Standards Catalogue'!$D:$D,""),IF(B183="S",_xludf.XLOOKUP(A183,'Standards Catalogue'!$A:$A,'Standards Catalogue'!$F:$F,""),""))),"")</f>
        <v/>
      </c>
      <c r="O183" t="str">
        <f>IF(M183,IF(B183="Fe",_xludf.XLOOKUP(A183,'Standards Catalogue'!$A:$A,'Standards Catalogue'!$C:$C,""),IF(B183="P",_xludf.XLOOKUP(A183,'Standards Catalogue'!$A:$A,'Standards Catalogue'!$E:$E,""),IF(B183="S",_xludf.XLOOKUP(A183,'Standards Catalogue'!$A:$A,'Standards Catalogue'!$G:$G,""),""))),"")</f>
        <v/>
      </c>
      <c r="P183" t="str">
        <f t="shared" si="12"/>
        <v/>
      </c>
      <c r="Q183" t="str">
        <f t="shared" si="13"/>
        <v/>
      </c>
      <c r="R183" t="str">
        <f t="shared" si="14"/>
        <v/>
      </c>
    </row>
    <row r="184" spans="12:18" x14ac:dyDescent="0.25">
      <c r="L184" t="str">
        <f t="shared" si="10"/>
        <v/>
      </c>
      <c r="M184" t="b">
        <f t="shared" si="11"/>
        <v>0</v>
      </c>
      <c r="N184" t="str">
        <f>IF(M184,IF(B184="Fe",_xludf.XLOOKUP(A184,'Standards Catalogue'!$A:$A,'Standards Catalogue'!$B:$B,""),IF(B184="P",_xludf.XLOOKUP(A184,'Standards Catalogue'!$A:$A,'Standards Catalogue'!$D:$D,""),IF(B184="S",_xludf.XLOOKUP(A184,'Standards Catalogue'!$A:$A,'Standards Catalogue'!$F:$F,""),""))),"")</f>
        <v/>
      </c>
      <c r="O184" t="str">
        <f>IF(M184,IF(B184="Fe",_xludf.XLOOKUP(A184,'Standards Catalogue'!$A:$A,'Standards Catalogue'!$C:$C,""),IF(B184="P",_xludf.XLOOKUP(A184,'Standards Catalogue'!$A:$A,'Standards Catalogue'!$E:$E,""),IF(B184="S",_xludf.XLOOKUP(A184,'Standards Catalogue'!$A:$A,'Standards Catalogue'!$G:$G,""),""))),"")</f>
        <v/>
      </c>
      <c r="P184" t="str">
        <f t="shared" si="12"/>
        <v/>
      </c>
      <c r="Q184" t="str">
        <f t="shared" si="13"/>
        <v/>
      </c>
      <c r="R184" t="str">
        <f t="shared" si="14"/>
        <v/>
      </c>
    </row>
    <row r="185" spans="12:18" x14ac:dyDescent="0.25">
      <c r="L185" t="str">
        <f t="shared" si="10"/>
        <v/>
      </c>
      <c r="M185" t="b">
        <f t="shared" si="11"/>
        <v>0</v>
      </c>
      <c r="N185" t="str">
        <f>IF(M185,IF(B185="Fe",_xludf.XLOOKUP(A185,'Standards Catalogue'!$A:$A,'Standards Catalogue'!$B:$B,""),IF(B185="P",_xludf.XLOOKUP(A185,'Standards Catalogue'!$A:$A,'Standards Catalogue'!$D:$D,""),IF(B185="S",_xludf.XLOOKUP(A185,'Standards Catalogue'!$A:$A,'Standards Catalogue'!$F:$F,""),""))),"")</f>
        <v/>
      </c>
      <c r="O185" t="str">
        <f>IF(M185,IF(B185="Fe",_xludf.XLOOKUP(A185,'Standards Catalogue'!$A:$A,'Standards Catalogue'!$C:$C,""),IF(B185="P",_xludf.XLOOKUP(A185,'Standards Catalogue'!$A:$A,'Standards Catalogue'!$E:$E,""),IF(B185="S",_xludf.XLOOKUP(A185,'Standards Catalogue'!$A:$A,'Standards Catalogue'!$G:$G,""),""))),"")</f>
        <v/>
      </c>
      <c r="P185" t="str">
        <f t="shared" si="12"/>
        <v/>
      </c>
      <c r="Q185" t="str">
        <f t="shared" si="13"/>
        <v/>
      </c>
      <c r="R185" t="str">
        <f t="shared" si="14"/>
        <v/>
      </c>
    </row>
    <row r="186" spans="12:18" x14ac:dyDescent="0.25">
      <c r="L186" t="str">
        <f t="shared" si="10"/>
        <v/>
      </c>
      <c r="M186" t="b">
        <f t="shared" si="11"/>
        <v>0</v>
      </c>
      <c r="N186" t="str">
        <f>IF(M186,IF(B186="Fe",_xludf.XLOOKUP(A186,'Standards Catalogue'!$A:$A,'Standards Catalogue'!$B:$B,""),IF(B186="P",_xludf.XLOOKUP(A186,'Standards Catalogue'!$A:$A,'Standards Catalogue'!$D:$D,""),IF(B186="S",_xludf.XLOOKUP(A186,'Standards Catalogue'!$A:$A,'Standards Catalogue'!$F:$F,""),""))),"")</f>
        <v/>
      </c>
      <c r="O186" t="str">
        <f>IF(M186,IF(B186="Fe",_xludf.XLOOKUP(A186,'Standards Catalogue'!$A:$A,'Standards Catalogue'!$C:$C,""),IF(B186="P",_xludf.XLOOKUP(A186,'Standards Catalogue'!$A:$A,'Standards Catalogue'!$E:$E,""),IF(B186="S",_xludf.XLOOKUP(A186,'Standards Catalogue'!$A:$A,'Standards Catalogue'!$G:$G,""),""))),"")</f>
        <v/>
      </c>
      <c r="P186" t="str">
        <f t="shared" si="12"/>
        <v/>
      </c>
      <c r="Q186" t="str">
        <f t="shared" si="13"/>
        <v/>
      </c>
      <c r="R186" t="str">
        <f t="shared" si="14"/>
        <v/>
      </c>
    </row>
    <row r="187" spans="12:18" x14ac:dyDescent="0.25">
      <c r="L187" t="str">
        <f t="shared" si="10"/>
        <v/>
      </c>
      <c r="M187" t="b">
        <f t="shared" si="11"/>
        <v>0</v>
      </c>
      <c r="N187" t="str">
        <f>IF(M187,IF(B187="Fe",_xludf.XLOOKUP(A187,'Standards Catalogue'!$A:$A,'Standards Catalogue'!$B:$B,""),IF(B187="P",_xludf.XLOOKUP(A187,'Standards Catalogue'!$A:$A,'Standards Catalogue'!$D:$D,""),IF(B187="S",_xludf.XLOOKUP(A187,'Standards Catalogue'!$A:$A,'Standards Catalogue'!$F:$F,""),""))),"")</f>
        <v/>
      </c>
      <c r="O187" t="str">
        <f>IF(M187,IF(B187="Fe",_xludf.XLOOKUP(A187,'Standards Catalogue'!$A:$A,'Standards Catalogue'!$C:$C,""),IF(B187="P",_xludf.XLOOKUP(A187,'Standards Catalogue'!$A:$A,'Standards Catalogue'!$E:$E,""),IF(B187="S",_xludf.XLOOKUP(A187,'Standards Catalogue'!$A:$A,'Standards Catalogue'!$G:$G,""),""))),"")</f>
        <v/>
      </c>
      <c r="P187" t="str">
        <f t="shared" si="12"/>
        <v/>
      </c>
      <c r="Q187" t="str">
        <f t="shared" si="13"/>
        <v/>
      </c>
      <c r="R187" t="str">
        <f t="shared" si="14"/>
        <v/>
      </c>
    </row>
    <row r="188" spans="12:18" x14ac:dyDescent="0.25">
      <c r="L188" t="str">
        <f t="shared" si="10"/>
        <v/>
      </c>
      <c r="M188" t="b">
        <f t="shared" si="11"/>
        <v>0</v>
      </c>
      <c r="N188" t="str">
        <f>IF(M188,IF(B188="Fe",_xludf.XLOOKUP(A188,'Standards Catalogue'!$A:$A,'Standards Catalogue'!$B:$B,""),IF(B188="P",_xludf.XLOOKUP(A188,'Standards Catalogue'!$A:$A,'Standards Catalogue'!$D:$D,""),IF(B188="S",_xludf.XLOOKUP(A188,'Standards Catalogue'!$A:$A,'Standards Catalogue'!$F:$F,""),""))),"")</f>
        <v/>
      </c>
      <c r="O188" t="str">
        <f>IF(M188,IF(B188="Fe",_xludf.XLOOKUP(A188,'Standards Catalogue'!$A:$A,'Standards Catalogue'!$C:$C,""),IF(B188="P",_xludf.XLOOKUP(A188,'Standards Catalogue'!$A:$A,'Standards Catalogue'!$E:$E,""),IF(B188="S",_xludf.XLOOKUP(A188,'Standards Catalogue'!$A:$A,'Standards Catalogue'!$G:$G,""),""))),"")</f>
        <v/>
      </c>
      <c r="P188" t="str">
        <f t="shared" si="12"/>
        <v/>
      </c>
      <c r="Q188" t="str">
        <f t="shared" si="13"/>
        <v/>
      </c>
      <c r="R188" t="str">
        <f t="shared" si="14"/>
        <v/>
      </c>
    </row>
    <row r="189" spans="12:18" x14ac:dyDescent="0.25">
      <c r="L189" t="str">
        <f t="shared" si="10"/>
        <v/>
      </c>
      <c r="M189" t="b">
        <f t="shared" si="11"/>
        <v>0</v>
      </c>
      <c r="N189" t="str">
        <f>IF(M189,IF(B189="Fe",_xludf.XLOOKUP(A189,'Standards Catalogue'!$A:$A,'Standards Catalogue'!$B:$B,""),IF(B189="P",_xludf.XLOOKUP(A189,'Standards Catalogue'!$A:$A,'Standards Catalogue'!$D:$D,""),IF(B189="S",_xludf.XLOOKUP(A189,'Standards Catalogue'!$A:$A,'Standards Catalogue'!$F:$F,""),""))),"")</f>
        <v/>
      </c>
      <c r="O189" t="str">
        <f>IF(M189,IF(B189="Fe",_xludf.XLOOKUP(A189,'Standards Catalogue'!$A:$A,'Standards Catalogue'!$C:$C,""),IF(B189="P",_xludf.XLOOKUP(A189,'Standards Catalogue'!$A:$A,'Standards Catalogue'!$E:$E,""),IF(B189="S",_xludf.XLOOKUP(A189,'Standards Catalogue'!$A:$A,'Standards Catalogue'!$G:$G,""),""))),"")</f>
        <v/>
      </c>
      <c r="P189" t="str">
        <f t="shared" si="12"/>
        <v/>
      </c>
      <c r="Q189" t="str">
        <f t="shared" si="13"/>
        <v/>
      </c>
      <c r="R189" t="str">
        <f t="shared" si="14"/>
        <v/>
      </c>
    </row>
    <row r="190" spans="12:18" x14ac:dyDescent="0.25">
      <c r="L190" t="str">
        <f t="shared" si="10"/>
        <v/>
      </c>
      <c r="M190" t="b">
        <f t="shared" si="11"/>
        <v>0</v>
      </c>
      <c r="N190" t="str">
        <f>IF(M190,IF(B190="Fe",_xludf.XLOOKUP(A190,'Standards Catalogue'!$A:$A,'Standards Catalogue'!$B:$B,""),IF(B190="P",_xludf.XLOOKUP(A190,'Standards Catalogue'!$A:$A,'Standards Catalogue'!$D:$D,""),IF(B190="S",_xludf.XLOOKUP(A190,'Standards Catalogue'!$A:$A,'Standards Catalogue'!$F:$F,""),""))),"")</f>
        <v/>
      </c>
      <c r="O190" t="str">
        <f>IF(M190,IF(B190="Fe",_xludf.XLOOKUP(A190,'Standards Catalogue'!$A:$A,'Standards Catalogue'!$C:$C,""),IF(B190="P",_xludf.XLOOKUP(A190,'Standards Catalogue'!$A:$A,'Standards Catalogue'!$E:$E,""),IF(B190="S",_xludf.XLOOKUP(A190,'Standards Catalogue'!$A:$A,'Standards Catalogue'!$G:$G,""),""))),"")</f>
        <v/>
      </c>
      <c r="P190" t="str">
        <f t="shared" si="12"/>
        <v/>
      </c>
      <c r="Q190" t="str">
        <f t="shared" si="13"/>
        <v/>
      </c>
      <c r="R190" t="str">
        <f t="shared" si="14"/>
        <v/>
      </c>
    </row>
    <row r="191" spans="12:18" x14ac:dyDescent="0.25">
      <c r="L191" t="str">
        <f t="shared" si="10"/>
        <v/>
      </c>
      <c r="M191" t="b">
        <f t="shared" si="11"/>
        <v>0</v>
      </c>
      <c r="N191" t="str">
        <f>IF(M191,IF(B191="Fe",_xludf.XLOOKUP(A191,'Standards Catalogue'!$A:$A,'Standards Catalogue'!$B:$B,""),IF(B191="P",_xludf.XLOOKUP(A191,'Standards Catalogue'!$A:$A,'Standards Catalogue'!$D:$D,""),IF(B191="S",_xludf.XLOOKUP(A191,'Standards Catalogue'!$A:$A,'Standards Catalogue'!$F:$F,""),""))),"")</f>
        <v/>
      </c>
      <c r="O191" t="str">
        <f>IF(M191,IF(B191="Fe",_xludf.XLOOKUP(A191,'Standards Catalogue'!$A:$A,'Standards Catalogue'!$C:$C,""),IF(B191="P",_xludf.XLOOKUP(A191,'Standards Catalogue'!$A:$A,'Standards Catalogue'!$E:$E,""),IF(B191="S",_xludf.XLOOKUP(A191,'Standards Catalogue'!$A:$A,'Standards Catalogue'!$G:$G,""),""))),"")</f>
        <v/>
      </c>
      <c r="P191" t="str">
        <f t="shared" si="12"/>
        <v/>
      </c>
      <c r="Q191" t="str">
        <f t="shared" si="13"/>
        <v/>
      </c>
      <c r="R191" t="str">
        <f t="shared" si="14"/>
        <v/>
      </c>
    </row>
    <row r="192" spans="12:18" x14ac:dyDescent="0.25">
      <c r="L192" t="str">
        <f t="shared" si="10"/>
        <v/>
      </c>
      <c r="M192" t="b">
        <f t="shared" si="11"/>
        <v>0</v>
      </c>
      <c r="N192" t="str">
        <f>IF(M192,IF(B192="Fe",_xludf.XLOOKUP(A192,'Standards Catalogue'!$A:$A,'Standards Catalogue'!$B:$B,""),IF(B192="P",_xludf.XLOOKUP(A192,'Standards Catalogue'!$A:$A,'Standards Catalogue'!$D:$D,""),IF(B192="S",_xludf.XLOOKUP(A192,'Standards Catalogue'!$A:$A,'Standards Catalogue'!$F:$F,""),""))),"")</f>
        <v/>
      </c>
      <c r="O192" t="str">
        <f>IF(M192,IF(B192="Fe",_xludf.XLOOKUP(A192,'Standards Catalogue'!$A:$A,'Standards Catalogue'!$C:$C,""),IF(B192="P",_xludf.XLOOKUP(A192,'Standards Catalogue'!$A:$A,'Standards Catalogue'!$E:$E,""),IF(B192="S",_xludf.XLOOKUP(A192,'Standards Catalogue'!$A:$A,'Standards Catalogue'!$G:$G,""),""))),"")</f>
        <v/>
      </c>
      <c r="P192" t="str">
        <f t="shared" si="12"/>
        <v/>
      </c>
      <c r="Q192" t="str">
        <f t="shared" si="13"/>
        <v/>
      </c>
      <c r="R192" t="str">
        <f t="shared" si="14"/>
        <v/>
      </c>
    </row>
    <row r="193" spans="12:18" x14ac:dyDescent="0.25">
      <c r="L193" t="str">
        <f t="shared" si="10"/>
        <v/>
      </c>
      <c r="M193" t="b">
        <f t="shared" si="11"/>
        <v>0</v>
      </c>
      <c r="N193" t="str">
        <f>IF(M193,IF(B193="Fe",_xludf.XLOOKUP(A193,'Standards Catalogue'!$A:$A,'Standards Catalogue'!$B:$B,""),IF(B193="P",_xludf.XLOOKUP(A193,'Standards Catalogue'!$A:$A,'Standards Catalogue'!$D:$D,""),IF(B193="S",_xludf.XLOOKUP(A193,'Standards Catalogue'!$A:$A,'Standards Catalogue'!$F:$F,""),""))),"")</f>
        <v/>
      </c>
      <c r="O193" t="str">
        <f>IF(M193,IF(B193="Fe",_xludf.XLOOKUP(A193,'Standards Catalogue'!$A:$A,'Standards Catalogue'!$C:$C,""),IF(B193="P",_xludf.XLOOKUP(A193,'Standards Catalogue'!$A:$A,'Standards Catalogue'!$E:$E,""),IF(B193="S",_xludf.XLOOKUP(A193,'Standards Catalogue'!$A:$A,'Standards Catalogue'!$G:$G,""),""))),"")</f>
        <v/>
      </c>
      <c r="P193" t="str">
        <f t="shared" si="12"/>
        <v/>
      </c>
      <c r="Q193" t="str">
        <f t="shared" si="13"/>
        <v/>
      </c>
      <c r="R193" t="str">
        <f t="shared" si="14"/>
        <v/>
      </c>
    </row>
    <row r="194" spans="12:18" x14ac:dyDescent="0.25">
      <c r="L194" t="str">
        <f t="shared" ref="L194:L257" si="15">IF(AND(A194&lt;&gt;"",B194&lt;&gt;""),A194&amp;"|"&amp;B194,"")</f>
        <v/>
      </c>
      <c r="M194" t="b">
        <f t="shared" ref="M194:M257" si="16">IF(COUNTIF(STANDARDS_IDS,A194)&gt;0,TRUE,FALSE)</f>
        <v>0</v>
      </c>
      <c r="N194" t="str">
        <f>IF(M194,IF(B194="Fe",_xludf.XLOOKUP(A194,'Standards Catalogue'!$A:$A,'Standards Catalogue'!$B:$B,""),IF(B194="P",_xludf.XLOOKUP(A194,'Standards Catalogue'!$A:$A,'Standards Catalogue'!$D:$D,""),IF(B194="S",_xludf.XLOOKUP(A194,'Standards Catalogue'!$A:$A,'Standards Catalogue'!$F:$F,""),""))),"")</f>
        <v/>
      </c>
      <c r="O194" t="str">
        <f>IF(M194,IF(B194="Fe",_xludf.XLOOKUP(A194,'Standards Catalogue'!$A:$A,'Standards Catalogue'!$C:$C,""),IF(B194="P",_xludf.XLOOKUP(A194,'Standards Catalogue'!$A:$A,'Standards Catalogue'!$E:$E,""),IF(B194="S",_xludf.XLOOKUP(A194,'Standards Catalogue'!$A:$A,'Standards Catalogue'!$G:$G,""),""))),"")</f>
        <v/>
      </c>
      <c r="P194" t="str">
        <f t="shared" ref="P194:P257" si="17">IF(M194,N194-2*O194,"")</f>
        <v/>
      </c>
      <c r="Q194" t="str">
        <f t="shared" ref="Q194:Q257" si="18">IF(M194,N194+2*O194,"")</f>
        <v/>
      </c>
      <c r="R194" t="str">
        <f t="shared" ref="R194:R257" si="19">IF(M194,IF(OR(C194="",N194="",O194=""),"",IF(AND(C194&gt;=P194,C194&lt;=Q194),"PASS","FAIL")),"")</f>
        <v/>
      </c>
    </row>
    <row r="195" spans="12:18" x14ac:dyDescent="0.25">
      <c r="L195" t="str">
        <f t="shared" si="15"/>
        <v/>
      </c>
      <c r="M195" t="b">
        <f t="shared" si="16"/>
        <v>0</v>
      </c>
      <c r="N195" t="str">
        <f>IF(M195,IF(B195="Fe",_xludf.XLOOKUP(A195,'Standards Catalogue'!$A:$A,'Standards Catalogue'!$B:$B,""),IF(B195="P",_xludf.XLOOKUP(A195,'Standards Catalogue'!$A:$A,'Standards Catalogue'!$D:$D,""),IF(B195="S",_xludf.XLOOKUP(A195,'Standards Catalogue'!$A:$A,'Standards Catalogue'!$F:$F,""),""))),"")</f>
        <v/>
      </c>
      <c r="O195" t="str">
        <f>IF(M195,IF(B195="Fe",_xludf.XLOOKUP(A195,'Standards Catalogue'!$A:$A,'Standards Catalogue'!$C:$C,""),IF(B195="P",_xludf.XLOOKUP(A195,'Standards Catalogue'!$A:$A,'Standards Catalogue'!$E:$E,""),IF(B195="S",_xludf.XLOOKUP(A195,'Standards Catalogue'!$A:$A,'Standards Catalogue'!$G:$G,""),""))),"")</f>
        <v/>
      </c>
      <c r="P195" t="str">
        <f t="shared" si="17"/>
        <v/>
      </c>
      <c r="Q195" t="str">
        <f t="shared" si="18"/>
        <v/>
      </c>
      <c r="R195" t="str">
        <f t="shared" si="19"/>
        <v/>
      </c>
    </row>
    <row r="196" spans="12:18" x14ac:dyDescent="0.25">
      <c r="L196" t="str">
        <f t="shared" si="15"/>
        <v/>
      </c>
      <c r="M196" t="b">
        <f t="shared" si="16"/>
        <v>0</v>
      </c>
      <c r="N196" t="str">
        <f>IF(M196,IF(B196="Fe",_xludf.XLOOKUP(A196,'Standards Catalogue'!$A:$A,'Standards Catalogue'!$B:$B,""),IF(B196="P",_xludf.XLOOKUP(A196,'Standards Catalogue'!$A:$A,'Standards Catalogue'!$D:$D,""),IF(B196="S",_xludf.XLOOKUP(A196,'Standards Catalogue'!$A:$A,'Standards Catalogue'!$F:$F,""),""))),"")</f>
        <v/>
      </c>
      <c r="O196" t="str">
        <f>IF(M196,IF(B196="Fe",_xludf.XLOOKUP(A196,'Standards Catalogue'!$A:$A,'Standards Catalogue'!$C:$C,""),IF(B196="P",_xludf.XLOOKUP(A196,'Standards Catalogue'!$A:$A,'Standards Catalogue'!$E:$E,""),IF(B196="S",_xludf.XLOOKUP(A196,'Standards Catalogue'!$A:$A,'Standards Catalogue'!$G:$G,""),""))),"")</f>
        <v/>
      </c>
      <c r="P196" t="str">
        <f t="shared" si="17"/>
        <v/>
      </c>
      <c r="Q196" t="str">
        <f t="shared" si="18"/>
        <v/>
      </c>
      <c r="R196" t="str">
        <f t="shared" si="19"/>
        <v/>
      </c>
    </row>
    <row r="197" spans="12:18" x14ac:dyDescent="0.25">
      <c r="L197" t="str">
        <f t="shared" si="15"/>
        <v/>
      </c>
      <c r="M197" t="b">
        <f t="shared" si="16"/>
        <v>0</v>
      </c>
      <c r="N197" t="str">
        <f>IF(M197,IF(B197="Fe",_xludf.XLOOKUP(A197,'Standards Catalogue'!$A:$A,'Standards Catalogue'!$B:$B,""),IF(B197="P",_xludf.XLOOKUP(A197,'Standards Catalogue'!$A:$A,'Standards Catalogue'!$D:$D,""),IF(B197="S",_xludf.XLOOKUP(A197,'Standards Catalogue'!$A:$A,'Standards Catalogue'!$F:$F,""),""))),"")</f>
        <v/>
      </c>
      <c r="O197" t="str">
        <f>IF(M197,IF(B197="Fe",_xludf.XLOOKUP(A197,'Standards Catalogue'!$A:$A,'Standards Catalogue'!$C:$C,""),IF(B197="P",_xludf.XLOOKUP(A197,'Standards Catalogue'!$A:$A,'Standards Catalogue'!$E:$E,""),IF(B197="S",_xludf.XLOOKUP(A197,'Standards Catalogue'!$A:$A,'Standards Catalogue'!$G:$G,""),""))),"")</f>
        <v/>
      </c>
      <c r="P197" t="str">
        <f t="shared" si="17"/>
        <v/>
      </c>
      <c r="Q197" t="str">
        <f t="shared" si="18"/>
        <v/>
      </c>
      <c r="R197" t="str">
        <f t="shared" si="19"/>
        <v/>
      </c>
    </row>
    <row r="198" spans="12:18" x14ac:dyDescent="0.25">
      <c r="L198" t="str">
        <f t="shared" si="15"/>
        <v/>
      </c>
      <c r="M198" t="b">
        <f t="shared" si="16"/>
        <v>0</v>
      </c>
      <c r="N198" t="str">
        <f>IF(M198,IF(B198="Fe",_xludf.XLOOKUP(A198,'Standards Catalogue'!$A:$A,'Standards Catalogue'!$B:$B,""),IF(B198="P",_xludf.XLOOKUP(A198,'Standards Catalogue'!$A:$A,'Standards Catalogue'!$D:$D,""),IF(B198="S",_xludf.XLOOKUP(A198,'Standards Catalogue'!$A:$A,'Standards Catalogue'!$F:$F,""),""))),"")</f>
        <v/>
      </c>
      <c r="O198" t="str">
        <f>IF(M198,IF(B198="Fe",_xludf.XLOOKUP(A198,'Standards Catalogue'!$A:$A,'Standards Catalogue'!$C:$C,""),IF(B198="P",_xludf.XLOOKUP(A198,'Standards Catalogue'!$A:$A,'Standards Catalogue'!$E:$E,""),IF(B198="S",_xludf.XLOOKUP(A198,'Standards Catalogue'!$A:$A,'Standards Catalogue'!$G:$G,""),""))),"")</f>
        <v/>
      </c>
      <c r="P198" t="str">
        <f t="shared" si="17"/>
        <v/>
      </c>
      <c r="Q198" t="str">
        <f t="shared" si="18"/>
        <v/>
      </c>
      <c r="R198" t="str">
        <f t="shared" si="19"/>
        <v/>
      </c>
    </row>
    <row r="199" spans="12:18" x14ac:dyDescent="0.25">
      <c r="L199" t="str">
        <f t="shared" si="15"/>
        <v/>
      </c>
      <c r="M199" t="b">
        <f t="shared" si="16"/>
        <v>0</v>
      </c>
      <c r="N199" t="str">
        <f>IF(M199,IF(B199="Fe",_xludf.XLOOKUP(A199,'Standards Catalogue'!$A:$A,'Standards Catalogue'!$B:$B,""),IF(B199="P",_xludf.XLOOKUP(A199,'Standards Catalogue'!$A:$A,'Standards Catalogue'!$D:$D,""),IF(B199="S",_xludf.XLOOKUP(A199,'Standards Catalogue'!$A:$A,'Standards Catalogue'!$F:$F,""),""))),"")</f>
        <v/>
      </c>
      <c r="O199" t="str">
        <f>IF(M199,IF(B199="Fe",_xludf.XLOOKUP(A199,'Standards Catalogue'!$A:$A,'Standards Catalogue'!$C:$C,""),IF(B199="P",_xludf.XLOOKUP(A199,'Standards Catalogue'!$A:$A,'Standards Catalogue'!$E:$E,""),IF(B199="S",_xludf.XLOOKUP(A199,'Standards Catalogue'!$A:$A,'Standards Catalogue'!$G:$G,""),""))),"")</f>
        <v/>
      </c>
      <c r="P199" t="str">
        <f t="shared" si="17"/>
        <v/>
      </c>
      <c r="Q199" t="str">
        <f t="shared" si="18"/>
        <v/>
      </c>
      <c r="R199" t="str">
        <f t="shared" si="19"/>
        <v/>
      </c>
    </row>
    <row r="200" spans="12:18" x14ac:dyDescent="0.25">
      <c r="L200" t="str">
        <f t="shared" si="15"/>
        <v/>
      </c>
      <c r="M200" t="b">
        <f t="shared" si="16"/>
        <v>0</v>
      </c>
      <c r="N200" t="str">
        <f>IF(M200,IF(B200="Fe",_xludf.XLOOKUP(A200,'Standards Catalogue'!$A:$A,'Standards Catalogue'!$B:$B,""),IF(B200="P",_xludf.XLOOKUP(A200,'Standards Catalogue'!$A:$A,'Standards Catalogue'!$D:$D,""),IF(B200="S",_xludf.XLOOKUP(A200,'Standards Catalogue'!$A:$A,'Standards Catalogue'!$F:$F,""),""))),"")</f>
        <v/>
      </c>
      <c r="O200" t="str">
        <f>IF(M200,IF(B200="Fe",_xludf.XLOOKUP(A200,'Standards Catalogue'!$A:$A,'Standards Catalogue'!$C:$C,""),IF(B200="P",_xludf.XLOOKUP(A200,'Standards Catalogue'!$A:$A,'Standards Catalogue'!$E:$E,""),IF(B200="S",_xludf.XLOOKUP(A200,'Standards Catalogue'!$A:$A,'Standards Catalogue'!$G:$G,""),""))),"")</f>
        <v/>
      </c>
      <c r="P200" t="str">
        <f t="shared" si="17"/>
        <v/>
      </c>
      <c r="Q200" t="str">
        <f t="shared" si="18"/>
        <v/>
      </c>
      <c r="R200" t="str">
        <f t="shared" si="19"/>
        <v/>
      </c>
    </row>
    <row r="201" spans="12:18" x14ac:dyDescent="0.25">
      <c r="L201" t="str">
        <f t="shared" si="15"/>
        <v/>
      </c>
      <c r="M201" t="b">
        <f t="shared" si="16"/>
        <v>0</v>
      </c>
      <c r="N201" t="str">
        <f>IF(M201,IF(B201="Fe",_xludf.XLOOKUP(A201,'Standards Catalogue'!$A:$A,'Standards Catalogue'!$B:$B,""),IF(B201="P",_xludf.XLOOKUP(A201,'Standards Catalogue'!$A:$A,'Standards Catalogue'!$D:$D,""),IF(B201="S",_xludf.XLOOKUP(A201,'Standards Catalogue'!$A:$A,'Standards Catalogue'!$F:$F,""),""))),"")</f>
        <v/>
      </c>
      <c r="O201" t="str">
        <f>IF(M201,IF(B201="Fe",_xludf.XLOOKUP(A201,'Standards Catalogue'!$A:$A,'Standards Catalogue'!$C:$C,""),IF(B201="P",_xludf.XLOOKUP(A201,'Standards Catalogue'!$A:$A,'Standards Catalogue'!$E:$E,""),IF(B201="S",_xludf.XLOOKUP(A201,'Standards Catalogue'!$A:$A,'Standards Catalogue'!$G:$G,""),""))),"")</f>
        <v/>
      </c>
      <c r="P201" t="str">
        <f t="shared" si="17"/>
        <v/>
      </c>
      <c r="Q201" t="str">
        <f t="shared" si="18"/>
        <v/>
      </c>
      <c r="R201" t="str">
        <f t="shared" si="19"/>
        <v/>
      </c>
    </row>
    <row r="202" spans="12:18" x14ac:dyDescent="0.25">
      <c r="L202" t="str">
        <f t="shared" si="15"/>
        <v/>
      </c>
      <c r="M202" t="b">
        <f t="shared" si="16"/>
        <v>0</v>
      </c>
      <c r="N202" t="str">
        <f>IF(M202,IF(B202="Fe",_xludf.XLOOKUP(A202,'Standards Catalogue'!$A:$A,'Standards Catalogue'!$B:$B,""),IF(B202="P",_xludf.XLOOKUP(A202,'Standards Catalogue'!$A:$A,'Standards Catalogue'!$D:$D,""),IF(B202="S",_xludf.XLOOKUP(A202,'Standards Catalogue'!$A:$A,'Standards Catalogue'!$F:$F,""),""))),"")</f>
        <v/>
      </c>
      <c r="O202" t="str">
        <f>IF(M202,IF(B202="Fe",_xludf.XLOOKUP(A202,'Standards Catalogue'!$A:$A,'Standards Catalogue'!$C:$C,""),IF(B202="P",_xludf.XLOOKUP(A202,'Standards Catalogue'!$A:$A,'Standards Catalogue'!$E:$E,""),IF(B202="S",_xludf.XLOOKUP(A202,'Standards Catalogue'!$A:$A,'Standards Catalogue'!$G:$G,""),""))),"")</f>
        <v/>
      </c>
      <c r="P202" t="str">
        <f t="shared" si="17"/>
        <v/>
      </c>
      <c r="Q202" t="str">
        <f t="shared" si="18"/>
        <v/>
      </c>
      <c r="R202" t="str">
        <f t="shared" si="19"/>
        <v/>
      </c>
    </row>
    <row r="203" spans="12:18" x14ac:dyDescent="0.25">
      <c r="L203" t="str">
        <f t="shared" si="15"/>
        <v/>
      </c>
      <c r="M203" t="b">
        <f t="shared" si="16"/>
        <v>0</v>
      </c>
      <c r="N203" t="str">
        <f>IF(M203,IF(B203="Fe",_xludf.XLOOKUP(A203,'Standards Catalogue'!$A:$A,'Standards Catalogue'!$B:$B,""),IF(B203="P",_xludf.XLOOKUP(A203,'Standards Catalogue'!$A:$A,'Standards Catalogue'!$D:$D,""),IF(B203="S",_xludf.XLOOKUP(A203,'Standards Catalogue'!$A:$A,'Standards Catalogue'!$F:$F,""),""))),"")</f>
        <v/>
      </c>
      <c r="O203" t="str">
        <f>IF(M203,IF(B203="Fe",_xludf.XLOOKUP(A203,'Standards Catalogue'!$A:$A,'Standards Catalogue'!$C:$C,""),IF(B203="P",_xludf.XLOOKUP(A203,'Standards Catalogue'!$A:$A,'Standards Catalogue'!$E:$E,""),IF(B203="S",_xludf.XLOOKUP(A203,'Standards Catalogue'!$A:$A,'Standards Catalogue'!$G:$G,""),""))),"")</f>
        <v/>
      </c>
      <c r="P203" t="str">
        <f t="shared" si="17"/>
        <v/>
      </c>
      <c r="Q203" t="str">
        <f t="shared" si="18"/>
        <v/>
      </c>
      <c r="R203" t="str">
        <f t="shared" si="19"/>
        <v/>
      </c>
    </row>
    <row r="204" spans="12:18" x14ac:dyDescent="0.25">
      <c r="L204" t="str">
        <f t="shared" si="15"/>
        <v/>
      </c>
      <c r="M204" t="b">
        <f t="shared" si="16"/>
        <v>0</v>
      </c>
      <c r="N204" t="str">
        <f>IF(M204,IF(B204="Fe",_xludf.XLOOKUP(A204,'Standards Catalogue'!$A:$A,'Standards Catalogue'!$B:$B,""),IF(B204="P",_xludf.XLOOKUP(A204,'Standards Catalogue'!$A:$A,'Standards Catalogue'!$D:$D,""),IF(B204="S",_xludf.XLOOKUP(A204,'Standards Catalogue'!$A:$A,'Standards Catalogue'!$F:$F,""),""))),"")</f>
        <v/>
      </c>
      <c r="O204" t="str">
        <f>IF(M204,IF(B204="Fe",_xludf.XLOOKUP(A204,'Standards Catalogue'!$A:$A,'Standards Catalogue'!$C:$C,""),IF(B204="P",_xludf.XLOOKUP(A204,'Standards Catalogue'!$A:$A,'Standards Catalogue'!$E:$E,""),IF(B204="S",_xludf.XLOOKUP(A204,'Standards Catalogue'!$A:$A,'Standards Catalogue'!$G:$G,""),""))),"")</f>
        <v/>
      </c>
      <c r="P204" t="str">
        <f t="shared" si="17"/>
        <v/>
      </c>
      <c r="Q204" t="str">
        <f t="shared" si="18"/>
        <v/>
      </c>
      <c r="R204" t="str">
        <f t="shared" si="19"/>
        <v/>
      </c>
    </row>
    <row r="205" spans="12:18" x14ac:dyDescent="0.25">
      <c r="L205" t="str">
        <f t="shared" si="15"/>
        <v/>
      </c>
      <c r="M205" t="b">
        <f t="shared" si="16"/>
        <v>0</v>
      </c>
      <c r="N205" t="str">
        <f>IF(M205,IF(B205="Fe",_xludf.XLOOKUP(A205,'Standards Catalogue'!$A:$A,'Standards Catalogue'!$B:$B,""),IF(B205="P",_xludf.XLOOKUP(A205,'Standards Catalogue'!$A:$A,'Standards Catalogue'!$D:$D,""),IF(B205="S",_xludf.XLOOKUP(A205,'Standards Catalogue'!$A:$A,'Standards Catalogue'!$F:$F,""),""))),"")</f>
        <v/>
      </c>
      <c r="O205" t="str">
        <f>IF(M205,IF(B205="Fe",_xludf.XLOOKUP(A205,'Standards Catalogue'!$A:$A,'Standards Catalogue'!$C:$C,""),IF(B205="P",_xludf.XLOOKUP(A205,'Standards Catalogue'!$A:$A,'Standards Catalogue'!$E:$E,""),IF(B205="S",_xludf.XLOOKUP(A205,'Standards Catalogue'!$A:$A,'Standards Catalogue'!$G:$G,""),""))),"")</f>
        <v/>
      </c>
      <c r="P205" t="str">
        <f t="shared" si="17"/>
        <v/>
      </c>
      <c r="Q205" t="str">
        <f t="shared" si="18"/>
        <v/>
      </c>
      <c r="R205" t="str">
        <f t="shared" si="19"/>
        <v/>
      </c>
    </row>
    <row r="206" spans="12:18" x14ac:dyDescent="0.25">
      <c r="L206" t="str">
        <f t="shared" si="15"/>
        <v/>
      </c>
      <c r="M206" t="b">
        <f t="shared" si="16"/>
        <v>0</v>
      </c>
      <c r="N206" t="str">
        <f>IF(M206,IF(B206="Fe",_xludf.XLOOKUP(A206,'Standards Catalogue'!$A:$A,'Standards Catalogue'!$B:$B,""),IF(B206="P",_xludf.XLOOKUP(A206,'Standards Catalogue'!$A:$A,'Standards Catalogue'!$D:$D,""),IF(B206="S",_xludf.XLOOKUP(A206,'Standards Catalogue'!$A:$A,'Standards Catalogue'!$F:$F,""),""))),"")</f>
        <v/>
      </c>
      <c r="O206" t="str">
        <f>IF(M206,IF(B206="Fe",_xludf.XLOOKUP(A206,'Standards Catalogue'!$A:$A,'Standards Catalogue'!$C:$C,""),IF(B206="P",_xludf.XLOOKUP(A206,'Standards Catalogue'!$A:$A,'Standards Catalogue'!$E:$E,""),IF(B206="S",_xludf.XLOOKUP(A206,'Standards Catalogue'!$A:$A,'Standards Catalogue'!$G:$G,""),""))),"")</f>
        <v/>
      </c>
      <c r="P206" t="str">
        <f t="shared" si="17"/>
        <v/>
      </c>
      <c r="Q206" t="str">
        <f t="shared" si="18"/>
        <v/>
      </c>
      <c r="R206" t="str">
        <f t="shared" si="19"/>
        <v/>
      </c>
    </row>
    <row r="207" spans="12:18" x14ac:dyDescent="0.25">
      <c r="L207" t="str">
        <f t="shared" si="15"/>
        <v/>
      </c>
      <c r="M207" t="b">
        <f t="shared" si="16"/>
        <v>0</v>
      </c>
      <c r="N207" t="str">
        <f>IF(M207,IF(B207="Fe",_xludf.XLOOKUP(A207,'Standards Catalogue'!$A:$A,'Standards Catalogue'!$B:$B,""),IF(B207="P",_xludf.XLOOKUP(A207,'Standards Catalogue'!$A:$A,'Standards Catalogue'!$D:$D,""),IF(B207="S",_xludf.XLOOKUP(A207,'Standards Catalogue'!$A:$A,'Standards Catalogue'!$F:$F,""),""))),"")</f>
        <v/>
      </c>
      <c r="O207" t="str">
        <f>IF(M207,IF(B207="Fe",_xludf.XLOOKUP(A207,'Standards Catalogue'!$A:$A,'Standards Catalogue'!$C:$C,""),IF(B207="P",_xludf.XLOOKUP(A207,'Standards Catalogue'!$A:$A,'Standards Catalogue'!$E:$E,""),IF(B207="S",_xludf.XLOOKUP(A207,'Standards Catalogue'!$A:$A,'Standards Catalogue'!$G:$G,""),""))),"")</f>
        <v/>
      </c>
      <c r="P207" t="str">
        <f t="shared" si="17"/>
        <v/>
      </c>
      <c r="Q207" t="str">
        <f t="shared" si="18"/>
        <v/>
      </c>
      <c r="R207" t="str">
        <f t="shared" si="19"/>
        <v/>
      </c>
    </row>
    <row r="208" spans="12:18" x14ac:dyDescent="0.25">
      <c r="L208" t="str">
        <f t="shared" si="15"/>
        <v/>
      </c>
      <c r="M208" t="b">
        <f t="shared" si="16"/>
        <v>0</v>
      </c>
      <c r="N208" t="str">
        <f>IF(M208,IF(B208="Fe",_xludf.XLOOKUP(A208,'Standards Catalogue'!$A:$A,'Standards Catalogue'!$B:$B,""),IF(B208="P",_xludf.XLOOKUP(A208,'Standards Catalogue'!$A:$A,'Standards Catalogue'!$D:$D,""),IF(B208="S",_xludf.XLOOKUP(A208,'Standards Catalogue'!$A:$A,'Standards Catalogue'!$F:$F,""),""))),"")</f>
        <v/>
      </c>
      <c r="O208" t="str">
        <f>IF(M208,IF(B208="Fe",_xludf.XLOOKUP(A208,'Standards Catalogue'!$A:$A,'Standards Catalogue'!$C:$C,""),IF(B208="P",_xludf.XLOOKUP(A208,'Standards Catalogue'!$A:$A,'Standards Catalogue'!$E:$E,""),IF(B208="S",_xludf.XLOOKUP(A208,'Standards Catalogue'!$A:$A,'Standards Catalogue'!$G:$G,""),""))),"")</f>
        <v/>
      </c>
      <c r="P208" t="str">
        <f t="shared" si="17"/>
        <v/>
      </c>
      <c r="Q208" t="str">
        <f t="shared" si="18"/>
        <v/>
      </c>
      <c r="R208" t="str">
        <f t="shared" si="19"/>
        <v/>
      </c>
    </row>
    <row r="209" spans="12:18" x14ac:dyDescent="0.25">
      <c r="L209" t="str">
        <f t="shared" si="15"/>
        <v/>
      </c>
      <c r="M209" t="b">
        <f t="shared" si="16"/>
        <v>0</v>
      </c>
      <c r="N209" t="str">
        <f>IF(M209,IF(B209="Fe",_xludf.XLOOKUP(A209,'Standards Catalogue'!$A:$A,'Standards Catalogue'!$B:$B,""),IF(B209="P",_xludf.XLOOKUP(A209,'Standards Catalogue'!$A:$A,'Standards Catalogue'!$D:$D,""),IF(B209="S",_xludf.XLOOKUP(A209,'Standards Catalogue'!$A:$A,'Standards Catalogue'!$F:$F,""),""))),"")</f>
        <v/>
      </c>
      <c r="O209" t="str">
        <f>IF(M209,IF(B209="Fe",_xludf.XLOOKUP(A209,'Standards Catalogue'!$A:$A,'Standards Catalogue'!$C:$C,""),IF(B209="P",_xludf.XLOOKUP(A209,'Standards Catalogue'!$A:$A,'Standards Catalogue'!$E:$E,""),IF(B209="S",_xludf.XLOOKUP(A209,'Standards Catalogue'!$A:$A,'Standards Catalogue'!$G:$G,""),""))),"")</f>
        <v/>
      </c>
      <c r="P209" t="str">
        <f t="shared" si="17"/>
        <v/>
      </c>
      <c r="Q209" t="str">
        <f t="shared" si="18"/>
        <v/>
      </c>
      <c r="R209" t="str">
        <f t="shared" si="19"/>
        <v/>
      </c>
    </row>
    <row r="210" spans="12:18" x14ac:dyDescent="0.25">
      <c r="L210" t="str">
        <f t="shared" si="15"/>
        <v/>
      </c>
      <c r="M210" t="b">
        <f t="shared" si="16"/>
        <v>0</v>
      </c>
      <c r="N210" t="str">
        <f>IF(M210,IF(B210="Fe",_xludf.XLOOKUP(A210,'Standards Catalogue'!$A:$A,'Standards Catalogue'!$B:$B,""),IF(B210="P",_xludf.XLOOKUP(A210,'Standards Catalogue'!$A:$A,'Standards Catalogue'!$D:$D,""),IF(B210="S",_xludf.XLOOKUP(A210,'Standards Catalogue'!$A:$A,'Standards Catalogue'!$F:$F,""),""))),"")</f>
        <v/>
      </c>
      <c r="O210" t="str">
        <f>IF(M210,IF(B210="Fe",_xludf.XLOOKUP(A210,'Standards Catalogue'!$A:$A,'Standards Catalogue'!$C:$C,""),IF(B210="P",_xludf.XLOOKUP(A210,'Standards Catalogue'!$A:$A,'Standards Catalogue'!$E:$E,""),IF(B210="S",_xludf.XLOOKUP(A210,'Standards Catalogue'!$A:$A,'Standards Catalogue'!$G:$G,""),""))),"")</f>
        <v/>
      </c>
      <c r="P210" t="str">
        <f t="shared" si="17"/>
        <v/>
      </c>
      <c r="Q210" t="str">
        <f t="shared" si="18"/>
        <v/>
      </c>
      <c r="R210" t="str">
        <f t="shared" si="19"/>
        <v/>
      </c>
    </row>
    <row r="211" spans="12:18" x14ac:dyDescent="0.25">
      <c r="L211" t="str">
        <f t="shared" si="15"/>
        <v/>
      </c>
      <c r="M211" t="b">
        <f t="shared" si="16"/>
        <v>0</v>
      </c>
      <c r="N211" t="str">
        <f>IF(M211,IF(B211="Fe",_xludf.XLOOKUP(A211,'Standards Catalogue'!$A:$A,'Standards Catalogue'!$B:$B,""),IF(B211="P",_xludf.XLOOKUP(A211,'Standards Catalogue'!$A:$A,'Standards Catalogue'!$D:$D,""),IF(B211="S",_xludf.XLOOKUP(A211,'Standards Catalogue'!$A:$A,'Standards Catalogue'!$F:$F,""),""))),"")</f>
        <v/>
      </c>
      <c r="O211" t="str">
        <f>IF(M211,IF(B211="Fe",_xludf.XLOOKUP(A211,'Standards Catalogue'!$A:$A,'Standards Catalogue'!$C:$C,""),IF(B211="P",_xludf.XLOOKUP(A211,'Standards Catalogue'!$A:$A,'Standards Catalogue'!$E:$E,""),IF(B211="S",_xludf.XLOOKUP(A211,'Standards Catalogue'!$A:$A,'Standards Catalogue'!$G:$G,""),""))),"")</f>
        <v/>
      </c>
      <c r="P211" t="str">
        <f t="shared" si="17"/>
        <v/>
      </c>
      <c r="Q211" t="str">
        <f t="shared" si="18"/>
        <v/>
      </c>
      <c r="R211" t="str">
        <f t="shared" si="19"/>
        <v/>
      </c>
    </row>
    <row r="212" spans="12:18" x14ac:dyDescent="0.25">
      <c r="L212" t="str">
        <f t="shared" si="15"/>
        <v/>
      </c>
      <c r="M212" t="b">
        <f t="shared" si="16"/>
        <v>0</v>
      </c>
      <c r="N212" t="str">
        <f>IF(M212,IF(B212="Fe",_xludf.XLOOKUP(A212,'Standards Catalogue'!$A:$A,'Standards Catalogue'!$B:$B,""),IF(B212="P",_xludf.XLOOKUP(A212,'Standards Catalogue'!$A:$A,'Standards Catalogue'!$D:$D,""),IF(B212="S",_xludf.XLOOKUP(A212,'Standards Catalogue'!$A:$A,'Standards Catalogue'!$F:$F,""),""))),"")</f>
        <v/>
      </c>
      <c r="O212" t="str">
        <f>IF(M212,IF(B212="Fe",_xludf.XLOOKUP(A212,'Standards Catalogue'!$A:$A,'Standards Catalogue'!$C:$C,""),IF(B212="P",_xludf.XLOOKUP(A212,'Standards Catalogue'!$A:$A,'Standards Catalogue'!$E:$E,""),IF(B212="S",_xludf.XLOOKUP(A212,'Standards Catalogue'!$A:$A,'Standards Catalogue'!$G:$G,""),""))),"")</f>
        <v/>
      </c>
      <c r="P212" t="str">
        <f t="shared" si="17"/>
        <v/>
      </c>
      <c r="Q212" t="str">
        <f t="shared" si="18"/>
        <v/>
      </c>
      <c r="R212" t="str">
        <f t="shared" si="19"/>
        <v/>
      </c>
    </row>
    <row r="213" spans="12:18" x14ac:dyDescent="0.25">
      <c r="L213" t="str">
        <f t="shared" si="15"/>
        <v/>
      </c>
      <c r="M213" t="b">
        <f t="shared" si="16"/>
        <v>0</v>
      </c>
      <c r="N213" t="str">
        <f>IF(M213,IF(B213="Fe",_xludf.XLOOKUP(A213,'Standards Catalogue'!$A:$A,'Standards Catalogue'!$B:$B,""),IF(B213="P",_xludf.XLOOKUP(A213,'Standards Catalogue'!$A:$A,'Standards Catalogue'!$D:$D,""),IF(B213="S",_xludf.XLOOKUP(A213,'Standards Catalogue'!$A:$A,'Standards Catalogue'!$F:$F,""),""))),"")</f>
        <v/>
      </c>
      <c r="O213" t="str">
        <f>IF(M213,IF(B213="Fe",_xludf.XLOOKUP(A213,'Standards Catalogue'!$A:$A,'Standards Catalogue'!$C:$C,""),IF(B213="P",_xludf.XLOOKUP(A213,'Standards Catalogue'!$A:$A,'Standards Catalogue'!$E:$E,""),IF(B213="S",_xludf.XLOOKUP(A213,'Standards Catalogue'!$A:$A,'Standards Catalogue'!$G:$G,""),""))),"")</f>
        <v/>
      </c>
      <c r="P213" t="str">
        <f t="shared" si="17"/>
        <v/>
      </c>
      <c r="Q213" t="str">
        <f t="shared" si="18"/>
        <v/>
      </c>
      <c r="R213" t="str">
        <f t="shared" si="19"/>
        <v/>
      </c>
    </row>
    <row r="214" spans="12:18" x14ac:dyDescent="0.25">
      <c r="L214" t="str">
        <f t="shared" si="15"/>
        <v/>
      </c>
      <c r="M214" t="b">
        <f t="shared" si="16"/>
        <v>0</v>
      </c>
      <c r="N214" t="str">
        <f>IF(M214,IF(B214="Fe",_xludf.XLOOKUP(A214,'Standards Catalogue'!$A:$A,'Standards Catalogue'!$B:$B,""),IF(B214="P",_xludf.XLOOKUP(A214,'Standards Catalogue'!$A:$A,'Standards Catalogue'!$D:$D,""),IF(B214="S",_xludf.XLOOKUP(A214,'Standards Catalogue'!$A:$A,'Standards Catalogue'!$F:$F,""),""))),"")</f>
        <v/>
      </c>
      <c r="O214" t="str">
        <f>IF(M214,IF(B214="Fe",_xludf.XLOOKUP(A214,'Standards Catalogue'!$A:$A,'Standards Catalogue'!$C:$C,""),IF(B214="P",_xludf.XLOOKUP(A214,'Standards Catalogue'!$A:$A,'Standards Catalogue'!$E:$E,""),IF(B214="S",_xludf.XLOOKUP(A214,'Standards Catalogue'!$A:$A,'Standards Catalogue'!$G:$G,""),""))),"")</f>
        <v/>
      </c>
      <c r="P214" t="str">
        <f t="shared" si="17"/>
        <v/>
      </c>
      <c r="Q214" t="str">
        <f t="shared" si="18"/>
        <v/>
      </c>
      <c r="R214" t="str">
        <f t="shared" si="19"/>
        <v/>
      </c>
    </row>
    <row r="215" spans="12:18" x14ac:dyDescent="0.25">
      <c r="L215" t="str">
        <f t="shared" si="15"/>
        <v/>
      </c>
      <c r="M215" t="b">
        <f t="shared" si="16"/>
        <v>0</v>
      </c>
      <c r="N215" t="str">
        <f>IF(M215,IF(B215="Fe",_xludf.XLOOKUP(A215,'Standards Catalogue'!$A:$A,'Standards Catalogue'!$B:$B,""),IF(B215="P",_xludf.XLOOKUP(A215,'Standards Catalogue'!$A:$A,'Standards Catalogue'!$D:$D,""),IF(B215="S",_xludf.XLOOKUP(A215,'Standards Catalogue'!$A:$A,'Standards Catalogue'!$F:$F,""),""))),"")</f>
        <v/>
      </c>
      <c r="O215" t="str">
        <f>IF(M215,IF(B215="Fe",_xludf.XLOOKUP(A215,'Standards Catalogue'!$A:$A,'Standards Catalogue'!$C:$C,""),IF(B215="P",_xludf.XLOOKUP(A215,'Standards Catalogue'!$A:$A,'Standards Catalogue'!$E:$E,""),IF(B215="S",_xludf.XLOOKUP(A215,'Standards Catalogue'!$A:$A,'Standards Catalogue'!$G:$G,""),""))),"")</f>
        <v/>
      </c>
      <c r="P215" t="str">
        <f t="shared" si="17"/>
        <v/>
      </c>
      <c r="Q215" t="str">
        <f t="shared" si="18"/>
        <v/>
      </c>
      <c r="R215" t="str">
        <f t="shared" si="19"/>
        <v/>
      </c>
    </row>
    <row r="216" spans="12:18" x14ac:dyDescent="0.25">
      <c r="L216" t="str">
        <f t="shared" si="15"/>
        <v/>
      </c>
      <c r="M216" t="b">
        <f t="shared" si="16"/>
        <v>0</v>
      </c>
      <c r="N216" t="str">
        <f>IF(M216,IF(B216="Fe",_xludf.XLOOKUP(A216,'Standards Catalogue'!$A:$A,'Standards Catalogue'!$B:$B,""),IF(B216="P",_xludf.XLOOKUP(A216,'Standards Catalogue'!$A:$A,'Standards Catalogue'!$D:$D,""),IF(B216="S",_xludf.XLOOKUP(A216,'Standards Catalogue'!$A:$A,'Standards Catalogue'!$F:$F,""),""))),"")</f>
        <v/>
      </c>
      <c r="O216" t="str">
        <f>IF(M216,IF(B216="Fe",_xludf.XLOOKUP(A216,'Standards Catalogue'!$A:$A,'Standards Catalogue'!$C:$C,""),IF(B216="P",_xludf.XLOOKUP(A216,'Standards Catalogue'!$A:$A,'Standards Catalogue'!$E:$E,""),IF(B216="S",_xludf.XLOOKUP(A216,'Standards Catalogue'!$A:$A,'Standards Catalogue'!$G:$G,""),""))),"")</f>
        <v/>
      </c>
      <c r="P216" t="str">
        <f t="shared" si="17"/>
        <v/>
      </c>
      <c r="Q216" t="str">
        <f t="shared" si="18"/>
        <v/>
      </c>
      <c r="R216" t="str">
        <f t="shared" si="19"/>
        <v/>
      </c>
    </row>
    <row r="217" spans="12:18" x14ac:dyDescent="0.25">
      <c r="L217" t="str">
        <f t="shared" si="15"/>
        <v/>
      </c>
      <c r="M217" t="b">
        <f t="shared" si="16"/>
        <v>0</v>
      </c>
      <c r="N217" t="str">
        <f>IF(M217,IF(B217="Fe",_xludf.XLOOKUP(A217,'Standards Catalogue'!$A:$A,'Standards Catalogue'!$B:$B,""),IF(B217="P",_xludf.XLOOKUP(A217,'Standards Catalogue'!$A:$A,'Standards Catalogue'!$D:$D,""),IF(B217="S",_xludf.XLOOKUP(A217,'Standards Catalogue'!$A:$A,'Standards Catalogue'!$F:$F,""),""))),"")</f>
        <v/>
      </c>
      <c r="O217" t="str">
        <f>IF(M217,IF(B217="Fe",_xludf.XLOOKUP(A217,'Standards Catalogue'!$A:$A,'Standards Catalogue'!$C:$C,""),IF(B217="P",_xludf.XLOOKUP(A217,'Standards Catalogue'!$A:$A,'Standards Catalogue'!$E:$E,""),IF(B217="S",_xludf.XLOOKUP(A217,'Standards Catalogue'!$A:$A,'Standards Catalogue'!$G:$G,""),""))),"")</f>
        <v/>
      </c>
      <c r="P217" t="str">
        <f t="shared" si="17"/>
        <v/>
      </c>
      <c r="Q217" t="str">
        <f t="shared" si="18"/>
        <v/>
      </c>
      <c r="R217" t="str">
        <f t="shared" si="19"/>
        <v/>
      </c>
    </row>
    <row r="218" spans="12:18" x14ac:dyDescent="0.25">
      <c r="L218" t="str">
        <f t="shared" si="15"/>
        <v/>
      </c>
      <c r="M218" t="b">
        <f t="shared" si="16"/>
        <v>0</v>
      </c>
      <c r="N218" t="str">
        <f>IF(M218,IF(B218="Fe",_xludf.XLOOKUP(A218,'Standards Catalogue'!$A:$A,'Standards Catalogue'!$B:$B,""),IF(B218="P",_xludf.XLOOKUP(A218,'Standards Catalogue'!$A:$A,'Standards Catalogue'!$D:$D,""),IF(B218="S",_xludf.XLOOKUP(A218,'Standards Catalogue'!$A:$A,'Standards Catalogue'!$F:$F,""),""))),"")</f>
        <v/>
      </c>
      <c r="O218" t="str">
        <f>IF(M218,IF(B218="Fe",_xludf.XLOOKUP(A218,'Standards Catalogue'!$A:$A,'Standards Catalogue'!$C:$C,""),IF(B218="P",_xludf.XLOOKUP(A218,'Standards Catalogue'!$A:$A,'Standards Catalogue'!$E:$E,""),IF(B218="S",_xludf.XLOOKUP(A218,'Standards Catalogue'!$A:$A,'Standards Catalogue'!$G:$G,""),""))),"")</f>
        <v/>
      </c>
      <c r="P218" t="str">
        <f t="shared" si="17"/>
        <v/>
      </c>
      <c r="Q218" t="str">
        <f t="shared" si="18"/>
        <v/>
      </c>
      <c r="R218" t="str">
        <f t="shared" si="19"/>
        <v/>
      </c>
    </row>
    <row r="219" spans="12:18" x14ac:dyDescent="0.25">
      <c r="L219" t="str">
        <f t="shared" si="15"/>
        <v/>
      </c>
      <c r="M219" t="b">
        <f t="shared" si="16"/>
        <v>0</v>
      </c>
      <c r="N219" t="str">
        <f>IF(M219,IF(B219="Fe",_xludf.XLOOKUP(A219,'Standards Catalogue'!$A:$A,'Standards Catalogue'!$B:$B,""),IF(B219="P",_xludf.XLOOKUP(A219,'Standards Catalogue'!$A:$A,'Standards Catalogue'!$D:$D,""),IF(B219="S",_xludf.XLOOKUP(A219,'Standards Catalogue'!$A:$A,'Standards Catalogue'!$F:$F,""),""))),"")</f>
        <v/>
      </c>
      <c r="O219" t="str">
        <f>IF(M219,IF(B219="Fe",_xludf.XLOOKUP(A219,'Standards Catalogue'!$A:$A,'Standards Catalogue'!$C:$C,""),IF(B219="P",_xludf.XLOOKUP(A219,'Standards Catalogue'!$A:$A,'Standards Catalogue'!$E:$E,""),IF(B219="S",_xludf.XLOOKUP(A219,'Standards Catalogue'!$A:$A,'Standards Catalogue'!$G:$G,""),""))),"")</f>
        <v/>
      </c>
      <c r="P219" t="str">
        <f t="shared" si="17"/>
        <v/>
      </c>
      <c r="Q219" t="str">
        <f t="shared" si="18"/>
        <v/>
      </c>
      <c r="R219" t="str">
        <f t="shared" si="19"/>
        <v/>
      </c>
    </row>
    <row r="220" spans="12:18" x14ac:dyDescent="0.25">
      <c r="L220" t="str">
        <f t="shared" si="15"/>
        <v/>
      </c>
      <c r="M220" t="b">
        <f t="shared" si="16"/>
        <v>0</v>
      </c>
      <c r="N220" t="str">
        <f>IF(M220,IF(B220="Fe",_xludf.XLOOKUP(A220,'Standards Catalogue'!$A:$A,'Standards Catalogue'!$B:$B,""),IF(B220="P",_xludf.XLOOKUP(A220,'Standards Catalogue'!$A:$A,'Standards Catalogue'!$D:$D,""),IF(B220="S",_xludf.XLOOKUP(A220,'Standards Catalogue'!$A:$A,'Standards Catalogue'!$F:$F,""),""))),"")</f>
        <v/>
      </c>
      <c r="O220" t="str">
        <f>IF(M220,IF(B220="Fe",_xludf.XLOOKUP(A220,'Standards Catalogue'!$A:$A,'Standards Catalogue'!$C:$C,""),IF(B220="P",_xludf.XLOOKUP(A220,'Standards Catalogue'!$A:$A,'Standards Catalogue'!$E:$E,""),IF(B220="S",_xludf.XLOOKUP(A220,'Standards Catalogue'!$A:$A,'Standards Catalogue'!$G:$G,""),""))),"")</f>
        <v/>
      </c>
      <c r="P220" t="str">
        <f t="shared" si="17"/>
        <v/>
      </c>
      <c r="Q220" t="str">
        <f t="shared" si="18"/>
        <v/>
      </c>
      <c r="R220" t="str">
        <f t="shared" si="19"/>
        <v/>
      </c>
    </row>
    <row r="221" spans="12:18" x14ac:dyDescent="0.25">
      <c r="L221" t="str">
        <f t="shared" si="15"/>
        <v/>
      </c>
      <c r="M221" t="b">
        <f t="shared" si="16"/>
        <v>0</v>
      </c>
      <c r="N221" t="str">
        <f>IF(M221,IF(B221="Fe",_xludf.XLOOKUP(A221,'Standards Catalogue'!$A:$A,'Standards Catalogue'!$B:$B,""),IF(B221="P",_xludf.XLOOKUP(A221,'Standards Catalogue'!$A:$A,'Standards Catalogue'!$D:$D,""),IF(B221="S",_xludf.XLOOKUP(A221,'Standards Catalogue'!$A:$A,'Standards Catalogue'!$F:$F,""),""))),"")</f>
        <v/>
      </c>
      <c r="O221" t="str">
        <f>IF(M221,IF(B221="Fe",_xludf.XLOOKUP(A221,'Standards Catalogue'!$A:$A,'Standards Catalogue'!$C:$C,""),IF(B221="P",_xludf.XLOOKUP(A221,'Standards Catalogue'!$A:$A,'Standards Catalogue'!$E:$E,""),IF(B221="S",_xludf.XLOOKUP(A221,'Standards Catalogue'!$A:$A,'Standards Catalogue'!$G:$G,""),""))),"")</f>
        <v/>
      </c>
      <c r="P221" t="str">
        <f t="shared" si="17"/>
        <v/>
      </c>
      <c r="Q221" t="str">
        <f t="shared" si="18"/>
        <v/>
      </c>
      <c r="R221" t="str">
        <f t="shared" si="19"/>
        <v/>
      </c>
    </row>
    <row r="222" spans="12:18" x14ac:dyDescent="0.25">
      <c r="L222" t="str">
        <f t="shared" si="15"/>
        <v/>
      </c>
      <c r="M222" t="b">
        <f t="shared" si="16"/>
        <v>0</v>
      </c>
      <c r="N222" t="str">
        <f>IF(M222,IF(B222="Fe",_xludf.XLOOKUP(A222,'Standards Catalogue'!$A:$A,'Standards Catalogue'!$B:$B,""),IF(B222="P",_xludf.XLOOKUP(A222,'Standards Catalogue'!$A:$A,'Standards Catalogue'!$D:$D,""),IF(B222="S",_xludf.XLOOKUP(A222,'Standards Catalogue'!$A:$A,'Standards Catalogue'!$F:$F,""),""))),"")</f>
        <v/>
      </c>
      <c r="O222" t="str">
        <f>IF(M222,IF(B222="Fe",_xludf.XLOOKUP(A222,'Standards Catalogue'!$A:$A,'Standards Catalogue'!$C:$C,""),IF(B222="P",_xludf.XLOOKUP(A222,'Standards Catalogue'!$A:$A,'Standards Catalogue'!$E:$E,""),IF(B222="S",_xludf.XLOOKUP(A222,'Standards Catalogue'!$A:$A,'Standards Catalogue'!$G:$G,""),""))),"")</f>
        <v/>
      </c>
      <c r="P222" t="str">
        <f t="shared" si="17"/>
        <v/>
      </c>
      <c r="Q222" t="str">
        <f t="shared" si="18"/>
        <v/>
      </c>
      <c r="R222" t="str">
        <f t="shared" si="19"/>
        <v/>
      </c>
    </row>
    <row r="223" spans="12:18" x14ac:dyDescent="0.25">
      <c r="L223" t="str">
        <f t="shared" si="15"/>
        <v/>
      </c>
      <c r="M223" t="b">
        <f t="shared" si="16"/>
        <v>0</v>
      </c>
      <c r="N223" t="str">
        <f>IF(M223,IF(B223="Fe",_xludf.XLOOKUP(A223,'Standards Catalogue'!$A:$A,'Standards Catalogue'!$B:$B,""),IF(B223="P",_xludf.XLOOKUP(A223,'Standards Catalogue'!$A:$A,'Standards Catalogue'!$D:$D,""),IF(B223="S",_xludf.XLOOKUP(A223,'Standards Catalogue'!$A:$A,'Standards Catalogue'!$F:$F,""),""))),"")</f>
        <v/>
      </c>
      <c r="O223" t="str">
        <f>IF(M223,IF(B223="Fe",_xludf.XLOOKUP(A223,'Standards Catalogue'!$A:$A,'Standards Catalogue'!$C:$C,""),IF(B223="P",_xludf.XLOOKUP(A223,'Standards Catalogue'!$A:$A,'Standards Catalogue'!$E:$E,""),IF(B223="S",_xludf.XLOOKUP(A223,'Standards Catalogue'!$A:$A,'Standards Catalogue'!$G:$G,""),""))),"")</f>
        <v/>
      </c>
      <c r="P223" t="str">
        <f t="shared" si="17"/>
        <v/>
      </c>
      <c r="Q223" t="str">
        <f t="shared" si="18"/>
        <v/>
      </c>
      <c r="R223" t="str">
        <f t="shared" si="19"/>
        <v/>
      </c>
    </row>
    <row r="224" spans="12:18" x14ac:dyDescent="0.25">
      <c r="L224" t="str">
        <f t="shared" si="15"/>
        <v/>
      </c>
      <c r="M224" t="b">
        <f t="shared" si="16"/>
        <v>0</v>
      </c>
      <c r="N224" t="str">
        <f>IF(M224,IF(B224="Fe",_xludf.XLOOKUP(A224,'Standards Catalogue'!$A:$A,'Standards Catalogue'!$B:$B,""),IF(B224="P",_xludf.XLOOKUP(A224,'Standards Catalogue'!$A:$A,'Standards Catalogue'!$D:$D,""),IF(B224="S",_xludf.XLOOKUP(A224,'Standards Catalogue'!$A:$A,'Standards Catalogue'!$F:$F,""),""))),"")</f>
        <v/>
      </c>
      <c r="O224" t="str">
        <f>IF(M224,IF(B224="Fe",_xludf.XLOOKUP(A224,'Standards Catalogue'!$A:$A,'Standards Catalogue'!$C:$C,""),IF(B224="P",_xludf.XLOOKUP(A224,'Standards Catalogue'!$A:$A,'Standards Catalogue'!$E:$E,""),IF(B224="S",_xludf.XLOOKUP(A224,'Standards Catalogue'!$A:$A,'Standards Catalogue'!$G:$G,""),""))),"")</f>
        <v/>
      </c>
      <c r="P224" t="str">
        <f t="shared" si="17"/>
        <v/>
      </c>
      <c r="Q224" t="str">
        <f t="shared" si="18"/>
        <v/>
      </c>
      <c r="R224" t="str">
        <f t="shared" si="19"/>
        <v/>
      </c>
    </row>
    <row r="225" spans="12:18" x14ac:dyDescent="0.25">
      <c r="L225" t="str">
        <f t="shared" si="15"/>
        <v/>
      </c>
      <c r="M225" t="b">
        <f t="shared" si="16"/>
        <v>0</v>
      </c>
      <c r="N225" t="str">
        <f>IF(M225,IF(B225="Fe",_xludf.XLOOKUP(A225,'Standards Catalogue'!$A:$A,'Standards Catalogue'!$B:$B,""),IF(B225="P",_xludf.XLOOKUP(A225,'Standards Catalogue'!$A:$A,'Standards Catalogue'!$D:$D,""),IF(B225="S",_xludf.XLOOKUP(A225,'Standards Catalogue'!$A:$A,'Standards Catalogue'!$F:$F,""),""))),"")</f>
        <v/>
      </c>
      <c r="O225" t="str">
        <f>IF(M225,IF(B225="Fe",_xludf.XLOOKUP(A225,'Standards Catalogue'!$A:$A,'Standards Catalogue'!$C:$C,""),IF(B225="P",_xludf.XLOOKUP(A225,'Standards Catalogue'!$A:$A,'Standards Catalogue'!$E:$E,""),IF(B225="S",_xludf.XLOOKUP(A225,'Standards Catalogue'!$A:$A,'Standards Catalogue'!$G:$G,""),""))),"")</f>
        <v/>
      </c>
      <c r="P225" t="str">
        <f t="shared" si="17"/>
        <v/>
      </c>
      <c r="Q225" t="str">
        <f t="shared" si="18"/>
        <v/>
      </c>
      <c r="R225" t="str">
        <f t="shared" si="19"/>
        <v/>
      </c>
    </row>
    <row r="226" spans="12:18" x14ac:dyDescent="0.25">
      <c r="L226" t="str">
        <f t="shared" si="15"/>
        <v/>
      </c>
      <c r="M226" t="b">
        <f t="shared" si="16"/>
        <v>0</v>
      </c>
      <c r="N226" t="str">
        <f>IF(M226,IF(B226="Fe",_xludf.XLOOKUP(A226,'Standards Catalogue'!$A:$A,'Standards Catalogue'!$B:$B,""),IF(B226="P",_xludf.XLOOKUP(A226,'Standards Catalogue'!$A:$A,'Standards Catalogue'!$D:$D,""),IF(B226="S",_xludf.XLOOKUP(A226,'Standards Catalogue'!$A:$A,'Standards Catalogue'!$F:$F,""),""))),"")</f>
        <v/>
      </c>
      <c r="O226" t="str">
        <f>IF(M226,IF(B226="Fe",_xludf.XLOOKUP(A226,'Standards Catalogue'!$A:$A,'Standards Catalogue'!$C:$C,""),IF(B226="P",_xludf.XLOOKUP(A226,'Standards Catalogue'!$A:$A,'Standards Catalogue'!$E:$E,""),IF(B226="S",_xludf.XLOOKUP(A226,'Standards Catalogue'!$A:$A,'Standards Catalogue'!$G:$G,""),""))),"")</f>
        <v/>
      </c>
      <c r="P226" t="str">
        <f t="shared" si="17"/>
        <v/>
      </c>
      <c r="Q226" t="str">
        <f t="shared" si="18"/>
        <v/>
      </c>
      <c r="R226" t="str">
        <f t="shared" si="19"/>
        <v/>
      </c>
    </row>
    <row r="227" spans="12:18" x14ac:dyDescent="0.25">
      <c r="L227" t="str">
        <f t="shared" si="15"/>
        <v/>
      </c>
      <c r="M227" t="b">
        <f t="shared" si="16"/>
        <v>0</v>
      </c>
      <c r="N227" t="str">
        <f>IF(M227,IF(B227="Fe",_xludf.XLOOKUP(A227,'Standards Catalogue'!$A:$A,'Standards Catalogue'!$B:$B,""),IF(B227="P",_xludf.XLOOKUP(A227,'Standards Catalogue'!$A:$A,'Standards Catalogue'!$D:$D,""),IF(B227="S",_xludf.XLOOKUP(A227,'Standards Catalogue'!$A:$A,'Standards Catalogue'!$F:$F,""),""))),"")</f>
        <v/>
      </c>
      <c r="O227" t="str">
        <f>IF(M227,IF(B227="Fe",_xludf.XLOOKUP(A227,'Standards Catalogue'!$A:$A,'Standards Catalogue'!$C:$C,""),IF(B227="P",_xludf.XLOOKUP(A227,'Standards Catalogue'!$A:$A,'Standards Catalogue'!$E:$E,""),IF(B227="S",_xludf.XLOOKUP(A227,'Standards Catalogue'!$A:$A,'Standards Catalogue'!$G:$G,""),""))),"")</f>
        <v/>
      </c>
      <c r="P227" t="str">
        <f t="shared" si="17"/>
        <v/>
      </c>
      <c r="Q227" t="str">
        <f t="shared" si="18"/>
        <v/>
      </c>
      <c r="R227" t="str">
        <f t="shared" si="19"/>
        <v/>
      </c>
    </row>
    <row r="228" spans="12:18" x14ac:dyDescent="0.25">
      <c r="L228" t="str">
        <f t="shared" si="15"/>
        <v/>
      </c>
      <c r="M228" t="b">
        <f t="shared" si="16"/>
        <v>0</v>
      </c>
      <c r="N228" t="str">
        <f>IF(M228,IF(B228="Fe",_xludf.XLOOKUP(A228,'Standards Catalogue'!$A:$A,'Standards Catalogue'!$B:$B,""),IF(B228="P",_xludf.XLOOKUP(A228,'Standards Catalogue'!$A:$A,'Standards Catalogue'!$D:$D,""),IF(B228="S",_xludf.XLOOKUP(A228,'Standards Catalogue'!$A:$A,'Standards Catalogue'!$F:$F,""),""))),"")</f>
        <v/>
      </c>
      <c r="O228" t="str">
        <f>IF(M228,IF(B228="Fe",_xludf.XLOOKUP(A228,'Standards Catalogue'!$A:$A,'Standards Catalogue'!$C:$C,""),IF(B228="P",_xludf.XLOOKUP(A228,'Standards Catalogue'!$A:$A,'Standards Catalogue'!$E:$E,""),IF(B228="S",_xludf.XLOOKUP(A228,'Standards Catalogue'!$A:$A,'Standards Catalogue'!$G:$G,""),""))),"")</f>
        <v/>
      </c>
      <c r="P228" t="str">
        <f t="shared" si="17"/>
        <v/>
      </c>
      <c r="Q228" t="str">
        <f t="shared" si="18"/>
        <v/>
      </c>
      <c r="R228" t="str">
        <f t="shared" si="19"/>
        <v/>
      </c>
    </row>
    <row r="229" spans="12:18" x14ac:dyDescent="0.25">
      <c r="L229" t="str">
        <f t="shared" si="15"/>
        <v/>
      </c>
      <c r="M229" t="b">
        <f t="shared" si="16"/>
        <v>0</v>
      </c>
      <c r="N229" t="str">
        <f>IF(M229,IF(B229="Fe",_xludf.XLOOKUP(A229,'Standards Catalogue'!$A:$A,'Standards Catalogue'!$B:$B,""),IF(B229="P",_xludf.XLOOKUP(A229,'Standards Catalogue'!$A:$A,'Standards Catalogue'!$D:$D,""),IF(B229="S",_xludf.XLOOKUP(A229,'Standards Catalogue'!$A:$A,'Standards Catalogue'!$F:$F,""),""))),"")</f>
        <v/>
      </c>
      <c r="O229" t="str">
        <f>IF(M229,IF(B229="Fe",_xludf.XLOOKUP(A229,'Standards Catalogue'!$A:$A,'Standards Catalogue'!$C:$C,""),IF(B229="P",_xludf.XLOOKUP(A229,'Standards Catalogue'!$A:$A,'Standards Catalogue'!$E:$E,""),IF(B229="S",_xludf.XLOOKUP(A229,'Standards Catalogue'!$A:$A,'Standards Catalogue'!$G:$G,""),""))),"")</f>
        <v/>
      </c>
      <c r="P229" t="str">
        <f t="shared" si="17"/>
        <v/>
      </c>
      <c r="Q229" t="str">
        <f t="shared" si="18"/>
        <v/>
      </c>
      <c r="R229" t="str">
        <f t="shared" si="19"/>
        <v/>
      </c>
    </row>
    <row r="230" spans="12:18" x14ac:dyDescent="0.25">
      <c r="L230" t="str">
        <f t="shared" si="15"/>
        <v/>
      </c>
      <c r="M230" t="b">
        <f t="shared" si="16"/>
        <v>0</v>
      </c>
      <c r="N230" t="str">
        <f>IF(M230,IF(B230="Fe",_xludf.XLOOKUP(A230,'Standards Catalogue'!$A:$A,'Standards Catalogue'!$B:$B,""),IF(B230="P",_xludf.XLOOKUP(A230,'Standards Catalogue'!$A:$A,'Standards Catalogue'!$D:$D,""),IF(B230="S",_xludf.XLOOKUP(A230,'Standards Catalogue'!$A:$A,'Standards Catalogue'!$F:$F,""),""))),"")</f>
        <v/>
      </c>
      <c r="O230" t="str">
        <f>IF(M230,IF(B230="Fe",_xludf.XLOOKUP(A230,'Standards Catalogue'!$A:$A,'Standards Catalogue'!$C:$C,""),IF(B230="P",_xludf.XLOOKUP(A230,'Standards Catalogue'!$A:$A,'Standards Catalogue'!$E:$E,""),IF(B230="S",_xludf.XLOOKUP(A230,'Standards Catalogue'!$A:$A,'Standards Catalogue'!$G:$G,""),""))),"")</f>
        <v/>
      </c>
      <c r="P230" t="str">
        <f t="shared" si="17"/>
        <v/>
      </c>
      <c r="Q230" t="str">
        <f t="shared" si="18"/>
        <v/>
      </c>
      <c r="R230" t="str">
        <f t="shared" si="19"/>
        <v/>
      </c>
    </row>
    <row r="231" spans="12:18" x14ac:dyDescent="0.25">
      <c r="L231" t="str">
        <f t="shared" si="15"/>
        <v/>
      </c>
      <c r="M231" t="b">
        <f t="shared" si="16"/>
        <v>0</v>
      </c>
      <c r="N231" t="str">
        <f>IF(M231,IF(B231="Fe",_xludf.XLOOKUP(A231,'Standards Catalogue'!$A:$A,'Standards Catalogue'!$B:$B,""),IF(B231="P",_xludf.XLOOKUP(A231,'Standards Catalogue'!$A:$A,'Standards Catalogue'!$D:$D,""),IF(B231="S",_xludf.XLOOKUP(A231,'Standards Catalogue'!$A:$A,'Standards Catalogue'!$F:$F,""),""))),"")</f>
        <v/>
      </c>
      <c r="O231" t="str">
        <f>IF(M231,IF(B231="Fe",_xludf.XLOOKUP(A231,'Standards Catalogue'!$A:$A,'Standards Catalogue'!$C:$C,""),IF(B231="P",_xludf.XLOOKUP(A231,'Standards Catalogue'!$A:$A,'Standards Catalogue'!$E:$E,""),IF(B231="S",_xludf.XLOOKUP(A231,'Standards Catalogue'!$A:$A,'Standards Catalogue'!$G:$G,""),""))),"")</f>
        <v/>
      </c>
      <c r="P231" t="str">
        <f t="shared" si="17"/>
        <v/>
      </c>
      <c r="Q231" t="str">
        <f t="shared" si="18"/>
        <v/>
      </c>
      <c r="R231" t="str">
        <f t="shared" si="19"/>
        <v/>
      </c>
    </row>
    <row r="232" spans="12:18" x14ac:dyDescent="0.25">
      <c r="L232" t="str">
        <f t="shared" si="15"/>
        <v/>
      </c>
      <c r="M232" t="b">
        <f t="shared" si="16"/>
        <v>0</v>
      </c>
      <c r="N232" t="str">
        <f>IF(M232,IF(B232="Fe",_xludf.XLOOKUP(A232,'Standards Catalogue'!$A:$A,'Standards Catalogue'!$B:$B,""),IF(B232="P",_xludf.XLOOKUP(A232,'Standards Catalogue'!$A:$A,'Standards Catalogue'!$D:$D,""),IF(B232="S",_xludf.XLOOKUP(A232,'Standards Catalogue'!$A:$A,'Standards Catalogue'!$F:$F,""),""))),"")</f>
        <v/>
      </c>
      <c r="O232" t="str">
        <f>IF(M232,IF(B232="Fe",_xludf.XLOOKUP(A232,'Standards Catalogue'!$A:$A,'Standards Catalogue'!$C:$C,""),IF(B232="P",_xludf.XLOOKUP(A232,'Standards Catalogue'!$A:$A,'Standards Catalogue'!$E:$E,""),IF(B232="S",_xludf.XLOOKUP(A232,'Standards Catalogue'!$A:$A,'Standards Catalogue'!$G:$G,""),""))),"")</f>
        <v/>
      </c>
      <c r="P232" t="str">
        <f t="shared" si="17"/>
        <v/>
      </c>
      <c r="Q232" t="str">
        <f t="shared" si="18"/>
        <v/>
      </c>
      <c r="R232" t="str">
        <f t="shared" si="19"/>
        <v/>
      </c>
    </row>
    <row r="233" spans="12:18" x14ac:dyDescent="0.25">
      <c r="L233" t="str">
        <f t="shared" si="15"/>
        <v/>
      </c>
      <c r="M233" t="b">
        <f t="shared" si="16"/>
        <v>0</v>
      </c>
      <c r="N233" t="str">
        <f>IF(M233,IF(B233="Fe",_xludf.XLOOKUP(A233,'Standards Catalogue'!$A:$A,'Standards Catalogue'!$B:$B,""),IF(B233="P",_xludf.XLOOKUP(A233,'Standards Catalogue'!$A:$A,'Standards Catalogue'!$D:$D,""),IF(B233="S",_xludf.XLOOKUP(A233,'Standards Catalogue'!$A:$A,'Standards Catalogue'!$F:$F,""),""))),"")</f>
        <v/>
      </c>
      <c r="O233" t="str">
        <f>IF(M233,IF(B233="Fe",_xludf.XLOOKUP(A233,'Standards Catalogue'!$A:$A,'Standards Catalogue'!$C:$C,""),IF(B233="P",_xludf.XLOOKUP(A233,'Standards Catalogue'!$A:$A,'Standards Catalogue'!$E:$E,""),IF(B233="S",_xludf.XLOOKUP(A233,'Standards Catalogue'!$A:$A,'Standards Catalogue'!$G:$G,""),""))),"")</f>
        <v/>
      </c>
      <c r="P233" t="str">
        <f t="shared" si="17"/>
        <v/>
      </c>
      <c r="Q233" t="str">
        <f t="shared" si="18"/>
        <v/>
      </c>
      <c r="R233" t="str">
        <f t="shared" si="19"/>
        <v/>
      </c>
    </row>
    <row r="234" spans="12:18" x14ac:dyDescent="0.25">
      <c r="L234" t="str">
        <f t="shared" si="15"/>
        <v/>
      </c>
      <c r="M234" t="b">
        <f t="shared" si="16"/>
        <v>0</v>
      </c>
      <c r="N234" t="str">
        <f>IF(M234,IF(B234="Fe",_xludf.XLOOKUP(A234,'Standards Catalogue'!$A:$A,'Standards Catalogue'!$B:$B,""),IF(B234="P",_xludf.XLOOKUP(A234,'Standards Catalogue'!$A:$A,'Standards Catalogue'!$D:$D,""),IF(B234="S",_xludf.XLOOKUP(A234,'Standards Catalogue'!$A:$A,'Standards Catalogue'!$F:$F,""),""))),"")</f>
        <v/>
      </c>
      <c r="O234" t="str">
        <f>IF(M234,IF(B234="Fe",_xludf.XLOOKUP(A234,'Standards Catalogue'!$A:$A,'Standards Catalogue'!$C:$C,""),IF(B234="P",_xludf.XLOOKUP(A234,'Standards Catalogue'!$A:$A,'Standards Catalogue'!$E:$E,""),IF(B234="S",_xludf.XLOOKUP(A234,'Standards Catalogue'!$A:$A,'Standards Catalogue'!$G:$G,""),""))),"")</f>
        <v/>
      </c>
      <c r="P234" t="str">
        <f t="shared" si="17"/>
        <v/>
      </c>
      <c r="Q234" t="str">
        <f t="shared" si="18"/>
        <v/>
      </c>
      <c r="R234" t="str">
        <f t="shared" si="19"/>
        <v/>
      </c>
    </row>
    <row r="235" spans="12:18" x14ac:dyDescent="0.25">
      <c r="L235" t="str">
        <f t="shared" si="15"/>
        <v/>
      </c>
      <c r="M235" t="b">
        <f t="shared" si="16"/>
        <v>0</v>
      </c>
      <c r="N235" t="str">
        <f>IF(M235,IF(B235="Fe",_xludf.XLOOKUP(A235,'Standards Catalogue'!$A:$A,'Standards Catalogue'!$B:$B,""),IF(B235="P",_xludf.XLOOKUP(A235,'Standards Catalogue'!$A:$A,'Standards Catalogue'!$D:$D,""),IF(B235="S",_xludf.XLOOKUP(A235,'Standards Catalogue'!$A:$A,'Standards Catalogue'!$F:$F,""),""))),"")</f>
        <v/>
      </c>
      <c r="O235" t="str">
        <f>IF(M235,IF(B235="Fe",_xludf.XLOOKUP(A235,'Standards Catalogue'!$A:$A,'Standards Catalogue'!$C:$C,""),IF(B235="P",_xludf.XLOOKUP(A235,'Standards Catalogue'!$A:$A,'Standards Catalogue'!$E:$E,""),IF(B235="S",_xludf.XLOOKUP(A235,'Standards Catalogue'!$A:$A,'Standards Catalogue'!$G:$G,""),""))),"")</f>
        <v/>
      </c>
      <c r="P235" t="str">
        <f t="shared" si="17"/>
        <v/>
      </c>
      <c r="Q235" t="str">
        <f t="shared" si="18"/>
        <v/>
      </c>
      <c r="R235" t="str">
        <f t="shared" si="19"/>
        <v/>
      </c>
    </row>
    <row r="236" spans="12:18" x14ac:dyDescent="0.25">
      <c r="L236" t="str">
        <f t="shared" si="15"/>
        <v/>
      </c>
      <c r="M236" t="b">
        <f t="shared" si="16"/>
        <v>0</v>
      </c>
      <c r="N236" t="str">
        <f>IF(M236,IF(B236="Fe",_xludf.XLOOKUP(A236,'Standards Catalogue'!$A:$A,'Standards Catalogue'!$B:$B,""),IF(B236="P",_xludf.XLOOKUP(A236,'Standards Catalogue'!$A:$A,'Standards Catalogue'!$D:$D,""),IF(B236="S",_xludf.XLOOKUP(A236,'Standards Catalogue'!$A:$A,'Standards Catalogue'!$F:$F,""),""))),"")</f>
        <v/>
      </c>
      <c r="O236" t="str">
        <f>IF(M236,IF(B236="Fe",_xludf.XLOOKUP(A236,'Standards Catalogue'!$A:$A,'Standards Catalogue'!$C:$C,""),IF(B236="P",_xludf.XLOOKUP(A236,'Standards Catalogue'!$A:$A,'Standards Catalogue'!$E:$E,""),IF(B236="S",_xludf.XLOOKUP(A236,'Standards Catalogue'!$A:$A,'Standards Catalogue'!$G:$G,""),""))),"")</f>
        <v/>
      </c>
      <c r="P236" t="str">
        <f t="shared" si="17"/>
        <v/>
      </c>
      <c r="Q236" t="str">
        <f t="shared" si="18"/>
        <v/>
      </c>
      <c r="R236" t="str">
        <f t="shared" si="19"/>
        <v/>
      </c>
    </row>
    <row r="237" spans="12:18" x14ac:dyDescent="0.25">
      <c r="L237" t="str">
        <f t="shared" si="15"/>
        <v/>
      </c>
      <c r="M237" t="b">
        <f t="shared" si="16"/>
        <v>0</v>
      </c>
      <c r="N237" t="str">
        <f>IF(M237,IF(B237="Fe",_xludf.XLOOKUP(A237,'Standards Catalogue'!$A:$A,'Standards Catalogue'!$B:$B,""),IF(B237="P",_xludf.XLOOKUP(A237,'Standards Catalogue'!$A:$A,'Standards Catalogue'!$D:$D,""),IF(B237="S",_xludf.XLOOKUP(A237,'Standards Catalogue'!$A:$A,'Standards Catalogue'!$F:$F,""),""))),"")</f>
        <v/>
      </c>
      <c r="O237" t="str">
        <f>IF(M237,IF(B237="Fe",_xludf.XLOOKUP(A237,'Standards Catalogue'!$A:$A,'Standards Catalogue'!$C:$C,""),IF(B237="P",_xludf.XLOOKUP(A237,'Standards Catalogue'!$A:$A,'Standards Catalogue'!$E:$E,""),IF(B237="S",_xludf.XLOOKUP(A237,'Standards Catalogue'!$A:$A,'Standards Catalogue'!$G:$G,""),""))),"")</f>
        <v/>
      </c>
      <c r="P237" t="str">
        <f t="shared" si="17"/>
        <v/>
      </c>
      <c r="Q237" t="str">
        <f t="shared" si="18"/>
        <v/>
      </c>
      <c r="R237" t="str">
        <f t="shared" si="19"/>
        <v/>
      </c>
    </row>
    <row r="238" spans="12:18" x14ac:dyDescent="0.25">
      <c r="L238" t="str">
        <f t="shared" si="15"/>
        <v/>
      </c>
      <c r="M238" t="b">
        <f t="shared" si="16"/>
        <v>0</v>
      </c>
      <c r="N238" t="str">
        <f>IF(M238,IF(B238="Fe",_xludf.XLOOKUP(A238,'Standards Catalogue'!$A:$A,'Standards Catalogue'!$B:$B,""),IF(B238="P",_xludf.XLOOKUP(A238,'Standards Catalogue'!$A:$A,'Standards Catalogue'!$D:$D,""),IF(B238="S",_xludf.XLOOKUP(A238,'Standards Catalogue'!$A:$A,'Standards Catalogue'!$F:$F,""),""))),"")</f>
        <v/>
      </c>
      <c r="O238" t="str">
        <f>IF(M238,IF(B238="Fe",_xludf.XLOOKUP(A238,'Standards Catalogue'!$A:$A,'Standards Catalogue'!$C:$C,""),IF(B238="P",_xludf.XLOOKUP(A238,'Standards Catalogue'!$A:$A,'Standards Catalogue'!$E:$E,""),IF(B238="S",_xludf.XLOOKUP(A238,'Standards Catalogue'!$A:$A,'Standards Catalogue'!$G:$G,""),""))),"")</f>
        <v/>
      </c>
      <c r="P238" t="str">
        <f t="shared" si="17"/>
        <v/>
      </c>
      <c r="Q238" t="str">
        <f t="shared" si="18"/>
        <v/>
      </c>
      <c r="R238" t="str">
        <f t="shared" si="19"/>
        <v/>
      </c>
    </row>
    <row r="239" spans="12:18" x14ac:dyDescent="0.25">
      <c r="L239" t="str">
        <f t="shared" si="15"/>
        <v/>
      </c>
      <c r="M239" t="b">
        <f t="shared" si="16"/>
        <v>0</v>
      </c>
      <c r="N239" t="str">
        <f>IF(M239,IF(B239="Fe",_xludf.XLOOKUP(A239,'Standards Catalogue'!$A:$A,'Standards Catalogue'!$B:$B,""),IF(B239="P",_xludf.XLOOKUP(A239,'Standards Catalogue'!$A:$A,'Standards Catalogue'!$D:$D,""),IF(B239="S",_xludf.XLOOKUP(A239,'Standards Catalogue'!$A:$A,'Standards Catalogue'!$F:$F,""),""))),"")</f>
        <v/>
      </c>
      <c r="O239" t="str">
        <f>IF(M239,IF(B239="Fe",_xludf.XLOOKUP(A239,'Standards Catalogue'!$A:$A,'Standards Catalogue'!$C:$C,""),IF(B239="P",_xludf.XLOOKUP(A239,'Standards Catalogue'!$A:$A,'Standards Catalogue'!$E:$E,""),IF(B239="S",_xludf.XLOOKUP(A239,'Standards Catalogue'!$A:$A,'Standards Catalogue'!$G:$G,""),""))),"")</f>
        <v/>
      </c>
      <c r="P239" t="str">
        <f t="shared" si="17"/>
        <v/>
      </c>
      <c r="Q239" t="str">
        <f t="shared" si="18"/>
        <v/>
      </c>
      <c r="R239" t="str">
        <f t="shared" si="19"/>
        <v/>
      </c>
    </row>
    <row r="240" spans="12:18" x14ac:dyDescent="0.25">
      <c r="L240" t="str">
        <f t="shared" si="15"/>
        <v/>
      </c>
      <c r="M240" t="b">
        <f t="shared" si="16"/>
        <v>0</v>
      </c>
      <c r="N240" t="str">
        <f>IF(M240,IF(B240="Fe",_xludf.XLOOKUP(A240,'Standards Catalogue'!$A:$A,'Standards Catalogue'!$B:$B,""),IF(B240="P",_xludf.XLOOKUP(A240,'Standards Catalogue'!$A:$A,'Standards Catalogue'!$D:$D,""),IF(B240="S",_xludf.XLOOKUP(A240,'Standards Catalogue'!$A:$A,'Standards Catalogue'!$F:$F,""),""))),"")</f>
        <v/>
      </c>
      <c r="O240" t="str">
        <f>IF(M240,IF(B240="Fe",_xludf.XLOOKUP(A240,'Standards Catalogue'!$A:$A,'Standards Catalogue'!$C:$C,""),IF(B240="P",_xludf.XLOOKUP(A240,'Standards Catalogue'!$A:$A,'Standards Catalogue'!$E:$E,""),IF(B240="S",_xludf.XLOOKUP(A240,'Standards Catalogue'!$A:$A,'Standards Catalogue'!$G:$G,""),""))),"")</f>
        <v/>
      </c>
      <c r="P240" t="str">
        <f t="shared" si="17"/>
        <v/>
      </c>
      <c r="Q240" t="str">
        <f t="shared" si="18"/>
        <v/>
      </c>
      <c r="R240" t="str">
        <f t="shared" si="19"/>
        <v/>
      </c>
    </row>
    <row r="241" spans="12:18" x14ac:dyDescent="0.25">
      <c r="L241" t="str">
        <f t="shared" si="15"/>
        <v/>
      </c>
      <c r="M241" t="b">
        <f t="shared" si="16"/>
        <v>0</v>
      </c>
      <c r="N241" t="str">
        <f>IF(M241,IF(B241="Fe",_xludf.XLOOKUP(A241,'Standards Catalogue'!$A:$A,'Standards Catalogue'!$B:$B,""),IF(B241="P",_xludf.XLOOKUP(A241,'Standards Catalogue'!$A:$A,'Standards Catalogue'!$D:$D,""),IF(B241="S",_xludf.XLOOKUP(A241,'Standards Catalogue'!$A:$A,'Standards Catalogue'!$F:$F,""),""))),"")</f>
        <v/>
      </c>
      <c r="O241" t="str">
        <f>IF(M241,IF(B241="Fe",_xludf.XLOOKUP(A241,'Standards Catalogue'!$A:$A,'Standards Catalogue'!$C:$C,""),IF(B241="P",_xludf.XLOOKUP(A241,'Standards Catalogue'!$A:$A,'Standards Catalogue'!$E:$E,""),IF(B241="S",_xludf.XLOOKUP(A241,'Standards Catalogue'!$A:$A,'Standards Catalogue'!$G:$G,""),""))),"")</f>
        <v/>
      </c>
      <c r="P241" t="str">
        <f t="shared" si="17"/>
        <v/>
      </c>
      <c r="Q241" t="str">
        <f t="shared" si="18"/>
        <v/>
      </c>
      <c r="R241" t="str">
        <f t="shared" si="19"/>
        <v/>
      </c>
    </row>
    <row r="242" spans="12:18" x14ac:dyDescent="0.25">
      <c r="L242" t="str">
        <f t="shared" si="15"/>
        <v/>
      </c>
      <c r="M242" t="b">
        <f t="shared" si="16"/>
        <v>0</v>
      </c>
      <c r="N242" t="str">
        <f>IF(M242,IF(B242="Fe",_xludf.XLOOKUP(A242,'Standards Catalogue'!$A:$A,'Standards Catalogue'!$B:$B,""),IF(B242="P",_xludf.XLOOKUP(A242,'Standards Catalogue'!$A:$A,'Standards Catalogue'!$D:$D,""),IF(B242="S",_xludf.XLOOKUP(A242,'Standards Catalogue'!$A:$A,'Standards Catalogue'!$F:$F,""),""))),"")</f>
        <v/>
      </c>
      <c r="O242" t="str">
        <f>IF(M242,IF(B242="Fe",_xludf.XLOOKUP(A242,'Standards Catalogue'!$A:$A,'Standards Catalogue'!$C:$C,""),IF(B242="P",_xludf.XLOOKUP(A242,'Standards Catalogue'!$A:$A,'Standards Catalogue'!$E:$E,""),IF(B242="S",_xludf.XLOOKUP(A242,'Standards Catalogue'!$A:$A,'Standards Catalogue'!$G:$G,""),""))),"")</f>
        <v/>
      </c>
      <c r="P242" t="str">
        <f t="shared" si="17"/>
        <v/>
      </c>
      <c r="Q242" t="str">
        <f t="shared" si="18"/>
        <v/>
      </c>
      <c r="R242" t="str">
        <f t="shared" si="19"/>
        <v/>
      </c>
    </row>
    <row r="243" spans="12:18" x14ac:dyDescent="0.25">
      <c r="L243" t="str">
        <f t="shared" si="15"/>
        <v/>
      </c>
      <c r="M243" t="b">
        <f t="shared" si="16"/>
        <v>0</v>
      </c>
      <c r="N243" t="str">
        <f>IF(M243,IF(B243="Fe",_xludf.XLOOKUP(A243,'Standards Catalogue'!$A:$A,'Standards Catalogue'!$B:$B,""),IF(B243="P",_xludf.XLOOKUP(A243,'Standards Catalogue'!$A:$A,'Standards Catalogue'!$D:$D,""),IF(B243="S",_xludf.XLOOKUP(A243,'Standards Catalogue'!$A:$A,'Standards Catalogue'!$F:$F,""),""))),"")</f>
        <v/>
      </c>
      <c r="O243" t="str">
        <f>IF(M243,IF(B243="Fe",_xludf.XLOOKUP(A243,'Standards Catalogue'!$A:$A,'Standards Catalogue'!$C:$C,""),IF(B243="P",_xludf.XLOOKUP(A243,'Standards Catalogue'!$A:$A,'Standards Catalogue'!$E:$E,""),IF(B243="S",_xludf.XLOOKUP(A243,'Standards Catalogue'!$A:$A,'Standards Catalogue'!$G:$G,""),""))),"")</f>
        <v/>
      </c>
      <c r="P243" t="str">
        <f t="shared" si="17"/>
        <v/>
      </c>
      <c r="Q243" t="str">
        <f t="shared" si="18"/>
        <v/>
      </c>
      <c r="R243" t="str">
        <f t="shared" si="19"/>
        <v/>
      </c>
    </row>
    <row r="244" spans="12:18" x14ac:dyDescent="0.25">
      <c r="L244" t="str">
        <f t="shared" si="15"/>
        <v/>
      </c>
      <c r="M244" t="b">
        <f t="shared" si="16"/>
        <v>0</v>
      </c>
      <c r="N244" t="str">
        <f>IF(M244,IF(B244="Fe",_xludf.XLOOKUP(A244,'Standards Catalogue'!$A:$A,'Standards Catalogue'!$B:$B,""),IF(B244="P",_xludf.XLOOKUP(A244,'Standards Catalogue'!$A:$A,'Standards Catalogue'!$D:$D,""),IF(B244="S",_xludf.XLOOKUP(A244,'Standards Catalogue'!$A:$A,'Standards Catalogue'!$F:$F,""),""))),"")</f>
        <v/>
      </c>
      <c r="O244" t="str">
        <f>IF(M244,IF(B244="Fe",_xludf.XLOOKUP(A244,'Standards Catalogue'!$A:$A,'Standards Catalogue'!$C:$C,""),IF(B244="P",_xludf.XLOOKUP(A244,'Standards Catalogue'!$A:$A,'Standards Catalogue'!$E:$E,""),IF(B244="S",_xludf.XLOOKUP(A244,'Standards Catalogue'!$A:$A,'Standards Catalogue'!$G:$G,""),""))),"")</f>
        <v/>
      </c>
      <c r="P244" t="str">
        <f t="shared" si="17"/>
        <v/>
      </c>
      <c r="Q244" t="str">
        <f t="shared" si="18"/>
        <v/>
      </c>
      <c r="R244" t="str">
        <f t="shared" si="19"/>
        <v/>
      </c>
    </row>
    <row r="245" spans="12:18" x14ac:dyDescent="0.25">
      <c r="L245" t="str">
        <f t="shared" si="15"/>
        <v/>
      </c>
      <c r="M245" t="b">
        <f t="shared" si="16"/>
        <v>0</v>
      </c>
      <c r="N245" t="str">
        <f>IF(M245,IF(B245="Fe",_xludf.XLOOKUP(A245,'Standards Catalogue'!$A:$A,'Standards Catalogue'!$B:$B,""),IF(B245="P",_xludf.XLOOKUP(A245,'Standards Catalogue'!$A:$A,'Standards Catalogue'!$D:$D,""),IF(B245="S",_xludf.XLOOKUP(A245,'Standards Catalogue'!$A:$A,'Standards Catalogue'!$F:$F,""),""))),"")</f>
        <v/>
      </c>
      <c r="O245" t="str">
        <f>IF(M245,IF(B245="Fe",_xludf.XLOOKUP(A245,'Standards Catalogue'!$A:$A,'Standards Catalogue'!$C:$C,""),IF(B245="P",_xludf.XLOOKUP(A245,'Standards Catalogue'!$A:$A,'Standards Catalogue'!$E:$E,""),IF(B245="S",_xludf.XLOOKUP(A245,'Standards Catalogue'!$A:$A,'Standards Catalogue'!$G:$G,""),""))),"")</f>
        <v/>
      </c>
      <c r="P245" t="str">
        <f t="shared" si="17"/>
        <v/>
      </c>
      <c r="Q245" t="str">
        <f t="shared" si="18"/>
        <v/>
      </c>
      <c r="R245" t="str">
        <f t="shared" si="19"/>
        <v/>
      </c>
    </row>
    <row r="246" spans="12:18" x14ac:dyDescent="0.25">
      <c r="L246" t="str">
        <f t="shared" si="15"/>
        <v/>
      </c>
      <c r="M246" t="b">
        <f t="shared" si="16"/>
        <v>0</v>
      </c>
      <c r="N246" t="str">
        <f>IF(M246,IF(B246="Fe",_xludf.XLOOKUP(A246,'Standards Catalogue'!$A:$A,'Standards Catalogue'!$B:$B,""),IF(B246="P",_xludf.XLOOKUP(A246,'Standards Catalogue'!$A:$A,'Standards Catalogue'!$D:$D,""),IF(B246="S",_xludf.XLOOKUP(A246,'Standards Catalogue'!$A:$A,'Standards Catalogue'!$F:$F,""),""))),"")</f>
        <v/>
      </c>
      <c r="O246" t="str">
        <f>IF(M246,IF(B246="Fe",_xludf.XLOOKUP(A246,'Standards Catalogue'!$A:$A,'Standards Catalogue'!$C:$C,""),IF(B246="P",_xludf.XLOOKUP(A246,'Standards Catalogue'!$A:$A,'Standards Catalogue'!$E:$E,""),IF(B246="S",_xludf.XLOOKUP(A246,'Standards Catalogue'!$A:$A,'Standards Catalogue'!$G:$G,""),""))),"")</f>
        <v/>
      </c>
      <c r="P246" t="str">
        <f t="shared" si="17"/>
        <v/>
      </c>
      <c r="Q246" t="str">
        <f t="shared" si="18"/>
        <v/>
      </c>
      <c r="R246" t="str">
        <f t="shared" si="19"/>
        <v/>
      </c>
    </row>
    <row r="247" spans="12:18" x14ac:dyDescent="0.25">
      <c r="L247" t="str">
        <f t="shared" si="15"/>
        <v/>
      </c>
      <c r="M247" t="b">
        <f t="shared" si="16"/>
        <v>0</v>
      </c>
      <c r="N247" t="str">
        <f>IF(M247,IF(B247="Fe",_xludf.XLOOKUP(A247,'Standards Catalogue'!$A:$A,'Standards Catalogue'!$B:$B,""),IF(B247="P",_xludf.XLOOKUP(A247,'Standards Catalogue'!$A:$A,'Standards Catalogue'!$D:$D,""),IF(B247="S",_xludf.XLOOKUP(A247,'Standards Catalogue'!$A:$A,'Standards Catalogue'!$F:$F,""),""))),"")</f>
        <v/>
      </c>
      <c r="O247" t="str">
        <f>IF(M247,IF(B247="Fe",_xludf.XLOOKUP(A247,'Standards Catalogue'!$A:$A,'Standards Catalogue'!$C:$C,""),IF(B247="P",_xludf.XLOOKUP(A247,'Standards Catalogue'!$A:$A,'Standards Catalogue'!$E:$E,""),IF(B247="S",_xludf.XLOOKUP(A247,'Standards Catalogue'!$A:$A,'Standards Catalogue'!$G:$G,""),""))),"")</f>
        <v/>
      </c>
      <c r="P247" t="str">
        <f t="shared" si="17"/>
        <v/>
      </c>
      <c r="Q247" t="str">
        <f t="shared" si="18"/>
        <v/>
      </c>
      <c r="R247" t="str">
        <f t="shared" si="19"/>
        <v/>
      </c>
    </row>
    <row r="248" spans="12:18" x14ac:dyDescent="0.25">
      <c r="L248" t="str">
        <f t="shared" si="15"/>
        <v/>
      </c>
      <c r="M248" t="b">
        <f t="shared" si="16"/>
        <v>0</v>
      </c>
      <c r="N248" t="str">
        <f>IF(M248,IF(B248="Fe",_xludf.XLOOKUP(A248,'Standards Catalogue'!$A:$A,'Standards Catalogue'!$B:$B,""),IF(B248="P",_xludf.XLOOKUP(A248,'Standards Catalogue'!$A:$A,'Standards Catalogue'!$D:$D,""),IF(B248="S",_xludf.XLOOKUP(A248,'Standards Catalogue'!$A:$A,'Standards Catalogue'!$F:$F,""),""))),"")</f>
        <v/>
      </c>
      <c r="O248" t="str">
        <f>IF(M248,IF(B248="Fe",_xludf.XLOOKUP(A248,'Standards Catalogue'!$A:$A,'Standards Catalogue'!$C:$C,""),IF(B248="P",_xludf.XLOOKUP(A248,'Standards Catalogue'!$A:$A,'Standards Catalogue'!$E:$E,""),IF(B248="S",_xludf.XLOOKUP(A248,'Standards Catalogue'!$A:$A,'Standards Catalogue'!$G:$G,""),""))),"")</f>
        <v/>
      </c>
      <c r="P248" t="str">
        <f t="shared" si="17"/>
        <v/>
      </c>
      <c r="Q248" t="str">
        <f t="shared" si="18"/>
        <v/>
      </c>
      <c r="R248" t="str">
        <f t="shared" si="19"/>
        <v/>
      </c>
    </row>
    <row r="249" spans="12:18" x14ac:dyDescent="0.25">
      <c r="L249" t="str">
        <f t="shared" si="15"/>
        <v/>
      </c>
      <c r="M249" t="b">
        <f t="shared" si="16"/>
        <v>0</v>
      </c>
      <c r="N249" t="str">
        <f>IF(M249,IF(B249="Fe",_xludf.XLOOKUP(A249,'Standards Catalogue'!$A:$A,'Standards Catalogue'!$B:$B,""),IF(B249="P",_xludf.XLOOKUP(A249,'Standards Catalogue'!$A:$A,'Standards Catalogue'!$D:$D,""),IF(B249="S",_xludf.XLOOKUP(A249,'Standards Catalogue'!$A:$A,'Standards Catalogue'!$F:$F,""),""))),"")</f>
        <v/>
      </c>
      <c r="O249" t="str">
        <f>IF(M249,IF(B249="Fe",_xludf.XLOOKUP(A249,'Standards Catalogue'!$A:$A,'Standards Catalogue'!$C:$C,""),IF(B249="P",_xludf.XLOOKUP(A249,'Standards Catalogue'!$A:$A,'Standards Catalogue'!$E:$E,""),IF(B249="S",_xludf.XLOOKUP(A249,'Standards Catalogue'!$A:$A,'Standards Catalogue'!$G:$G,""),""))),"")</f>
        <v/>
      </c>
      <c r="P249" t="str">
        <f t="shared" si="17"/>
        <v/>
      </c>
      <c r="Q249" t="str">
        <f t="shared" si="18"/>
        <v/>
      </c>
      <c r="R249" t="str">
        <f t="shared" si="19"/>
        <v/>
      </c>
    </row>
    <row r="250" spans="12:18" x14ac:dyDescent="0.25">
      <c r="L250" t="str">
        <f t="shared" si="15"/>
        <v/>
      </c>
      <c r="M250" t="b">
        <f t="shared" si="16"/>
        <v>0</v>
      </c>
      <c r="N250" t="str">
        <f>IF(M250,IF(B250="Fe",_xludf.XLOOKUP(A250,'Standards Catalogue'!$A:$A,'Standards Catalogue'!$B:$B,""),IF(B250="P",_xludf.XLOOKUP(A250,'Standards Catalogue'!$A:$A,'Standards Catalogue'!$D:$D,""),IF(B250="S",_xludf.XLOOKUP(A250,'Standards Catalogue'!$A:$A,'Standards Catalogue'!$F:$F,""),""))),"")</f>
        <v/>
      </c>
      <c r="O250" t="str">
        <f>IF(M250,IF(B250="Fe",_xludf.XLOOKUP(A250,'Standards Catalogue'!$A:$A,'Standards Catalogue'!$C:$C,""),IF(B250="P",_xludf.XLOOKUP(A250,'Standards Catalogue'!$A:$A,'Standards Catalogue'!$E:$E,""),IF(B250="S",_xludf.XLOOKUP(A250,'Standards Catalogue'!$A:$A,'Standards Catalogue'!$G:$G,""),""))),"")</f>
        <v/>
      </c>
      <c r="P250" t="str">
        <f t="shared" si="17"/>
        <v/>
      </c>
      <c r="Q250" t="str">
        <f t="shared" si="18"/>
        <v/>
      </c>
      <c r="R250" t="str">
        <f t="shared" si="19"/>
        <v/>
      </c>
    </row>
    <row r="251" spans="12:18" x14ac:dyDescent="0.25">
      <c r="L251" t="str">
        <f t="shared" si="15"/>
        <v/>
      </c>
      <c r="M251" t="b">
        <f t="shared" si="16"/>
        <v>0</v>
      </c>
      <c r="N251" t="str">
        <f>IF(M251,IF(B251="Fe",_xludf.XLOOKUP(A251,'Standards Catalogue'!$A:$A,'Standards Catalogue'!$B:$B,""),IF(B251="P",_xludf.XLOOKUP(A251,'Standards Catalogue'!$A:$A,'Standards Catalogue'!$D:$D,""),IF(B251="S",_xludf.XLOOKUP(A251,'Standards Catalogue'!$A:$A,'Standards Catalogue'!$F:$F,""),""))),"")</f>
        <v/>
      </c>
      <c r="O251" t="str">
        <f>IF(M251,IF(B251="Fe",_xludf.XLOOKUP(A251,'Standards Catalogue'!$A:$A,'Standards Catalogue'!$C:$C,""),IF(B251="P",_xludf.XLOOKUP(A251,'Standards Catalogue'!$A:$A,'Standards Catalogue'!$E:$E,""),IF(B251="S",_xludf.XLOOKUP(A251,'Standards Catalogue'!$A:$A,'Standards Catalogue'!$G:$G,""),""))),"")</f>
        <v/>
      </c>
      <c r="P251" t="str">
        <f t="shared" si="17"/>
        <v/>
      </c>
      <c r="Q251" t="str">
        <f t="shared" si="18"/>
        <v/>
      </c>
      <c r="R251" t="str">
        <f t="shared" si="19"/>
        <v/>
      </c>
    </row>
    <row r="252" spans="12:18" x14ac:dyDescent="0.25">
      <c r="L252" t="str">
        <f t="shared" si="15"/>
        <v/>
      </c>
      <c r="M252" t="b">
        <f t="shared" si="16"/>
        <v>0</v>
      </c>
      <c r="N252" t="str">
        <f>IF(M252,IF(B252="Fe",_xludf.XLOOKUP(A252,'Standards Catalogue'!$A:$A,'Standards Catalogue'!$B:$B,""),IF(B252="P",_xludf.XLOOKUP(A252,'Standards Catalogue'!$A:$A,'Standards Catalogue'!$D:$D,""),IF(B252="S",_xludf.XLOOKUP(A252,'Standards Catalogue'!$A:$A,'Standards Catalogue'!$F:$F,""),""))),"")</f>
        <v/>
      </c>
      <c r="O252" t="str">
        <f>IF(M252,IF(B252="Fe",_xludf.XLOOKUP(A252,'Standards Catalogue'!$A:$A,'Standards Catalogue'!$C:$C,""),IF(B252="P",_xludf.XLOOKUP(A252,'Standards Catalogue'!$A:$A,'Standards Catalogue'!$E:$E,""),IF(B252="S",_xludf.XLOOKUP(A252,'Standards Catalogue'!$A:$A,'Standards Catalogue'!$G:$G,""),""))),"")</f>
        <v/>
      </c>
      <c r="P252" t="str">
        <f t="shared" si="17"/>
        <v/>
      </c>
      <c r="Q252" t="str">
        <f t="shared" si="18"/>
        <v/>
      </c>
      <c r="R252" t="str">
        <f t="shared" si="19"/>
        <v/>
      </c>
    </row>
    <row r="253" spans="12:18" x14ac:dyDescent="0.25">
      <c r="L253" t="str">
        <f t="shared" si="15"/>
        <v/>
      </c>
      <c r="M253" t="b">
        <f t="shared" si="16"/>
        <v>0</v>
      </c>
      <c r="N253" t="str">
        <f>IF(M253,IF(B253="Fe",_xludf.XLOOKUP(A253,'Standards Catalogue'!$A:$A,'Standards Catalogue'!$B:$B,""),IF(B253="P",_xludf.XLOOKUP(A253,'Standards Catalogue'!$A:$A,'Standards Catalogue'!$D:$D,""),IF(B253="S",_xludf.XLOOKUP(A253,'Standards Catalogue'!$A:$A,'Standards Catalogue'!$F:$F,""),""))),"")</f>
        <v/>
      </c>
      <c r="O253" t="str">
        <f>IF(M253,IF(B253="Fe",_xludf.XLOOKUP(A253,'Standards Catalogue'!$A:$A,'Standards Catalogue'!$C:$C,""),IF(B253="P",_xludf.XLOOKUP(A253,'Standards Catalogue'!$A:$A,'Standards Catalogue'!$E:$E,""),IF(B253="S",_xludf.XLOOKUP(A253,'Standards Catalogue'!$A:$A,'Standards Catalogue'!$G:$G,""),""))),"")</f>
        <v/>
      </c>
      <c r="P253" t="str">
        <f t="shared" si="17"/>
        <v/>
      </c>
      <c r="Q253" t="str">
        <f t="shared" si="18"/>
        <v/>
      </c>
      <c r="R253" t="str">
        <f t="shared" si="19"/>
        <v/>
      </c>
    </row>
    <row r="254" spans="12:18" x14ac:dyDescent="0.25">
      <c r="L254" t="str">
        <f t="shared" si="15"/>
        <v/>
      </c>
      <c r="M254" t="b">
        <f t="shared" si="16"/>
        <v>0</v>
      </c>
      <c r="N254" t="str">
        <f>IF(M254,IF(B254="Fe",_xludf.XLOOKUP(A254,'Standards Catalogue'!$A:$A,'Standards Catalogue'!$B:$B,""),IF(B254="P",_xludf.XLOOKUP(A254,'Standards Catalogue'!$A:$A,'Standards Catalogue'!$D:$D,""),IF(B254="S",_xludf.XLOOKUP(A254,'Standards Catalogue'!$A:$A,'Standards Catalogue'!$F:$F,""),""))),"")</f>
        <v/>
      </c>
      <c r="O254" t="str">
        <f>IF(M254,IF(B254="Fe",_xludf.XLOOKUP(A254,'Standards Catalogue'!$A:$A,'Standards Catalogue'!$C:$C,""),IF(B254="P",_xludf.XLOOKUP(A254,'Standards Catalogue'!$A:$A,'Standards Catalogue'!$E:$E,""),IF(B254="S",_xludf.XLOOKUP(A254,'Standards Catalogue'!$A:$A,'Standards Catalogue'!$G:$G,""),""))),"")</f>
        <v/>
      </c>
      <c r="P254" t="str">
        <f t="shared" si="17"/>
        <v/>
      </c>
      <c r="Q254" t="str">
        <f t="shared" si="18"/>
        <v/>
      </c>
      <c r="R254" t="str">
        <f t="shared" si="19"/>
        <v/>
      </c>
    </row>
    <row r="255" spans="12:18" x14ac:dyDescent="0.25">
      <c r="L255" t="str">
        <f t="shared" si="15"/>
        <v/>
      </c>
      <c r="M255" t="b">
        <f t="shared" si="16"/>
        <v>0</v>
      </c>
      <c r="N255" t="str">
        <f>IF(M255,IF(B255="Fe",_xludf.XLOOKUP(A255,'Standards Catalogue'!$A:$A,'Standards Catalogue'!$B:$B,""),IF(B255="P",_xludf.XLOOKUP(A255,'Standards Catalogue'!$A:$A,'Standards Catalogue'!$D:$D,""),IF(B255="S",_xludf.XLOOKUP(A255,'Standards Catalogue'!$A:$A,'Standards Catalogue'!$F:$F,""),""))),"")</f>
        <v/>
      </c>
      <c r="O255" t="str">
        <f>IF(M255,IF(B255="Fe",_xludf.XLOOKUP(A255,'Standards Catalogue'!$A:$A,'Standards Catalogue'!$C:$C,""),IF(B255="P",_xludf.XLOOKUP(A255,'Standards Catalogue'!$A:$A,'Standards Catalogue'!$E:$E,""),IF(B255="S",_xludf.XLOOKUP(A255,'Standards Catalogue'!$A:$A,'Standards Catalogue'!$G:$G,""),""))),"")</f>
        <v/>
      </c>
      <c r="P255" t="str">
        <f t="shared" si="17"/>
        <v/>
      </c>
      <c r="Q255" t="str">
        <f t="shared" si="18"/>
        <v/>
      </c>
      <c r="R255" t="str">
        <f t="shared" si="19"/>
        <v/>
      </c>
    </row>
    <row r="256" spans="12:18" x14ac:dyDescent="0.25">
      <c r="L256" t="str">
        <f t="shared" si="15"/>
        <v/>
      </c>
      <c r="M256" t="b">
        <f t="shared" si="16"/>
        <v>0</v>
      </c>
      <c r="N256" t="str">
        <f>IF(M256,IF(B256="Fe",_xludf.XLOOKUP(A256,'Standards Catalogue'!$A:$A,'Standards Catalogue'!$B:$B,""),IF(B256="P",_xludf.XLOOKUP(A256,'Standards Catalogue'!$A:$A,'Standards Catalogue'!$D:$D,""),IF(B256="S",_xludf.XLOOKUP(A256,'Standards Catalogue'!$A:$A,'Standards Catalogue'!$F:$F,""),""))),"")</f>
        <v/>
      </c>
      <c r="O256" t="str">
        <f>IF(M256,IF(B256="Fe",_xludf.XLOOKUP(A256,'Standards Catalogue'!$A:$A,'Standards Catalogue'!$C:$C,""),IF(B256="P",_xludf.XLOOKUP(A256,'Standards Catalogue'!$A:$A,'Standards Catalogue'!$E:$E,""),IF(B256="S",_xludf.XLOOKUP(A256,'Standards Catalogue'!$A:$A,'Standards Catalogue'!$G:$G,""),""))),"")</f>
        <v/>
      </c>
      <c r="P256" t="str">
        <f t="shared" si="17"/>
        <v/>
      </c>
      <c r="Q256" t="str">
        <f t="shared" si="18"/>
        <v/>
      </c>
      <c r="R256" t="str">
        <f t="shared" si="19"/>
        <v/>
      </c>
    </row>
    <row r="257" spans="12:18" x14ac:dyDescent="0.25">
      <c r="L257" t="str">
        <f t="shared" si="15"/>
        <v/>
      </c>
      <c r="M257" t="b">
        <f t="shared" si="16"/>
        <v>0</v>
      </c>
      <c r="N257" t="str">
        <f>IF(M257,IF(B257="Fe",_xludf.XLOOKUP(A257,'Standards Catalogue'!$A:$A,'Standards Catalogue'!$B:$B,""),IF(B257="P",_xludf.XLOOKUP(A257,'Standards Catalogue'!$A:$A,'Standards Catalogue'!$D:$D,""),IF(B257="S",_xludf.XLOOKUP(A257,'Standards Catalogue'!$A:$A,'Standards Catalogue'!$F:$F,""),""))),"")</f>
        <v/>
      </c>
      <c r="O257" t="str">
        <f>IF(M257,IF(B257="Fe",_xludf.XLOOKUP(A257,'Standards Catalogue'!$A:$A,'Standards Catalogue'!$C:$C,""),IF(B257="P",_xludf.XLOOKUP(A257,'Standards Catalogue'!$A:$A,'Standards Catalogue'!$E:$E,""),IF(B257="S",_xludf.XLOOKUP(A257,'Standards Catalogue'!$A:$A,'Standards Catalogue'!$G:$G,""),""))),"")</f>
        <v/>
      </c>
      <c r="P257" t="str">
        <f t="shared" si="17"/>
        <v/>
      </c>
      <c r="Q257" t="str">
        <f t="shared" si="18"/>
        <v/>
      </c>
      <c r="R257" t="str">
        <f t="shared" si="19"/>
        <v/>
      </c>
    </row>
    <row r="258" spans="12:18" x14ac:dyDescent="0.25">
      <c r="L258" t="str">
        <f t="shared" ref="L258:L321" si="20">IF(AND(A258&lt;&gt;"",B258&lt;&gt;""),A258&amp;"|"&amp;B258,"")</f>
        <v/>
      </c>
      <c r="M258" t="b">
        <f t="shared" ref="M258:M321" si="21">IF(COUNTIF(STANDARDS_IDS,A258)&gt;0,TRUE,FALSE)</f>
        <v>0</v>
      </c>
      <c r="N258" t="str">
        <f>IF(M258,IF(B258="Fe",_xludf.XLOOKUP(A258,'Standards Catalogue'!$A:$A,'Standards Catalogue'!$B:$B,""),IF(B258="P",_xludf.XLOOKUP(A258,'Standards Catalogue'!$A:$A,'Standards Catalogue'!$D:$D,""),IF(B258="S",_xludf.XLOOKUP(A258,'Standards Catalogue'!$A:$A,'Standards Catalogue'!$F:$F,""),""))),"")</f>
        <v/>
      </c>
      <c r="O258" t="str">
        <f>IF(M258,IF(B258="Fe",_xludf.XLOOKUP(A258,'Standards Catalogue'!$A:$A,'Standards Catalogue'!$C:$C,""),IF(B258="P",_xludf.XLOOKUP(A258,'Standards Catalogue'!$A:$A,'Standards Catalogue'!$E:$E,""),IF(B258="S",_xludf.XLOOKUP(A258,'Standards Catalogue'!$A:$A,'Standards Catalogue'!$G:$G,""),""))),"")</f>
        <v/>
      </c>
      <c r="P258" t="str">
        <f t="shared" ref="P258:P321" si="22">IF(M258,N258-2*O258,"")</f>
        <v/>
      </c>
      <c r="Q258" t="str">
        <f t="shared" ref="Q258:Q321" si="23">IF(M258,N258+2*O258,"")</f>
        <v/>
      </c>
      <c r="R258" t="str">
        <f t="shared" ref="R258:R321" si="24">IF(M258,IF(OR(C258="",N258="",O258=""),"",IF(AND(C258&gt;=P258,C258&lt;=Q258),"PASS","FAIL")),"")</f>
        <v/>
      </c>
    </row>
    <row r="259" spans="12:18" x14ac:dyDescent="0.25">
      <c r="L259" t="str">
        <f t="shared" si="20"/>
        <v/>
      </c>
      <c r="M259" t="b">
        <f t="shared" si="21"/>
        <v>0</v>
      </c>
      <c r="N259" t="str">
        <f>IF(M259,IF(B259="Fe",_xludf.XLOOKUP(A259,'Standards Catalogue'!$A:$A,'Standards Catalogue'!$B:$B,""),IF(B259="P",_xludf.XLOOKUP(A259,'Standards Catalogue'!$A:$A,'Standards Catalogue'!$D:$D,""),IF(B259="S",_xludf.XLOOKUP(A259,'Standards Catalogue'!$A:$A,'Standards Catalogue'!$F:$F,""),""))),"")</f>
        <v/>
      </c>
      <c r="O259" t="str">
        <f>IF(M259,IF(B259="Fe",_xludf.XLOOKUP(A259,'Standards Catalogue'!$A:$A,'Standards Catalogue'!$C:$C,""),IF(B259="P",_xludf.XLOOKUP(A259,'Standards Catalogue'!$A:$A,'Standards Catalogue'!$E:$E,""),IF(B259="S",_xludf.XLOOKUP(A259,'Standards Catalogue'!$A:$A,'Standards Catalogue'!$G:$G,""),""))),"")</f>
        <v/>
      </c>
      <c r="P259" t="str">
        <f t="shared" si="22"/>
        <v/>
      </c>
      <c r="Q259" t="str">
        <f t="shared" si="23"/>
        <v/>
      </c>
      <c r="R259" t="str">
        <f t="shared" si="24"/>
        <v/>
      </c>
    </row>
    <row r="260" spans="12:18" x14ac:dyDescent="0.25">
      <c r="L260" t="str">
        <f t="shared" si="20"/>
        <v/>
      </c>
      <c r="M260" t="b">
        <f t="shared" si="21"/>
        <v>0</v>
      </c>
      <c r="N260" t="str">
        <f>IF(M260,IF(B260="Fe",_xludf.XLOOKUP(A260,'Standards Catalogue'!$A:$A,'Standards Catalogue'!$B:$B,""),IF(B260="P",_xludf.XLOOKUP(A260,'Standards Catalogue'!$A:$A,'Standards Catalogue'!$D:$D,""),IF(B260="S",_xludf.XLOOKUP(A260,'Standards Catalogue'!$A:$A,'Standards Catalogue'!$F:$F,""),""))),"")</f>
        <v/>
      </c>
      <c r="O260" t="str">
        <f>IF(M260,IF(B260="Fe",_xludf.XLOOKUP(A260,'Standards Catalogue'!$A:$A,'Standards Catalogue'!$C:$C,""),IF(B260="P",_xludf.XLOOKUP(A260,'Standards Catalogue'!$A:$A,'Standards Catalogue'!$E:$E,""),IF(B260="S",_xludf.XLOOKUP(A260,'Standards Catalogue'!$A:$A,'Standards Catalogue'!$G:$G,""),""))),"")</f>
        <v/>
      </c>
      <c r="P260" t="str">
        <f t="shared" si="22"/>
        <v/>
      </c>
      <c r="Q260" t="str">
        <f t="shared" si="23"/>
        <v/>
      </c>
      <c r="R260" t="str">
        <f t="shared" si="24"/>
        <v/>
      </c>
    </row>
    <row r="261" spans="12:18" x14ac:dyDescent="0.25">
      <c r="L261" t="str">
        <f t="shared" si="20"/>
        <v/>
      </c>
      <c r="M261" t="b">
        <f t="shared" si="21"/>
        <v>0</v>
      </c>
      <c r="N261" t="str">
        <f>IF(M261,IF(B261="Fe",_xludf.XLOOKUP(A261,'Standards Catalogue'!$A:$A,'Standards Catalogue'!$B:$B,""),IF(B261="P",_xludf.XLOOKUP(A261,'Standards Catalogue'!$A:$A,'Standards Catalogue'!$D:$D,""),IF(B261="S",_xludf.XLOOKUP(A261,'Standards Catalogue'!$A:$A,'Standards Catalogue'!$F:$F,""),""))),"")</f>
        <v/>
      </c>
      <c r="O261" t="str">
        <f>IF(M261,IF(B261="Fe",_xludf.XLOOKUP(A261,'Standards Catalogue'!$A:$A,'Standards Catalogue'!$C:$C,""),IF(B261="P",_xludf.XLOOKUP(A261,'Standards Catalogue'!$A:$A,'Standards Catalogue'!$E:$E,""),IF(B261="S",_xludf.XLOOKUP(A261,'Standards Catalogue'!$A:$A,'Standards Catalogue'!$G:$G,""),""))),"")</f>
        <v/>
      </c>
      <c r="P261" t="str">
        <f t="shared" si="22"/>
        <v/>
      </c>
      <c r="Q261" t="str">
        <f t="shared" si="23"/>
        <v/>
      </c>
      <c r="R261" t="str">
        <f t="shared" si="24"/>
        <v/>
      </c>
    </row>
    <row r="262" spans="12:18" x14ac:dyDescent="0.25">
      <c r="L262" t="str">
        <f t="shared" si="20"/>
        <v/>
      </c>
      <c r="M262" t="b">
        <f t="shared" si="21"/>
        <v>0</v>
      </c>
      <c r="N262" t="str">
        <f>IF(M262,IF(B262="Fe",_xludf.XLOOKUP(A262,'Standards Catalogue'!$A:$A,'Standards Catalogue'!$B:$B,""),IF(B262="P",_xludf.XLOOKUP(A262,'Standards Catalogue'!$A:$A,'Standards Catalogue'!$D:$D,""),IF(B262="S",_xludf.XLOOKUP(A262,'Standards Catalogue'!$A:$A,'Standards Catalogue'!$F:$F,""),""))),"")</f>
        <v/>
      </c>
      <c r="O262" t="str">
        <f>IF(M262,IF(B262="Fe",_xludf.XLOOKUP(A262,'Standards Catalogue'!$A:$A,'Standards Catalogue'!$C:$C,""),IF(B262="P",_xludf.XLOOKUP(A262,'Standards Catalogue'!$A:$A,'Standards Catalogue'!$E:$E,""),IF(B262="S",_xludf.XLOOKUP(A262,'Standards Catalogue'!$A:$A,'Standards Catalogue'!$G:$G,""),""))),"")</f>
        <v/>
      </c>
      <c r="P262" t="str">
        <f t="shared" si="22"/>
        <v/>
      </c>
      <c r="Q262" t="str">
        <f t="shared" si="23"/>
        <v/>
      </c>
      <c r="R262" t="str">
        <f t="shared" si="24"/>
        <v/>
      </c>
    </row>
    <row r="263" spans="12:18" x14ac:dyDescent="0.25">
      <c r="L263" t="str">
        <f t="shared" si="20"/>
        <v/>
      </c>
      <c r="M263" t="b">
        <f t="shared" si="21"/>
        <v>0</v>
      </c>
      <c r="N263" t="str">
        <f>IF(M263,IF(B263="Fe",_xludf.XLOOKUP(A263,'Standards Catalogue'!$A:$A,'Standards Catalogue'!$B:$B,""),IF(B263="P",_xludf.XLOOKUP(A263,'Standards Catalogue'!$A:$A,'Standards Catalogue'!$D:$D,""),IF(B263="S",_xludf.XLOOKUP(A263,'Standards Catalogue'!$A:$A,'Standards Catalogue'!$F:$F,""),""))),"")</f>
        <v/>
      </c>
      <c r="O263" t="str">
        <f>IF(M263,IF(B263="Fe",_xludf.XLOOKUP(A263,'Standards Catalogue'!$A:$A,'Standards Catalogue'!$C:$C,""),IF(B263="P",_xludf.XLOOKUP(A263,'Standards Catalogue'!$A:$A,'Standards Catalogue'!$E:$E,""),IF(B263="S",_xludf.XLOOKUP(A263,'Standards Catalogue'!$A:$A,'Standards Catalogue'!$G:$G,""),""))),"")</f>
        <v/>
      </c>
      <c r="P263" t="str">
        <f t="shared" si="22"/>
        <v/>
      </c>
      <c r="Q263" t="str">
        <f t="shared" si="23"/>
        <v/>
      </c>
      <c r="R263" t="str">
        <f t="shared" si="24"/>
        <v/>
      </c>
    </row>
    <row r="264" spans="12:18" x14ac:dyDescent="0.25">
      <c r="L264" t="str">
        <f t="shared" si="20"/>
        <v/>
      </c>
      <c r="M264" t="b">
        <f t="shared" si="21"/>
        <v>0</v>
      </c>
      <c r="N264" t="str">
        <f>IF(M264,IF(B264="Fe",_xludf.XLOOKUP(A264,'Standards Catalogue'!$A:$A,'Standards Catalogue'!$B:$B,""),IF(B264="P",_xludf.XLOOKUP(A264,'Standards Catalogue'!$A:$A,'Standards Catalogue'!$D:$D,""),IF(B264="S",_xludf.XLOOKUP(A264,'Standards Catalogue'!$A:$A,'Standards Catalogue'!$F:$F,""),""))),"")</f>
        <v/>
      </c>
      <c r="O264" t="str">
        <f>IF(M264,IF(B264="Fe",_xludf.XLOOKUP(A264,'Standards Catalogue'!$A:$A,'Standards Catalogue'!$C:$C,""),IF(B264="P",_xludf.XLOOKUP(A264,'Standards Catalogue'!$A:$A,'Standards Catalogue'!$E:$E,""),IF(B264="S",_xludf.XLOOKUP(A264,'Standards Catalogue'!$A:$A,'Standards Catalogue'!$G:$G,""),""))),"")</f>
        <v/>
      </c>
      <c r="P264" t="str">
        <f t="shared" si="22"/>
        <v/>
      </c>
      <c r="Q264" t="str">
        <f t="shared" si="23"/>
        <v/>
      </c>
      <c r="R264" t="str">
        <f t="shared" si="24"/>
        <v/>
      </c>
    </row>
    <row r="265" spans="12:18" x14ac:dyDescent="0.25">
      <c r="L265" t="str">
        <f t="shared" si="20"/>
        <v/>
      </c>
      <c r="M265" t="b">
        <f t="shared" si="21"/>
        <v>0</v>
      </c>
      <c r="N265" t="str">
        <f>IF(M265,IF(B265="Fe",_xludf.XLOOKUP(A265,'Standards Catalogue'!$A:$A,'Standards Catalogue'!$B:$B,""),IF(B265="P",_xludf.XLOOKUP(A265,'Standards Catalogue'!$A:$A,'Standards Catalogue'!$D:$D,""),IF(B265="S",_xludf.XLOOKUP(A265,'Standards Catalogue'!$A:$A,'Standards Catalogue'!$F:$F,""),""))),"")</f>
        <v/>
      </c>
      <c r="O265" t="str">
        <f>IF(M265,IF(B265="Fe",_xludf.XLOOKUP(A265,'Standards Catalogue'!$A:$A,'Standards Catalogue'!$C:$C,""),IF(B265="P",_xludf.XLOOKUP(A265,'Standards Catalogue'!$A:$A,'Standards Catalogue'!$E:$E,""),IF(B265="S",_xludf.XLOOKUP(A265,'Standards Catalogue'!$A:$A,'Standards Catalogue'!$G:$G,""),""))),"")</f>
        <v/>
      </c>
      <c r="P265" t="str">
        <f t="shared" si="22"/>
        <v/>
      </c>
      <c r="Q265" t="str">
        <f t="shared" si="23"/>
        <v/>
      </c>
      <c r="R265" t="str">
        <f t="shared" si="24"/>
        <v/>
      </c>
    </row>
    <row r="266" spans="12:18" x14ac:dyDescent="0.25">
      <c r="L266" t="str">
        <f t="shared" si="20"/>
        <v/>
      </c>
      <c r="M266" t="b">
        <f t="shared" si="21"/>
        <v>0</v>
      </c>
      <c r="N266" t="str">
        <f>IF(M266,IF(B266="Fe",_xludf.XLOOKUP(A266,'Standards Catalogue'!$A:$A,'Standards Catalogue'!$B:$B,""),IF(B266="P",_xludf.XLOOKUP(A266,'Standards Catalogue'!$A:$A,'Standards Catalogue'!$D:$D,""),IF(B266="S",_xludf.XLOOKUP(A266,'Standards Catalogue'!$A:$A,'Standards Catalogue'!$F:$F,""),""))),"")</f>
        <v/>
      </c>
      <c r="O266" t="str">
        <f>IF(M266,IF(B266="Fe",_xludf.XLOOKUP(A266,'Standards Catalogue'!$A:$A,'Standards Catalogue'!$C:$C,""),IF(B266="P",_xludf.XLOOKUP(A266,'Standards Catalogue'!$A:$A,'Standards Catalogue'!$E:$E,""),IF(B266="S",_xludf.XLOOKUP(A266,'Standards Catalogue'!$A:$A,'Standards Catalogue'!$G:$G,""),""))),"")</f>
        <v/>
      </c>
      <c r="P266" t="str">
        <f t="shared" si="22"/>
        <v/>
      </c>
      <c r="Q266" t="str">
        <f t="shared" si="23"/>
        <v/>
      </c>
      <c r="R266" t="str">
        <f t="shared" si="24"/>
        <v/>
      </c>
    </row>
    <row r="267" spans="12:18" x14ac:dyDescent="0.25">
      <c r="L267" t="str">
        <f t="shared" si="20"/>
        <v/>
      </c>
      <c r="M267" t="b">
        <f t="shared" si="21"/>
        <v>0</v>
      </c>
      <c r="N267" t="str">
        <f>IF(M267,IF(B267="Fe",_xludf.XLOOKUP(A267,'Standards Catalogue'!$A:$A,'Standards Catalogue'!$B:$B,""),IF(B267="P",_xludf.XLOOKUP(A267,'Standards Catalogue'!$A:$A,'Standards Catalogue'!$D:$D,""),IF(B267="S",_xludf.XLOOKUP(A267,'Standards Catalogue'!$A:$A,'Standards Catalogue'!$F:$F,""),""))),"")</f>
        <v/>
      </c>
      <c r="O267" t="str">
        <f>IF(M267,IF(B267="Fe",_xludf.XLOOKUP(A267,'Standards Catalogue'!$A:$A,'Standards Catalogue'!$C:$C,""),IF(B267="P",_xludf.XLOOKUP(A267,'Standards Catalogue'!$A:$A,'Standards Catalogue'!$E:$E,""),IF(B267="S",_xludf.XLOOKUP(A267,'Standards Catalogue'!$A:$A,'Standards Catalogue'!$G:$G,""),""))),"")</f>
        <v/>
      </c>
      <c r="P267" t="str">
        <f t="shared" si="22"/>
        <v/>
      </c>
      <c r="Q267" t="str">
        <f t="shared" si="23"/>
        <v/>
      </c>
      <c r="R267" t="str">
        <f t="shared" si="24"/>
        <v/>
      </c>
    </row>
    <row r="268" spans="12:18" x14ac:dyDescent="0.25">
      <c r="L268" t="str">
        <f t="shared" si="20"/>
        <v/>
      </c>
      <c r="M268" t="b">
        <f t="shared" si="21"/>
        <v>0</v>
      </c>
      <c r="N268" t="str">
        <f>IF(M268,IF(B268="Fe",_xludf.XLOOKUP(A268,'Standards Catalogue'!$A:$A,'Standards Catalogue'!$B:$B,""),IF(B268="P",_xludf.XLOOKUP(A268,'Standards Catalogue'!$A:$A,'Standards Catalogue'!$D:$D,""),IF(B268="S",_xludf.XLOOKUP(A268,'Standards Catalogue'!$A:$A,'Standards Catalogue'!$F:$F,""),""))),"")</f>
        <v/>
      </c>
      <c r="O268" t="str">
        <f>IF(M268,IF(B268="Fe",_xludf.XLOOKUP(A268,'Standards Catalogue'!$A:$A,'Standards Catalogue'!$C:$C,""),IF(B268="P",_xludf.XLOOKUP(A268,'Standards Catalogue'!$A:$A,'Standards Catalogue'!$E:$E,""),IF(B268="S",_xludf.XLOOKUP(A268,'Standards Catalogue'!$A:$A,'Standards Catalogue'!$G:$G,""),""))),"")</f>
        <v/>
      </c>
      <c r="P268" t="str">
        <f t="shared" si="22"/>
        <v/>
      </c>
      <c r="Q268" t="str">
        <f t="shared" si="23"/>
        <v/>
      </c>
      <c r="R268" t="str">
        <f t="shared" si="24"/>
        <v/>
      </c>
    </row>
    <row r="269" spans="12:18" x14ac:dyDescent="0.25">
      <c r="L269" t="str">
        <f t="shared" si="20"/>
        <v/>
      </c>
      <c r="M269" t="b">
        <f t="shared" si="21"/>
        <v>0</v>
      </c>
      <c r="N269" t="str">
        <f>IF(M269,IF(B269="Fe",_xludf.XLOOKUP(A269,'Standards Catalogue'!$A:$A,'Standards Catalogue'!$B:$B,""),IF(B269="P",_xludf.XLOOKUP(A269,'Standards Catalogue'!$A:$A,'Standards Catalogue'!$D:$D,""),IF(B269="S",_xludf.XLOOKUP(A269,'Standards Catalogue'!$A:$A,'Standards Catalogue'!$F:$F,""),""))),"")</f>
        <v/>
      </c>
      <c r="O269" t="str">
        <f>IF(M269,IF(B269="Fe",_xludf.XLOOKUP(A269,'Standards Catalogue'!$A:$A,'Standards Catalogue'!$C:$C,""),IF(B269="P",_xludf.XLOOKUP(A269,'Standards Catalogue'!$A:$A,'Standards Catalogue'!$E:$E,""),IF(B269="S",_xludf.XLOOKUP(A269,'Standards Catalogue'!$A:$A,'Standards Catalogue'!$G:$G,""),""))),"")</f>
        <v/>
      </c>
      <c r="P269" t="str">
        <f t="shared" si="22"/>
        <v/>
      </c>
      <c r="Q269" t="str">
        <f t="shared" si="23"/>
        <v/>
      </c>
      <c r="R269" t="str">
        <f t="shared" si="24"/>
        <v/>
      </c>
    </row>
    <row r="270" spans="12:18" x14ac:dyDescent="0.25">
      <c r="L270" t="str">
        <f t="shared" si="20"/>
        <v/>
      </c>
      <c r="M270" t="b">
        <f t="shared" si="21"/>
        <v>0</v>
      </c>
      <c r="N270" t="str">
        <f>IF(M270,IF(B270="Fe",_xludf.XLOOKUP(A270,'Standards Catalogue'!$A:$A,'Standards Catalogue'!$B:$B,""),IF(B270="P",_xludf.XLOOKUP(A270,'Standards Catalogue'!$A:$A,'Standards Catalogue'!$D:$D,""),IF(B270="S",_xludf.XLOOKUP(A270,'Standards Catalogue'!$A:$A,'Standards Catalogue'!$F:$F,""),""))),"")</f>
        <v/>
      </c>
      <c r="O270" t="str">
        <f>IF(M270,IF(B270="Fe",_xludf.XLOOKUP(A270,'Standards Catalogue'!$A:$A,'Standards Catalogue'!$C:$C,""),IF(B270="P",_xludf.XLOOKUP(A270,'Standards Catalogue'!$A:$A,'Standards Catalogue'!$E:$E,""),IF(B270="S",_xludf.XLOOKUP(A270,'Standards Catalogue'!$A:$A,'Standards Catalogue'!$G:$G,""),""))),"")</f>
        <v/>
      </c>
      <c r="P270" t="str">
        <f t="shared" si="22"/>
        <v/>
      </c>
      <c r="Q270" t="str">
        <f t="shared" si="23"/>
        <v/>
      </c>
      <c r="R270" t="str">
        <f t="shared" si="24"/>
        <v/>
      </c>
    </row>
    <row r="271" spans="12:18" x14ac:dyDescent="0.25">
      <c r="L271" t="str">
        <f t="shared" si="20"/>
        <v/>
      </c>
      <c r="M271" t="b">
        <f t="shared" si="21"/>
        <v>0</v>
      </c>
      <c r="N271" t="str">
        <f>IF(M271,IF(B271="Fe",_xludf.XLOOKUP(A271,'Standards Catalogue'!$A:$A,'Standards Catalogue'!$B:$B,""),IF(B271="P",_xludf.XLOOKUP(A271,'Standards Catalogue'!$A:$A,'Standards Catalogue'!$D:$D,""),IF(B271="S",_xludf.XLOOKUP(A271,'Standards Catalogue'!$A:$A,'Standards Catalogue'!$F:$F,""),""))),"")</f>
        <v/>
      </c>
      <c r="O271" t="str">
        <f>IF(M271,IF(B271="Fe",_xludf.XLOOKUP(A271,'Standards Catalogue'!$A:$A,'Standards Catalogue'!$C:$C,""),IF(B271="P",_xludf.XLOOKUP(A271,'Standards Catalogue'!$A:$A,'Standards Catalogue'!$E:$E,""),IF(B271="S",_xludf.XLOOKUP(A271,'Standards Catalogue'!$A:$A,'Standards Catalogue'!$G:$G,""),""))),"")</f>
        <v/>
      </c>
      <c r="P271" t="str">
        <f t="shared" si="22"/>
        <v/>
      </c>
      <c r="Q271" t="str">
        <f t="shared" si="23"/>
        <v/>
      </c>
      <c r="R271" t="str">
        <f t="shared" si="24"/>
        <v/>
      </c>
    </row>
    <row r="272" spans="12:18" x14ac:dyDescent="0.25">
      <c r="L272" t="str">
        <f t="shared" si="20"/>
        <v/>
      </c>
      <c r="M272" t="b">
        <f t="shared" si="21"/>
        <v>0</v>
      </c>
      <c r="N272" t="str">
        <f>IF(M272,IF(B272="Fe",_xludf.XLOOKUP(A272,'Standards Catalogue'!$A:$A,'Standards Catalogue'!$B:$B,""),IF(B272="P",_xludf.XLOOKUP(A272,'Standards Catalogue'!$A:$A,'Standards Catalogue'!$D:$D,""),IF(B272="S",_xludf.XLOOKUP(A272,'Standards Catalogue'!$A:$A,'Standards Catalogue'!$F:$F,""),""))),"")</f>
        <v/>
      </c>
      <c r="O272" t="str">
        <f>IF(M272,IF(B272="Fe",_xludf.XLOOKUP(A272,'Standards Catalogue'!$A:$A,'Standards Catalogue'!$C:$C,""),IF(B272="P",_xludf.XLOOKUP(A272,'Standards Catalogue'!$A:$A,'Standards Catalogue'!$E:$E,""),IF(B272="S",_xludf.XLOOKUP(A272,'Standards Catalogue'!$A:$A,'Standards Catalogue'!$G:$G,""),""))),"")</f>
        <v/>
      </c>
      <c r="P272" t="str">
        <f t="shared" si="22"/>
        <v/>
      </c>
      <c r="Q272" t="str">
        <f t="shared" si="23"/>
        <v/>
      </c>
      <c r="R272" t="str">
        <f t="shared" si="24"/>
        <v/>
      </c>
    </row>
    <row r="273" spans="12:18" x14ac:dyDescent="0.25">
      <c r="L273" t="str">
        <f t="shared" si="20"/>
        <v/>
      </c>
      <c r="M273" t="b">
        <f t="shared" si="21"/>
        <v>0</v>
      </c>
      <c r="N273" t="str">
        <f>IF(M273,IF(B273="Fe",_xludf.XLOOKUP(A273,'Standards Catalogue'!$A:$A,'Standards Catalogue'!$B:$B,""),IF(B273="P",_xludf.XLOOKUP(A273,'Standards Catalogue'!$A:$A,'Standards Catalogue'!$D:$D,""),IF(B273="S",_xludf.XLOOKUP(A273,'Standards Catalogue'!$A:$A,'Standards Catalogue'!$F:$F,""),""))),"")</f>
        <v/>
      </c>
      <c r="O273" t="str">
        <f>IF(M273,IF(B273="Fe",_xludf.XLOOKUP(A273,'Standards Catalogue'!$A:$A,'Standards Catalogue'!$C:$C,""),IF(B273="P",_xludf.XLOOKUP(A273,'Standards Catalogue'!$A:$A,'Standards Catalogue'!$E:$E,""),IF(B273="S",_xludf.XLOOKUP(A273,'Standards Catalogue'!$A:$A,'Standards Catalogue'!$G:$G,""),""))),"")</f>
        <v/>
      </c>
      <c r="P273" t="str">
        <f t="shared" si="22"/>
        <v/>
      </c>
      <c r="Q273" t="str">
        <f t="shared" si="23"/>
        <v/>
      </c>
      <c r="R273" t="str">
        <f t="shared" si="24"/>
        <v/>
      </c>
    </row>
    <row r="274" spans="12:18" x14ac:dyDescent="0.25">
      <c r="L274" t="str">
        <f t="shared" si="20"/>
        <v/>
      </c>
      <c r="M274" t="b">
        <f t="shared" si="21"/>
        <v>0</v>
      </c>
      <c r="N274" t="str">
        <f>IF(M274,IF(B274="Fe",_xludf.XLOOKUP(A274,'Standards Catalogue'!$A:$A,'Standards Catalogue'!$B:$B,""),IF(B274="P",_xludf.XLOOKUP(A274,'Standards Catalogue'!$A:$A,'Standards Catalogue'!$D:$D,""),IF(B274="S",_xludf.XLOOKUP(A274,'Standards Catalogue'!$A:$A,'Standards Catalogue'!$F:$F,""),""))),"")</f>
        <v/>
      </c>
      <c r="O274" t="str">
        <f>IF(M274,IF(B274="Fe",_xludf.XLOOKUP(A274,'Standards Catalogue'!$A:$A,'Standards Catalogue'!$C:$C,""),IF(B274="P",_xludf.XLOOKUP(A274,'Standards Catalogue'!$A:$A,'Standards Catalogue'!$E:$E,""),IF(B274="S",_xludf.XLOOKUP(A274,'Standards Catalogue'!$A:$A,'Standards Catalogue'!$G:$G,""),""))),"")</f>
        <v/>
      </c>
      <c r="P274" t="str">
        <f t="shared" si="22"/>
        <v/>
      </c>
      <c r="Q274" t="str">
        <f t="shared" si="23"/>
        <v/>
      </c>
      <c r="R274" t="str">
        <f t="shared" si="24"/>
        <v/>
      </c>
    </row>
    <row r="275" spans="12:18" x14ac:dyDescent="0.25">
      <c r="L275" t="str">
        <f t="shared" si="20"/>
        <v/>
      </c>
      <c r="M275" t="b">
        <f t="shared" si="21"/>
        <v>0</v>
      </c>
      <c r="N275" t="str">
        <f>IF(M275,IF(B275="Fe",_xludf.XLOOKUP(A275,'Standards Catalogue'!$A:$A,'Standards Catalogue'!$B:$B,""),IF(B275="P",_xludf.XLOOKUP(A275,'Standards Catalogue'!$A:$A,'Standards Catalogue'!$D:$D,""),IF(B275="S",_xludf.XLOOKUP(A275,'Standards Catalogue'!$A:$A,'Standards Catalogue'!$F:$F,""),""))),"")</f>
        <v/>
      </c>
      <c r="O275" t="str">
        <f>IF(M275,IF(B275="Fe",_xludf.XLOOKUP(A275,'Standards Catalogue'!$A:$A,'Standards Catalogue'!$C:$C,""),IF(B275="P",_xludf.XLOOKUP(A275,'Standards Catalogue'!$A:$A,'Standards Catalogue'!$E:$E,""),IF(B275="S",_xludf.XLOOKUP(A275,'Standards Catalogue'!$A:$A,'Standards Catalogue'!$G:$G,""),""))),"")</f>
        <v/>
      </c>
      <c r="P275" t="str">
        <f t="shared" si="22"/>
        <v/>
      </c>
      <c r="Q275" t="str">
        <f t="shared" si="23"/>
        <v/>
      </c>
      <c r="R275" t="str">
        <f t="shared" si="24"/>
        <v/>
      </c>
    </row>
    <row r="276" spans="12:18" x14ac:dyDescent="0.25">
      <c r="L276" t="str">
        <f t="shared" si="20"/>
        <v/>
      </c>
      <c r="M276" t="b">
        <f t="shared" si="21"/>
        <v>0</v>
      </c>
      <c r="N276" t="str">
        <f>IF(M276,IF(B276="Fe",_xludf.XLOOKUP(A276,'Standards Catalogue'!$A:$A,'Standards Catalogue'!$B:$B,""),IF(B276="P",_xludf.XLOOKUP(A276,'Standards Catalogue'!$A:$A,'Standards Catalogue'!$D:$D,""),IF(B276="S",_xludf.XLOOKUP(A276,'Standards Catalogue'!$A:$A,'Standards Catalogue'!$F:$F,""),""))),"")</f>
        <v/>
      </c>
      <c r="O276" t="str">
        <f>IF(M276,IF(B276="Fe",_xludf.XLOOKUP(A276,'Standards Catalogue'!$A:$A,'Standards Catalogue'!$C:$C,""),IF(B276="P",_xludf.XLOOKUP(A276,'Standards Catalogue'!$A:$A,'Standards Catalogue'!$E:$E,""),IF(B276="S",_xludf.XLOOKUP(A276,'Standards Catalogue'!$A:$A,'Standards Catalogue'!$G:$G,""),""))),"")</f>
        <v/>
      </c>
      <c r="P276" t="str">
        <f t="shared" si="22"/>
        <v/>
      </c>
      <c r="Q276" t="str">
        <f t="shared" si="23"/>
        <v/>
      </c>
      <c r="R276" t="str">
        <f t="shared" si="24"/>
        <v/>
      </c>
    </row>
    <row r="277" spans="12:18" x14ac:dyDescent="0.25">
      <c r="L277" t="str">
        <f t="shared" si="20"/>
        <v/>
      </c>
      <c r="M277" t="b">
        <f t="shared" si="21"/>
        <v>0</v>
      </c>
      <c r="N277" t="str">
        <f>IF(M277,IF(B277="Fe",_xludf.XLOOKUP(A277,'Standards Catalogue'!$A:$A,'Standards Catalogue'!$B:$B,""),IF(B277="P",_xludf.XLOOKUP(A277,'Standards Catalogue'!$A:$A,'Standards Catalogue'!$D:$D,""),IF(B277="S",_xludf.XLOOKUP(A277,'Standards Catalogue'!$A:$A,'Standards Catalogue'!$F:$F,""),""))),"")</f>
        <v/>
      </c>
      <c r="O277" t="str">
        <f>IF(M277,IF(B277="Fe",_xludf.XLOOKUP(A277,'Standards Catalogue'!$A:$A,'Standards Catalogue'!$C:$C,""),IF(B277="P",_xludf.XLOOKUP(A277,'Standards Catalogue'!$A:$A,'Standards Catalogue'!$E:$E,""),IF(B277="S",_xludf.XLOOKUP(A277,'Standards Catalogue'!$A:$A,'Standards Catalogue'!$G:$G,""),""))),"")</f>
        <v/>
      </c>
      <c r="P277" t="str">
        <f t="shared" si="22"/>
        <v/>
      </c>
      <c r="Q277" t="str">
        <f t="shared" si="23"/>
        <v/>
      </c>
      <c r="R277" t="str">
        <f t="shared" si="24"/>
        <v/>
      </c>
    </row>
    <row r="278" spans="12:18" x14ac:dyDescent="0.25">
      <c r="L278" t="str">
        <f t="shared" si="20"/>
        <v/>
      </c>
      <c r="M278" t="b">
        <f t="shared" si="21"/>
        <v>0</v>
      </c>
      <c r="N278" t="str">
        <f>IF(M278,IF(B278="Fe",_xludf.XLOOKUP(A278,'Standards Catalogue'!$A:$A,'Standards Catalogue'!$B:$B,""),IF(B278="P",_xludf.XLOOKUP(A278,'Standards Catalogue'!$A:$A,'Standards Catalogue'!$D:$D,""),IF(B278="S",_xludf.XLOOKUP(A278,'Standards Catalogue'!$A:$A,'Standards Catalogue'!$F:$F,""),""))),"")</f>
        <v/>
      </c>
      <c r="O278" t="str">
        <f>IF(M278,IF(B278="Fe",_xludf.XLOOKUP(A278,'Standards Catalogue'!$A:$A,'Standards Catalogue'!$C:$C,""),IF(B278="P",_xludf.XLOOKUP(A278,'Standards Catalogue'!$A:$A,'Standards Catalogue'!$E:$E,""),IF(B278="S",_xludf.XLOOKUP(A278,'Standards Catalogue'!$A:$A,'Standards Catalogue'!$G:$G,""),""))),"")</f>
        <v/>
      </c>
      <c r="P278" t="str">
        <f t="shared" si="22"/>
        <v/>
      </c>
      <c r="Q278" t="str">
        <f t="shared" si="23"/>
        <v/>
      </c>
      <c r="R278" t="str">
        <f t="shared" si="24"/>
        <v/>
      </c>
    </row>
    <row r="279" spans="12:18" x14ac:dyDescent="0.25">
      <c r="L279" t="str">
        <f t="shared" si="20"/>
        <v/>
      </c>
      <c r="M279" t="b">
        <f t="shared" si="21"/>
        <v>0</v>
      </c>
      <c r="N279" t="str">
        <f>IF(M279,IF(B279="Fe",_xludf.XLOOKUP(A279,'Standards Catalogue'!$A:$A,'Standards Catalogue'!$B:$B,""),IF(B279="P",_xludf.XLOOKUP(A279,'Standards Catalogue'!$A:$A,'Standards Catalogue'!$D:$D,""),IF(B279="S",_xludf.XLOOKUP(A279,'Standards Catalogue'!$A:$A,'Standards Catalogue'!$F:$F,""),""))),"")</f>
        <v/>
      </c>
      <c r="O279" t="str">
        <f>IF(M279,IF(B279="Fe",_xludf.XLOOKUP(A279,'Standards Catalogue'!$A:$A,'Standards Catalogue'!$C:$C,""),IF(B279="P",_xludf.XLOOKUP(A279,'Standards Catalogue'!$A:$A,'Standards Catalogue'!$E:$E,""),IF(B279="S",_xludf.XLOOKUP(A279,'Standards Catalogue'!$A:$A,'Standards Catalogue'!$G:$G,""),""))),"")</f>
        <v/>
      </c>
      <c r="P279" t="str">
        <f t="shared" si="22"/>
        <v/>
      </c>
      <c r="Q279" t="str">
        <f t="shared" si="23"/>
        <v/>
      </c>
      <c r="R279" t="str">
        <f t="shared" si="24"/>
        <v/>
      </c>
    </row>
    <row r="280" spans="12:18" x14ac:dyDescent="0.25">
      <c r="L280" t="str">
        <f t="shared" si="20"/>
        <v/>
      </c>
      <c r="M280" t="b">
        <f t="shared" si="21"/>
        <v>0</v>
      </c>
      <c r="N280" t="str">
        <f>IF(M280,IF(B280="Fe",_xludf.XLOOKUP(A280,'Standards Catalogue'!$A:$A,'Standards Catalogue'!$B:$B,""),IF(B280="P",_xludf.XLOOKUP(A280,'Standards Catalogue'!$A:$A,'Standards Catalogue'!$D:$D,""),IF(B280="S",_xludf.XLOOKUP(A280,'Standards Catalogue'!$A:$A,'Standards Catalogue'!$F:$F,""),""))),"")</f>
        <v/>
      </c>
      <c r="O280" t="str">
        <f>IF(M280,IF(B280="Fe",_xludf.XLOOKUP(A280,'Standards Catalogue'!$A:$A,'Standards Catalogue'!$C:$C,""),IF(B280="P",_xludf.XLOOKUP(A280,'Standards Catalogue'!$A:$A,'Standards Catalogue'!$E:$E,""),IF(B280="S",_xludf.XLOOKUP(A280,'Standards Catalogue'!$A:$A,'Standards Catalogue'!$G:$G,""),""))),"")</f>
        <v/>
      </c>
      <c r="P280" t="str">
        <f t="shared" si="22"/>
        <v/>
      </c>
      <c r="Q280" t="str">
        <f t="shared" si="23"/>
        <v/>
      </c>
      <c r="R280" t="str">
        <f t="shared" si="24"/>
        <v/>
      </c>
    </row>
    <row r="281" spans="12:18" x14ac:dyDescent="0.25">
      <c r="L281" t="str">
        <f t="shared" si="20"/>
        <v/>
      </c>
      <c r="M281" t="b">
        <f t="shared" si="21"/>
        <v>0</v>
      </c>
      <c r="N281" t="str">
        <f>IF(M281,IF(B281="Fe",_xludf.XLOOKUP(A281,'Standards Catalogue'!$A:$A,'Standards Catalogue'!$B:$B,""),IF(B281="P",_xludf.XLOOKUP(A281,'Standards Catalogue'!$A:$A,'Standards Catalogue'!$D:$D,""),IF(B281="S",_xludf.XLOOKUP(A281,'Standards Catalogue'!$A:$A,'Standards Catalogue'!$F:$F,""),""))),"")</f>
        <v/>
      </c>
      <c r="O281" t="str">
        <f>IF(M281,IF(B281="Fe",_xludf.XLOOKUP(A281,'Standards Catalogue'!$A:$A,'Standards Catalogue'!$C:$C,""),IF(B281="P",_xludf.XLOOKUP(A281,'Standards Catalogue'!$A:$A,'Standards Catalogue'!$E:$E,""),IF(B281="S",_xludf.XLOOKUP(A281,'Standards Catalogue'!$A:$A,'Standards Catalogue'!$G:$G,""),""))),"")</f>
        <v/>
      </c>
      <c r="P281" t="str">
        <f t="shared" si="22"/>
        <v/>
      </c>
      <c r="Q281" t="str">
        <f t="shared" si="23"/>
        <v/>
      </c>
      <c r="R281" t="str">
        <f t="shared" si="24"/>
        <v/>
      </c>
    </row>
    <row r="282" spans="12:18" x14ac:dyDescent="0.25">
      <c r="L282" t="str">
        <f t="shared" si="20"/>
        <v/>
      </c>
      <c r="M282" t="b">
        <f t="shared" si="21"/>
        <v>0</v>
      </c>
      <c r="N282" t="str">
        <f>IF(M282,IF(B282="Fe",_xludf.XLOOKUP(A282,'Standards Catalogue'!$A:$A,'Standards Catalogue'!$B:$B,""),IF(B282="P",_xludf.XLOOKUP(A282,'Standards Catalogue'!$A:$A,'Standards Catalogue'!$D:$D,""),IF(B282="S",_xludf.XLOOKUP(A282,'Standards Catalogue'!$A:$A,'Standards Catalogue'!$F:$F,""),""))),"")</f>
        <v/>
      </c>
      <c r="O282" t="str">
        <f>IF(M282,IF(B282="Fe",_xludf.XLOOKUP(A282,'Standards Catalogue'!$A:$A,'Standards Catalogue'!$C:$C,""),IF(B282="P",_xludf.XLOOKUP(A282,'Standards Catalogue'!$A:$A,'Standards Catalogue'!$E:$E,""),IF(B282="S",_xludf.XLOOKUP(A282,'Standards Catalogue'!$A:$A,'Standards Catalogue'!$G:$G,""),""))),"")</f>
        <v/>
      </c>
      <c r="P282" t="str">
        <f t="shared" si="22"/>
        <v/>
      </c>
      <c r="Q282" t="str">
        <f t="shared" si="23"/>
        <v/>
      </c>
      <c r="R282" t="str">
        <f t="shared" si="24"/>
        <v/>
      </c>
    </row>
    <row r="283" spans="12:18" x14ac:dyDescent="0.25">
      <c r="L283" t="str">
        <f t="shared" si="20"/>
        <v/>
      </c>
      <c r="M283" t="b">
        <f t="shared" si="21"/>
        <v>0</v>
      </c>
      <c r="N283" t="str">
        <f>IF(M283,IF(B283="Fe",_xludf.XLOOKUP(A283,'Standards Catalogue'!$A:$A,'Standards Catalogue'!$B:$B,""),IF(B283="P",_xludf.XLOOKUP(A283,'Standards Catalogue'!$A:$A,'Standards Catalogue'!$D:$D,""),IF(B283="S",_xludf.XLOOKUP(A283,'Standards Catalogue'!$A:$A,'Standards Catalogue'!$F:$F,""),""))),"")</f>
        <v/>
      </c>
      <c r="O283" t="str">
        <f>IF(M283,IF(B283="Fe",_xludf.XLOOKUP(A283,'Standards Catalogue'!$A:$A,'Standards Catalogue'!$C:$C,""),IF(B283="P",_xludf.XLOOKUP(A283,'Standards Catalogue'!$A:$A,'Standards Catalogue'!$E:$E,""),IF(B283="S",_xludf.XLOOKUP(A283,'Standards Catalogue'!$A:$A,'Standards Catalogue'!$G:$G,""),""))),"")</f>
        <v/>
      </c>
      <c r="P283" t="str">
        <f t="shared" si="22"/>
        <v/>
      </c>
      <c r="Q283" t="str">
        <f t="shared" si="23"/>
        <v/>
      </c>
      <c r="R283" t="str">
        <f t="shared" si="24"/>
        <v/>
      </c>
    </row>
    <row r="284" spans="12:18" x14ac:dyDescent="0.25">
      <c r="L284" t="str">
        <f t="shared" si="20"/>
        <v/>
      </c>
      <c r="M284" t="b">
        <f t="shared" si="21"/>
        <v>0</v>
      </c>
      <c r="N284" t="str">
        <f>IF(M284,IF(B284="Fe",_xludf.XLOOKUP(A284,'Standards Catalogue'!$A:$A,'Standards Catalogue'!$B:$B,""),IF(B284="P",_xludf.XLOOKUP(A284,'Standards Catalogue'!$A:$A,'Standards Catalogue'!$D:$D,""),IF(B284="S",_xludf.XLOOKUP(A284,'Standards Catalogue'!$A:$A,'Standards Catalogue'!$F:$F,""),""))),"")</f>
        <v/>
      </c>
      <c r="O284" t="str">
        <f>IF(M284,IF(B284="Fe",_xludf.XLOOKUP(A284,'Standards Catalogue'!$A:$A,'Standards Catalogue'!$C:$C,""),IF(B284="P",_xludf.XLOOKUP(A284,'Standards Catalogue'!$A:$A,'Standards Catalogue'!$E:$E,""),IF(B284="S",_xludf.XLOOKUP(A284,'Standards Catalogue'!$A:$A,'Standards Catalogue'!$G:$G,""),""))),"")</f>
        <v/>
      </c>
      <c r="P284" t="str">
        <f t="shared" si="22"/>
        <v/>
      </c>
      <c r="Q284" t="str">
        <f t="shared" si="23"/>
        <v/>
      </c>
      <c r="R284" t="str">
        <f t="shared" si="24"/>
        <v/>
      </c>
    </row>
    <row r="285" spans="12:18" x14ac:dyDescent="0.25">
      <c r="L285" t="str">
        <f t="shared" si="20"/>
        <v/>
      </c>
      <c r="M285" t="b">
        <f t="shared" si="21"/>
        <v>0</v>
      </c>
      <c r="N285" t="str">
        <f>IF(M285,IF(B285="Fe",_xludf.XLOOKUP(A285,'Standards Catalogue'!$A:$A,'Standards Catalogue'!$B:$B,""),IF(B285="P",_xludf.XLOOKUP(A285,'Standards Catalogue'!$A:$A,'Standards Catalogue'!$D:$D,""),IF(B285="S",_xludf.XLOOKUP(A285,'Standards Catalogue'!$A:$A,'Standards Catalogue'!$F:$F,""),""))),"")</f>
        <v/>
      </c>
      <c r="O285" t="str">
        <f>IF(M285,IF(B285="Fe",_xludf.XLOOKUP(A285,'Standards Catalogue'!$A:$A,'Standards Catalogue'!$C:$C,""),IF(B285="P",_xludf.XLOOKUP(A285,'Standards Catalogue'!$A:$A,'Standards Catalogue'!$E:$E,""),IF(B285="S",_xludf.XLOOKUP(A285,'Standards Catalogue'!$A:$A,'Standards Catalogue'!$G:$G,""),""))),"")</f>
        <v/>
      </c>
      <c r="P285" t="str">
        <f t="shared" si="22"/>
        <v/>
      </c>
      <c r="Q285" t="str">
        <f t="shared" si="23"/>
        <v/>
      </c>
      <c r="R285" t="str">
        <f t="shared" si="24"/>
        <v/>
      </c>
    </row>
    <row r="286" spans="12:18" x14ac:dyDescent="0.25">
      <c r="L286" t="str">
        <f t="shared" si="20"/>
        <v/>
      </c>
      <c r="M286" t="b">
        <f t="shared" si="21"/>
        <v>0</v>
      </c>
      <c r="N286" t="str">
        <f>IF(M286,IF(B286="Fe",_xludf.XLOOKUP(A286,'Standards Catalogue'!$A:$A,'Standards Catalogue'!$B:$B,""),IF(B286="P",_xludf.XLOOKUP(A286,'Standards Catalogue'!$A:$A,'Standards Catalogue'!$D:$D,""),IF(B286="S",_xludf.XLOOKUP(A286,'Standards Catalogue'!$A:$A,'Standards Catalogue'!$F:$F,""),""))),"")</f>
        <v/>
      </c>
      <c r="O286" t="str">
        <f>IF(M286,IF(B286="Fe",_xludf.XLOOKUP(A286,'Standards Catalogue'!$A:$A,'Standards Catalogue'!$C:$C,""),IF(B286="P",_xludf.XLOOKUP(A286,'Standards Catalogue'!$A:$A,'Standards Catalogue'!$E:$E,""),IF(B286="S",_xludf.XLOOKUP(A286,'Standards Catalogue'!$A:$A,'Standards Catalogue'!$G:$G,""),""))),"")</f>
        <v/>
      </c>
      <c r="P286" t="str">
        <f t="shared" si="22"/>
        <v/>
      </c>
      <c r="Q286" t="str">
        <f t="shared" si="23"/>
        <v/>
      </c>
      <c r="R286" t="str">
        <f t="shared" si="24"/>
        <v/>
      </c>
    </row>
    <row r="287" spans="12:18" x14ac:dyDescent="0.25">
      <c r="L287" t="str">
        <f t="shared" si="20"/>
        <v/>
      </c>
      <c r="M287" t="b">
        <f t="shared" si="21"/>
        <v>0</v>
      </c>
      <c r="N287" t="str">
        <f>IF(M287,IF(B287="Fe",_xludf.XLOOKUP(A287,'Standards Catalogue'!$A:$A,'Standards Catalogue'!$B:$B,""),IF(B287="P",_xludf.XLOOKUP(A287,'Standards Catalogue'!$A:$A,'Standards Catalogue'!$D:$D,""),IF(B287="S",_xludf.XLOOKUP(A287,'Standards Catalogue'!$A:$A,'Standards Catalogue'!$F:$F,""),""))),"")</f>
        <v/>
      </c>
      <c r="O287" t="str">
        <f>IF(M287,IF(B287="Fe",_xludf.XLOOKUP(A287,'Standards Catalogue'!$A:$A,'Standards Catalogue'!$C:$C,""),IF(B287="P",_xludf.XLOOKUP(A287,'Standards Catalogue'!$A:$A,'Standards Catalogue'!$E:$E,""),IF(B287="S",_xludf.XLOOKUP(A287,'Standards Catalogue'!$A:$A,'Standards Catalogue'!$G:$G,""),""))),"")</f>
        <v/>
      </c>
      <c r="P287" t="str">
        <f t="shared" si="22"/>
        <v/>
      </c>
      <c r="Q287" t="str">
        <f t="shared" si="23"/>
        <v/>
      </c>
      <c r="R287" t="str">
        <f t="shared" si="24"/>
        <v/>
      </c>
    </row>
    <row r="288" spans="12:18" x14ac:dyDescent="0.25">
      <c r="L288" t="str">
        <f t="shared" si="20"/>
        <v/>
      </c>
      <c r="M288" t="b">
        <f t="shared" si="21"/>
        <v>0</v>
      </c>
      <c r="N288" t="str">
        <f>IF(M288,IF(B288="Fe",_xludf.XLOOKUP(A288,'Standards Catalogue'!$A:$A,'Standards Catalogue'!$B:$B,""),IF(B288="P",_xludf.XLOOKUP(A288,'Standards Catalogue'!$A:$A,'Standards Catalogue'!$D:$D,""),IF(B288="S",_xludf.XLOOKUP(A288,'Standards Catalogue'!$A:$A,'Standards Catalogue'!$F:$F,""),""))),"")</f>
        <v/>
      </c>
      <c r="O288" t="str">
        <f>IF(M288,IF(B288="Fe",_xludf.XLOOKUP(A288,'Standards Catalogue'!$A:$A,'Standards Catalogue'!$C:$C,""),IF(B288="P",_xludf.XLOOKUP(A288,'Standards Catalogue'!$A:$A,'Standards Catalogue'!$E:$E,""),IF(B288="S",_xludf.XLOOKUP(A288,'Standards Catalogue'!$A:$A,'Standards Catalogue'!$G:$G,""),""))),"")</f>
        <v/>
      </c>
      <c r="P288" t="str">
        <f t="shared" si="22"/>
        <v/>
      </c>
      <c r="Q288" t="str">
        <f t="shared" si="23"/>
        <v/>
      </c>
      <c r="R288" t="str">
        <f t="shared" si="24"/>
        <v/>
      </c>
    </row>
    <row r="289" spans="12:18" x14ac:dyDescent="0.25">
      <c r="L289" t="str">
        <f t="shared" si="20"/>
        <v/>
      </c>
      <c r="M289" t="b">
        <f t="shared" si="21"/>
        <v>0</v>
      </c>
      <c r="N289" t="str">
        <f>IF(M289,IF(B289="Fe",_xludf.XLOOKUP(A289,'Standards Catalogue'!$A:$A,'Standards Catalogue'!$B:$B,""),IF(B289="P",_xludf.XLOOKUP(A289,'Standards Catalogue'!$A:$A,'Standards Catalogue'!$D:$D,""),IF(B289="S",_xludf.XLOOKUP(A289,'Standards Catalogue'!$A:$A,'Standards Catalogue'!$F:$F,""),""))),"")</f>
        <v/>
      </c>
      <c r="O289" t="str">
        <f>IF(M289,IF(B289="Fe",_xludf.XLOOKUP(A289,'Standards Catalogue'!$A:$A,'Standards Catalogue'!$C:$C,""),IF(B289="P",_xludf.XLOOKUP(A289,'Standards Catalogue'!$A:$A,'Standards Catalogue'!$E:$E,""),IF(B289="S",_xludf.XLOOKUP(A289,'Standards Catalogue'!$A:$A,'Standards Catalogue'!$G:$G,""),""))),"")</f>
        <v/>
      </c>
      <c r="P289" t="str">
        <f t="shared" si="22"/>
        <v/>
      </c>
      <c r="Q289" t="str">
        <f t="shared" si="23"/>
        <v/>
      </c>
      <c r="R289" t="str">
        <f t="shared" si="24"/>
        <v/>
      </c>
    </row>
    <row r="290" spans="12:18" x14ac:dyDescent="0.25">
      <c r="L290" t="str">
        <f t="shared" si="20"/>
        <v/>
      </c>
      <c r="M290" t="b">
        <f t="shared" si="21"/>
        <v>0</v>
      </c>
      <c r="N290" t="str">
        <f>IF(M290,IF(B290="Fe",_xludf.XLOOKUP(A290,'Standards Catalogue'!$A:$A,'Standards Catalogue'!$B:$B,""),IF(B290="P",_xludf.XLOOKUP(A290,'Standards Catalogue'!$A:$A,'Standards Catalogue'!$D:$D,""),IF(B290="S",_xludf.XLOOKUP(A290,'Standards Catalogue'!$A:$A,'Standards Catalogue'!$F:$F,""),""))),"")</f>
        <v/>
      </c>
      <c r="O290" t="str">
        <f>IF(M290,IF(B290="Fe",_xludf.XLOOKUP(A290,'Standards Catalogue'!$A:$A,'Standards Catalogue'!$C:$C,""),IF(B290="P",_xludf.XLOOKUP(A290,'Standards Catalogue'!$A:$A,'Standards Catalogue'!$E:$E,""),IF(B290="S",_xludf.XLOOKUP(A290,'Standards Catalogue'!$A:$A,'Standards Catalogue'!$G:$G,""),""))),"")</f>
        <v/>
      </c>
      <c r="P290" t="str">
        <f t="shared" si="22"/>
        <v/>
      </c>
      <c r="Q290" t="str">
        <f t="shared" si="23"/>
        <v/>
      </c>
      <c r="R290" t="str">
        <f t="shared" si="24"/>
        <v/>
      </c>
    </row>
    <row r="291" spans="12:18" x14ac:dyDescent="0.25">
      <c r="L291" t="str">
        <f t="shared" si="20"/>
        <v/>
      </c>
      <c r="M291" t="b">
        <f t="shared" si="21"/>
        <v>0</v>
      </c>
      <c r="N291" t="str">
        <f>IF(M291,IF(B291="Fe",_xludf.XLOOKUP(A291,'Standards Catalogue'!$A:$A,'Standards Catalogue'!$B:$B,""),IF(B291="P",_xludf.XLOOKUP(A291,'Standards Catalogue'!$A:$A,'Standards Catalogue'!$D:$D,""),IF(B291="S",_xludf.XLOOKUP(A291,'Standards Catalogue'!$A:$A,'Standards Catalogue'!$F:$F,""),""))),"")</f>
        <v/>
      </c>
      <c r="O291" t="str">
        <f>IF(M291,IF(B291="Fe",_xludf.XLOOKUP(A291,'Standards Catalogue'!$A:$A,'Standards Catalogue'!$C:$C,""),IF(B291="P",_xludf.XLOOKUP(A291,'Standards Catalogue'!$A:$A,'Standards Catalogue'!$E:$E,""),IF(B291="S",_xludf.XLOOKUP(A291,'Standards Catalogue'!$A:$A,'Standards Catalogue'!$G:$G,""),""))),"")</f>
        <v/>
      </c>
      <c r="P291" t="str">
        <f t="shared" si="22"/>
        <v/>
      </c>
      <c r="Q291" t="str">
        <f t="shared" si="23"/>
        <v/>
      </c>
      <c r="R291" t="str">
        <f t="shared" si="24"/>
        <v/>
      </c>
    </row>
    <row r="292" spans="12:18" x14ac:dyDescent="0.25">
      <c r="L292" t="str">
        <f t="shared" si="20"/>
        <v/>
      </c>
      <c r="M292" t="b">
        <f t="shared" si="21"/>
        <v>0</v>
      </c>
      <c r="N292" t="str">
        <f>IF(M292,IF(B292="Fe",_xludf.XLOOKUP(A292,'Standards Catalogue'!$A:$A,'Standards Catalogue'!$B:$B,""),IF(B292="P",_xludf.XLOOKUP(A292,'Standards Catalogue'!$A:$A,'Standards Catalogue'!$D:$D,""),IF(B292="S",_xludf.XLOOKUP(A292,'Standards Catalogue'!$A:$A,'Standards Catalogue'!$F:$F,""),""))),"")</f>
        <v/>
      </c>
      <c r="O292" t="str">
        <f>IF(M292,IF(B292="Fe",_xludf.XLOOKUP(A292,'Standards Catalogue'!$A:$A,'Standards Catalogue'!$C:$C,""),IF(B292="P",_xludf.XLOOKUP(A292,'Standards Catalogue'!$A:$A,'Standards Catalogue'!$E:$E,""),IF(B292="S",_xludf.XLOOKUP(A292,'Standards Catalogue'!$A:$A,'Standards Catalogue'!$G:$G,""),""))),"")</f>
        <v/>
      </c>
      <c r="P292" t="str">
        <f t="shared" si="22"/>
        <v/>
      </c>
      <c r="Q292" t="str">
        <f t="shared" si="23"/>
        <v/>
      </c>
      <c r="R292" t="str">
        <f t="shared" si="24"/>
        <v/>
      </c>
    </row>
    <row r="293" spans="12:18" x14ac:dyDescent="0.25">
      <c r="L293" t="str">
        <f t="shared" si="20"/>
        <v/>
      </c>
      <c r="M293" t="b">
        <f t="shared" si="21"/>
        <v>0</v>
      </c>
      <c r="N293" t="str">
        <f>IF(M293,IF(B293="Fe",_xludf.XLOOKUP(A293,'Standards Catalogue'!$A:$A,'Standards Catalogue'!$B:$B,""),IF(B293="P",_xludf.XLOOKUP(A293,'Standards Catalogue'!$A:$A,'Standards Catalogue'!$D:$D,""),IF(B293="S",_xludf.XLOOKUP(A293,'Standards Catalogue'!$A:$A,'Standards Catalogue'!$F:$F,""),""))),"")</f>
        <v/>
      </c>
      <c r="O293" t="str">
        <f>IF(M293,IF(B293="Fe",_xludf.XLOOKUP(A293,'Standards Catalogue'!$A:$A,'Standards Catalogue'!$C:$C,""),IF(B293="P",_xludf.XLOOKUP(A293,'Standards Catalogue'!$A:$A,'Standards Catalogue'!$E:$E,""),IF(B293="S",_xludf.XLOOKUP(A293,'Standards Catalogue'!$A:$A,'Standards Catalogue'!$G:$G,""),""))),"")</f>
        <v/>
      </c>
      <c r="P293" t="str">
        <f t="shared" si="22"/>
        <v/>
      </c>
      <c r="Q293" t="str">
        <f t="shared" si="23"/>
        <v/>
      </c>
      <c r="R293" t="str">
        <f t="shared" si="24"/>
        <v/>
      </c>
    </row>
    <row r="294" spans="12:18" x14ac:dyDescent="0.25">
      <c r="L294" t="str">
        <f t="shared" si="20"/>
        <v/>
      </c>
      <c r="M294" t="b">
        <f t="shared" si="21"/>
        <v>0</v>
      </c>
      <c r="N294" t="str">
        <f>IF(M294,IF(B294="Fe",_xludf.XLOOKUP(A294,'Standards Catalogue'!$A:$A,'Standards Catalogue'!$B:$B,""),IF(B294="P",_xludf.XLOOKUP(A294,'Standards Catalogue'!$A:$A,'Standards Catalogue'!$D:$D,""),IF(B294="S",_xludf.XLOOKUP(A294,'Standards Catalogue'!$A:$A,'Standards Catalogue'!$F:$F,""),""))),"")</f>
        <v/>
      </c>
      <c r="O294" t="str">
        <f>IF(M294,IF(B294="Fe",_xludf.XLOOKUP(A294,'Standards Catalogue'!$A:$A,'Standards Catalogue'!$C:$C,""),IF(B294="P",_xludf.XLOOKUP(A294,'Standards Catalogue'!$A:$A,'Standards Catalogue'!$E:$E,""),IF(B294="S",_xludf.XLOOKUP(A294,'Standards Catalogue'!$A:$A,'Standards Catalogue'!$G:$G,""),""))),"")</f>
        <v/>
      </c>
      <c r="P294" t="str">
        <f t="shared" si="22"/>
        <v/>
      </c>
      <c r="Q294" t="str">
        <f t="shared" si="23"/>
        <v/>
      </c>
      <c r="R294" t="str">
        <f t="shared" si="24"/>
        <v/>
      </c>
    </row>
    <row r="295" spans="12:18" x14ac:dyDescent="0.25">
      <c r="L295" t="str">
        <f t="shared" si="20"/>
        <v/>
      </c>
      <c r="M295" t="b">
        <f t="shared" si="21"/>
        <v>0</v>
      </c>
      <c r="N295" t="str">
        <f>IF(M295,IF(B295="Fe",_xludf.XLOOKUP(A295,'Standards Catalogue'!$A:$A,'Standards Catalogue'!$B:$B,""),IF(B295="P",_xludf.XLOOKUP(A295,'Standards Catalogue'!$A:$A,'Standards Catalogue'!$D:$D,""),IF(B295="S",_xludf.XLOOKUP(A295,'Standards Catalogue'!$A:$A,'Standards Catalogue'!$F:$F,""),""))),"")</f>
        <v/>
      </c>
      <c r="O295" t="str">
        <f>IF(M295,IF(B295="Fe",_xludf.XLOOKUP(A295,'Standards Catalogue'!$A:$A,'Standards Catalogue'!$C:$C,""),IF(B295="P",_xludf.XLOOKUP(A295,'Standards Catalogue'!$A:$A,'Standards Catalogue'!$E:$E,""),IF(B295="S",_xludf.XLOOKUP(A295,'Standards Catalogue'!$A:$A,'Standards Catalogue'!$G:$G,""),""))),"")</f>
        <v/>
      </c>
      <c r="P295" t="str">
        <f t="shared" si="22"/>
        <v/>
      </c>
      <c r="Q295" t="str">
        <f t="shared" si="23"/>
        <v/>
      </c>
      <c r="R295" t="str">
        <f t="shared" si="24"/>
        <v/>
      </c>
    </row>
    <row r="296" spans="12:18" x14ac:dyDescent="0.25">
      <c r="L296" t="str">
        <f t="shared" si="20"/>
        <v/>
      </c>
      <c r="M296" t="b">
        <f t="shared" si="21"/>
        <v>0</v>
      </c>
      <c r="N296" t="str">
        <f>IF(M296,IF(B296="Fe",_xludf.XLOOKUP(A296,'Standards Catalogue'!$A:$A,'Standards Catalogue'!$B:$B,""),IF(B296="P",_xludf.XLOOKUP(A296,'Standards Catalogue'!$A:$A,'Standards Catalogue'!$D:$D,""),IF(B296="S",_xludf.XLOOKUP(A296,'Standards Catalogue'!$A:$A,'Standards Catalogue'!$F:$F,""),""))),"")</f>
        <v/>
      </c>
      <c r="O296" t="str">
        <f>IF(M296,IF(B296="Fe",_xludf.XLOOKUP(A296,'Standards Catalogue'!$A:$A,'Standards Catalogue'!$C:$C,""),IF(B296="P",_xludf.XLOOKUP(A296,'Standards Catalogue'!$A:$A,'Standards Catalogue'!$E:$E,""),IF(B296="S",_xludf.XLOOKUP(A296,'Standards Catalogue'!$A:$A,'Standards Catalogue'!$G:$G,""),""))),"")</f>
        <v/>
      </c>
      <c r="P296" t="str">
        <f t="shared" si="22"/>
        <v/>
      </c>
      <c r="Q296" t="str">
        <f t="shared" si="23"/>
        <v/>
      </c>
      <c r="R296" t="str">
        <f t="shared" si="24"/>
        <v/>
      </c>
    </row>
    <row r="297" spans="12:18" x14ac:dyDescent="0.25">
      <c r="L297" t="str">
        <f t="shared" si="20"/>
        <v/>
      </c>
      <c r="M297" t="b">
        <f t="shared" si="21"/>
        <v>0</v>
      </c>
      <c r="N297" t="str">
        <f>IF(M297,IF(B297="Fe",_xludf.XLOOKUP(A297,'Standards Catalogue'!$A:$A,'Standards Catalogue'!$B:$B,""),IF(B297="P",_xludf.XLOOKUP(A297,'Standards Catalogue'!$A:$A,'Standards Catalogue'!$D:$D,""),IF(B297="S",_xludf.XLOOKUP(A297,'Standards Catalogue'!$A:$A,'Standards Catalogue'!$F:$F,""),""))),"")</f>
        <v/>
      </c>
      <c r="O297" t="str">
        <f>IF(M297,IF(B297="Fe",_xludf.XLOOKUP(A297,'Standards Catalogue'!$A:$A,'Standards Catalogue'!$C:$C,""),IF(B297="P",_xludf.XLOOKUP(A297,'Standards Catalogue'!$A:$A,'Standards Catalogue'!$E:$E,""),IF(B297="S",_xludf.XLOOKUP(A297,'Standards Catalogue'!$A:$A,'Standards Catalogue'!$G:$G,""),""))),"")</f>
        <v/>
      </c>
      <c r="P297" t="str">
        <f t="shared" si="22"/>
        <v/>
      </c>
      <c r="Q297" t="str">
        <f t="shared" si="23"/>
        <v/>
      </c>
      <c r="R297" t="str">
        <f t="shared" si="24"/>
        <v/>
      </c>
    </row>
    <row r="298" spans="12:18" x14ac:dyDescent="0.25">
      <c r="L298" t="str">
        <f t="shared" si="20"/>
        <v/>
      </c>
      <c r="M298" t="b">
        <f t="shared" si="21"/>
        <v>0</v>
      </c>
      <c r="N298" t="str">
        <f>IF(M298,IF(B298="Fe",_xludf.XLOOKUP(A298,'Standards Catalogue'!$A:$A,'Standards Catalogue'!$B:$B,""),IF(B298="P",_xludf.XLOOKUP(A298,'Standards Catalogue'!$A:$A,'Standards Catalogue'!$D:$D,""),IF(B298="S",_xludf.XLOOKUP(A298,'Standards Catalogue'!$A:$A,'Standards Catalogue'!$F:$F,""),""))),"")</f>
        <v/>
      </c>
      <c r="O298" t="str">
        <f>IF(M298,IF(B298="Fe",_xludf.XLOOKUP(A298,'Standards Catalogue'!$A:$A,'Standards Catalogue'!$C:$C,""),IF(B298="P",_xludf.XLOOKUP(A298,'Standards Catalogue'!$A:$A,'Standards Catalogue'!$E:$E,""),IF(B298="S",_xludf.XLOOKUP(A298,'Standards Catalogue'!$A:$A,'Standards Catalogue'!$G:$G,""),""))),"")</f>
        <v/>
      </c>
      <c r="P298" t="str">
        <f t="shared" si="22"/>
        <v/>
      </c>
      <c r="Q298" t="str">
        <f t="shared" si="23"/>
        <v/>
      </c>
      <c r="R298" t="str">
        <f t="shared" si="24"/>
        <v/>
      </c>
    </row>
    <row r="299" spans="12:18" x14ac:dyDescent="0.25">
      <c r="L299" t="str">
        <f t="shared" si="20"/>
        <v/>
      </c>
      <c r="M299" t="b">
        <f t="shared" si="21"/>
        <v>0</v>
      </c>
      <c r="N299" t="str">
        <f>IF(M299,IF(B299="Fe",_xludf.XLOOKUP(A299,'Standards Catalogue'!$A:$A,'Standards Catalogue'!$B:$B,""),IF(B299="P",_xludf.XLOOKUP(A299,'Standards Catalogue'!$A:$A,'Standards Catalogue'!$D:$D,""),IF(B299="S",_xludf.XLOOKUP(A299,'Standards Catalogue'!$A:$A,'Standards Catalogue'!$F:$F,""),""))),"")</f>
        <v/>
      </c>
      <c r="O299" t="str">
        <f>IF(M299,IF(B299="Fe",_xludf.XLOOKUP(A299,'Standards Catalogue'!$A:$A,'Standards Catalogue'!$C:$C,""),IF(B299="P",_xludf.XLOOKUP(A299,'Standards Catalogue'!$A:$A,'Standards Catalogue'!$E:$E,""),IF(B299="S",_xludf.XLOOKUP(A299,'Standards Catalogue'!$A:$A,'Standards Catalogue'!$G:$G,""),""))),"")</f>
        <v/>
      </c>
      <c r="P299" t="str">
        <f t="shared" si="22"/>
        <v/>
      </c>
      <c r="Q299" t="str">
        <f t="shared" si="23"/>
        <v/>
      </c>
      <c r="R299" t="str">
        <f t="shared" si="24"/>
        <v/>
      </c>
    </row>
    <row r="300" spans="12:18" x14ac:dyDescent="0.25">
      <c r="L300" t="str">
        <f t="shared" si="20"/>
        <v/>
      </c>
      <c r="M300" t="b">
        <f t="shared" si="21"/>
        <v>0</v>
      </c>
      <c r="N300" t="str">
        <f>IF(M300,IF(B300="Fe",_xludf.XLOOKUP(A300,'Standards Catalogue'!$A:$A,'Standards Catalogue'!$B:$B,""),IF(B300="P",_xludf.XLOOKUP(A300,'Standards Catalogue'!$A:$A,'Standards Catalogue'!$D:$D,""),IF(B300="S",_xludf.XLOOKUP(A300,'Standards Catalogue'!$A:$A,'Standards Catalogue'!$F:$F,""),""))),"")</f>
        <v/>
      </c>
      <c r="O300" t="str">
        <f>IF(M300,IF(B300="Fe",_xludf.XLOOKUP(A300,'Standards Catalogue'!$A:$A,'Standards Catalogue'!$C:$C,""),IF(B300="P",_xludf.XLOOKUP(A300,'Standards Catalogue'!$A:$A,'Standards Catalogue'!$E:$E,""),IF(B300="S",_xludf.XLOOKUP(A300,'Standards Catalogue'!$A:$A,'Standards Catalogue'!$G:$G,""),""))),"")</f>
        <v/>
      </c>
      <c r="P300" t="str">
        <f t="shared" si="22"/>
        <v/>
      </c>
      <c r="Q300" t="str">
        <f t="shared" si="23"/>
        <v/>
      </c>
      <c r="R300" t="str">
        <f t="shared" si="24"/>
        <v/>
      </c>
    </row>
    <row r="301" spans="12:18" x14ac:dyDescent="0.25">
      <c r="L301" t="str">
        <f t="shared" si="20"/>
        <v/>
      </c>
      <c r="M301" t="b">
        <f t="shared" si="21"/>
        <v>0</v>
      </c>
      <c r="N301" t="str">
        <f>IF(M301,IF(B301="Fe",_xludf.XLOOKUP(A301,'Standards Catalogue'!$A:$A,'Standards Catalogue'!$B:$B,""),IF(B301="P",_xludf.XLOOKUP(A301,'Standards Catalogue'!$A:$A,'Standards Catalogue'!$D:$D,""),IF(B301="S",_xludf.XLOOKUP(A301,'Standards Catalogue'!$A:$A,'Standards Catalogue'!$F:$F,""),""))),"")</f>
        <v/>
      </c>
      <c r="O301" t="str">
        <f>IF(M301,IF(B301="Fe",_xludf.XLOOKUP(A301,'Standards Catalogue'!$A:$A,'Standards Catalogue'!$C:$C,""),IF(B301="P",_xludf.XLOOKUP(A301,'Standards Catalogue'!$A:$A,'Standards Catalogue'!$E:$E,""),IF(B301="S",_xludf.XLOOKUP(A301,'Standards Catalogue'!$A:$A,'Standards Catalogue'!$G:$G,""),""))),"")</f>
        <v/>
      </c>
      <c r="P301" t="str">
        <f t="shared" si="22"/>
        <v/>
      </c>
      <c r="Q301" t="str">
        <f t="shared" si="23"/>
        <v/>
      </c>
      <c r="R301" t="str">
        <f t="shared" si="24"/>
        <v/>
      </c>
    </row>
    <row r="302" spans="12:18" x14ac:dyDescent="0.25">
      <c r="L302" t="str">
        <f t="shared" si="20"/>
        <v/>
      </c>
      <c r="M302" t="b">
        <f t="shared" si="21"/>
        <v>0</v>
      </c>
      <c r="N302" t="str">
        <f>IF(M302,IF(B302="Fe",_xludf.XLOOKUP(A302,'Standards Catalogue'!$A:$A,'Standards Catalogue'!$B:$B,""),IF(B302="P",_xludf.XLOOKUP(A302,'Standards Catalogue'!$A:$A,'Standards Catalogue'!$D:$D,""),IF(B302="S",_xludf.XLOOKUP(A302,'Standards Catalogue'!$A:$A,'Standards Catalogue'!$F:$F,""),""))),"")</f>
        <v/>
      </c>
      <c r="O302" t="str">
        <f>IF(M302,IF(B302="Fe",_xludf.XLOOKUP(A302,'Standards Catalogue'!$A:$A,'Standards Catalogue'!$C:$C,""),IF(B302="P",_xludf.XLOOKUP(A302,'Standards Catalogue'!$A:$A,'Standards Catalogue'!$E:$E,""),IF(B302="S",_xludf.XLOOKUP(A302,'Standards Catalogue'!$A:$A,'Standards Catalogue'!$G:$G,""),""))),"")</f>
        <v/>
      </c>
      <c r="P302" t="str">
        <f t="shared" si="22"/>
        <v/>
      </c>
      <c r="Q302" t="str">
        <f t="shared" si="23"/>
        <v/>
      </c>
      <c r="R302" t="str">
        <f t="shared" si="24"/>
        <v/>
      </c>
    </row>
    <row r="303" spans="12:18" x14ac:dyDescent="0.25">
      <c r="L303" t="str">
        <f t="shared" si="20"/>
        <v/>
      </c>
      <c r="M303" t="b">
        <f t="shared" si="21"/>
        <v>0</v>
      </c>
      <c r="N303" t="str">
        <f>IF(M303,IF(B303="Fe",_xludf.XLOOKUP(A303,'Standards Catalogue'!$A:$A,'Standards Catalogue'!$B:$B,""),IF(B303="P",_xludf.XLOOKUP(A303,'Standards Catalogue'!$A:$A,'Standards Catalogue'!$D:$D,""),IF(B303="S",_xludf.XLOOKUP(A303,'Standards Catalogue'!$A:$A,'Standards Catalogue'!$F:$F,""),""))),"")</f>
        <v/>
      </c>
      <c r="O303" t="str">
        <f>IF(M303,IF(B303="Fe",_xludf.XLOOKUP(A303,'Standards Catalogue'!$A:$A,'Standards Catalogue'!$C:$C,""),IF(B303="P",_xludf.XLOOKUP(A303,'Standards Catalogue'!$A:$A,'Standards Catalogue'!$E:$E,""),IF(B303="S",_xludf.XLOOKUP(A303,'Standards Catalogue'!$A:$A,'Standards Catalogue'!$G:$G,""),""))),"")</f>
        <v/>
      </c>
      <c r="P303" t="str">
        <f t="shared" si="22"/>
        <v/>
      </c>
      <c r="Q303" t="str">
        <f t="shared" si="23"/>
        <v/>
      </c>
      <c r="R303" t="str">
        <f t="shared" si="24"/>
        <v/>
      </c>
    </row>
    <row r="304" spans="12:18" x14ac:dyDescent="0.25">
      <c r="L304" t="str">
        <f t="shared" si="20"/>
        <v/>
      </c>
      <c r="M304" t="b">
        <f t="shared" si="21"/>
        <v>0</v>
      </c>
      <c r="N304" t="str">
        <f>IF(M304,IF(B304="Fe",_xludf.XLOOKUP(A304,'Standards Catalogue'!$A:$A,'Standards Catalogue'!$B:$B,""),IF(B304="P",_xludf.XLOOKUP(A304,'Standards Catalogue'!$A:$A,'Standards Catalogue'!$D:$D,""),IF(B304="S",_xludf.XLOOKUP(A304,'Standards Catalogue'!$A:$A,'Standards Catalogue'!$F:$F,""),""))),"")</f>
        <v/>
      </c>
      <c r="O304" t="str">
        <f>IF(M304,IF(B304="Fe",_xludf.XLOOKUP(A304,'Standards Catalogue'!$A:$A,'Standards Catalogue'!$C:$C,""),IF(B304="P",_xludf.XLOOKUP(A304,'Standards Catalogue'!$A:$A,'Standards Catalogue'!$E:$E,""),IF(B304="S",_xludf.XLOOKUP(A304,'Standards Catalogue'!$A:$A,'Standards Catalogue'!$G:$G,""),""))),"")</f>
        <v/>
      </c>
      <c r="P304" t="str">
        <f t="shared" si="22"/>
        <v/>
      </c>
      <c r="Q304" t="str">
        <f t="shared" si="23"/>
        <v/>
      </c>
      <c r="R304" t="str">
        <f t="shared" si="24"/>
        <v/>
      </c>
    </row>
    <row r="305" spans="12:18" x14ac:dyDescent="0.25">
      <c r="L305" t="str">
        <f t="shared" si="20"/>
        <v/>
      </c>
      <c r="M305" t="b">
        <f t="shared" si="21"/>
        <v>0</v>
      </c>
      <c r="N305" t="str">
        <f>IF(M305,IF(B305="Fe",_xludf.XLOOKUP(A305,'Standards Catalogue'!$A:$A,'Standards Catalogue'!$B:$B,""),IF(B305="P",_xludf.XLOOKUP(A305,'Standards Catalogue'!$A:$A,'Standards Catalogue'!$D:$D,""),IF(B305="S",_xludf.XLOOKUP(A305,'Standards Catalogue'!$A:$A,'Standards Catalogue'!$F:$F,""),""))),"")</f>
        <v/>
      </c>
      <c r="O305" t="str">
        <f>IF(M305,IF(B305="Fe",_xludf.XLOOKUP(A305,'Standards Catalogue'!$A:$A,'Standards Catalogue'!$C:$C,""),IF(B305="P",_xludf.XLOOKUP(A305,'Standards Catalogue'!$A:$A,'Standards Catalogue'!$E:$E,""),IF(B305="S",_xludf.XLOOKUP(A305,'Standards Catalogue'!$A:$A,'Standards Catalogue'!$G:$G,""),""))),"")</f>
        <v/>
      </c>
      <c r="P305" t="str">
        <f t="shared" si="22"/>
        <v/>
      </c>
      <c r="Q305" t="str">
        <f t="shared" si="23"/>
        <v/>
      </c>
      <c r="R305" t="str">
        <f t="shared" si="24"/>
        <v/>
      </c>
    </row>
    <row r="306" spans="12:18" x14ac:dyDescent="0.25">
      <c r="L306" t="str">
        <f t="shared" si="20"/>
        <v/>
      </c>
      <c r="M306" t="b">
        <f t="shared" si="21"/>
        <v>0</v>
      </c>
      <c r="N306" t="str">
        <f>IF(M306,IF(B306="Fe",_xludf.XLOOKUP(A306,'Standards Catalogue'!$A:$A,'Standards Catalogue'!$B:$B,""),IF(B306="P",_xludf.XLOOKUP(A306,'Standards Catalogue'!$A:$A,'Standards Catalogue'!$D:$D,""),IF(B306="S",_xludf.XLOOKUP(A306,'Standards Catalogue'!$A:$A,'Standards Catalogue'!$F:$F,""),""))),"")</f>
        <v/>
      </c>
      <c r="O306" t="str">
        <f>IF(M306,IF(B306="Fe",_xludf.XLOOKUP(A306,'Standards Catalogue'!$A:$A,'Standards Catalogue'!$C:$C,""),IF(B306="P",_xludf.XLOOKUP(A306,'Standards Catalogue'!$A:$A,'Standards Catalogue'!$E:$E,""),IF(B306="S",_xludf.XLOOKUP(A306,'Standards Catalogue'!$A:$A,'Standards Catalogue'!$G:$G,""),""))),"")</f>
        <v/>
      </c>
      <c r="P306" t="str">
        <f t="shared" si="22"/>
        <v/>
      </c>
      <c r="Q306" t="str">
        <f t="shared" si="23"/>
        <v/>
      </c>
      <c r="R306" t="str">
        <f t="shared" si="24"/>
        <v/>
      </c>
    </row>
    <row r="307" spans="12:18" x14ac:dyDescent="0.25">
      <c r="L307" t="str">
        <f t="shared" si="20"/>
        <v/>
      </c>
      <c r="M307" t="b">
        <f t="shared" si="21"/>
        <v>0</v>
      </c>
      <c r="N307" t="str">
        <f>IF(M307,IF(B307="Fe",_xludf.XLOOKUP(A307,'Standards Catalogue'!$A:$A,'Standards Catalogue'!$B:$B,""),IF(B307="P",_xludf.XLOOKUP(A307,'Standards Catalogue'!$A:$A,'Standards Catalogue'!$D:$D,""),IF(B307="S",_xludf.XLOOKUP(A307,'Standards Catalogue'!$A:$A,'Standards Catalogue'!$F:$F,""),""))),"")</f>
        <v/>
      </c>
      <c r="O307" t="str">
        <f>IF(M307,IF(B307="Fe",_xludf.XLOOKUP(A307,'Standards Catalogue'!$A:$A,'Standards Catalogue'!$C:$C,""),IF(B307="P",_xludf.XLOOKUP(A307,'Standards Catalogue'!$A:$A,'Standards Catalogue'!$E:$E,""),IF(B307="S",_xludf.XLOOKUP(A307,'Standards Catalogue'!$A:$A,'Standards Catalogue'!$G:$G,""),""))),"")</f>
        <v/>
      </c>
      <c r="P307" t="str">
        <f t="shared" si="22"/>
        <v/>
      </c>
      <c r="Q307" t="str">
        <f t="shared" si="23"/>
        <v/>
      </c>
      <c r="R307" t="str">
        <f t="shared" si="24"/>
        <v/>
      </c>
    </row>
    <row r="308" spans="12:18" x14ac:dyDescent="0.25">
      <c r="L308" t="str">
        <f t="shared" si="20"/>
        <v/>
      </c>
      <c r="M308" t="b">
        <f t="shared" si="21"/>
        <v>0</v>
      </c>
      <c r="N308" t="str">
        <f>IF(M308,IF(B308="Fe",_xludf.XLOOKUP(A308,'Standards Catalogue'!$A:$A,'Standards Catalogue'!$B:$B,""),IF(B308="P",_xludf.XLOOKUP(A308,'Standards Catalogue'!$A:$A,'Standards Catalogue'!$D:$D,""),IF(B308="S",_xludf.XLOOKUP(A308,'Standards Catalogue'!$A:$A,'Standards Catalogue'!$F:$F,""),""))),"")</f>
        <v/>
      </c>
      <c r="O308" t="str">
        <f>IF(M308,IF(B308="Fe",_xludf.XLOOKUP(A308,'Standards Catalogue'!$A:$A,'Standards Catalogue'!$C:$C,""),IF(B308="P",_xludf.XLOOKUP(A308,'Standards Catalogue'!$A:$A,'Standards Catalogue'!$E:$E,""),IF(B308="S",_xludf.XLOOKUP(A308,'Standards Catalogue'!$A:$A,'Standards Catalogue'!$G:$G,""),""))),"")</f>
        <v/>
      </c>
      <c r="P308" t="str">
        <f t="shared" si="22"/>
        <v/>
      </c>
      <c r="Q308" t="str">
        <f t="shared" si="23"/>
        <v/>
      </c>
      <c r="R308" t="str">
        <f t="shared" si="24"/>
        <v/>
      </c>
    </row>
    <row r="309" spans="12:18" x14ac:dyDescent="0.25">
      <c r="L309" t="str">
        <f t="shared" si="20"/>
        <v/>
      </c>
      <c r="M309" t="b">
        <f t="shared" si="21"/>
        <v>0</v>
      </c>
      <c r="N309" t="str">
        <f>IF(M309,IF(B309="Fe",_xludf.XLOOKUP(A309,'Standards Catalogue'!$A:$A,'Standards Catalogue'!$B:$B,""),IF(B309="P",_xludf.XLOOKUP(A309,'Standards Catalogue'!$A:$A,'Standards Catalogue'!$D:$D,""),IF(B309="S",_xludf.XLOOKUP(A309,'Standards Catalogue'!$A:$A,'Standards Catalogue'!$F:$F,""),""))),"")</f>
        <v/>
      </c>
      <c r="O309" t="str">
        <f>IF(M309,IF(B309="Fe",_xludf.XLOOKUP(A309,'Standards Catalogue'!$A:$A,'Standards Catalogue'!$C:$C,""),IF(B309="P",_xludf.XLOOKUP(A309,'Standards Catalogue'!$A:$A,'Standards Catalogue'!$E:$E,""),IF(B309="S",_xludf.XLOOKUP(A309,'Standards Catalogue'!$A:$A,'Standards Catalogue'!$G:$G,""),""))),"")</f>
        <v/>
      </c>
      <c r="P309" t="str">
        <f t="shared" si="22"/>
        <v/>
      </c>
      <c r="Q309" t="str">
        <f t="shared" si="23"/>
        <v/>
      </c>
      <c r="R309" t="str">
        <f t="shared" si="24"/>
        <v/>
      </c>
    </row>
    <row r="310" spans="12:18" x14ac:dyDescent="0.25">
      <c r="L310" t="str">
        <f t="shared" si="20"/>
        <v/>
      </c>
      <c r="M310" t="b">
        <f t="shared" si="21"/>
        <v>0</v>
      </c>
      <c r="N310" t="str">
        <f>IF(M310,IF(B310="Fe",_xludf.XLOOKUP(A310,'Standards Catalogue'!$A:$A,'Standards Catalogue'!$B:$B,""),IF(B310="P",_xludf.XLOOKUP(A310,'Standards Catalogue'!$A:$A,'Standards Catalogue'!$D:$D,""),IF(B310="S",_xludf.XLOOKUP(A310,'Standards Catalogue'!$A:$A,'Standards Catalogue'!$F:$F,""),""))),"")</f>
        <v/>
      </c>
      <c r="O310" t="str">
        <f>IF(M310,IF(B310="Fe",_xludf.XLOOKUP(A310,'Standards Catalogue'!$A:$A,'Standards Catalogue'!$C:$C,""),IF(B310="P",_xludf.XLOOKUP(A310,'Standards Catalogue'!$A:$A,'Standards Catalogue'!$E:$E,""),IF(B310="S",_xludf.XLOOKUP(A310,'Standards Catalogue'!$A:$A,'Standards Catalogue'!$G:$G,""),""))),"")</f>
        <v/>
      </c>
      <c r="P310" t="str">
        <f t="shared" si="22"/>
        <v/>
      </c>
      <c r="Q310" t="str">
        <f t="shared" si="23"/>
        <v/>
      </c>
      <c r="R310" t="str">
        <f t="shared" si="24"/>
        <v/>
      </c>
    </row>
    <row r="311" spans="12:18" x14ac:dyDescent="0.25">
      <c r="L311" t="str">
        <f t="shared" si="20"/>
        <v/>
      </c>
      <c r="M311" t="b">
        <f t="shared" si="21"/>
        <v>0</v>
      </c>
      <c r="N311" t="str">
        <f>IF(M311,IF(B311="Fe",_xludf.XLOOKUP(A311,'Standards Catalogue'!$A:$A,'Standards Catalogue'!$B:$B,""),IF(B311="P",_xludf.XLOOKUP(A311,'Standards Catalogue'!$A:$A,'Standards Catalogue'!$D:$D,""),IF(B311="S",_xludf.XLOOKUP(A311,'Standards Catalogue'!$A:$A,'Standards Catalogue'!$F:$F,""),""))),"")</f>
        <v/>
      </c>
      <c r="O311" t="str">
        <f>IF(M311,IF(B311="Fe",_xludf.XLOOKUP(A311,'Standards Catalogue'!$A:$A,'Standards Catalogue'!$C:$C,""),IF(B311="P",_xludf.XLOOKUP(A311,'Standards Catalogue'!$A:$A,'Standards Catalogue'!$E:$E,""),IF(B311="S",_xludf.XLOOKUP(A311,'Standards Catalogue'!$A:$A,'Standards Catalogue'!$G:$G,""),""))),"")</f>
        <v/>
      </c>
      <c r="P311" t="str">
        <f t="shared" si="22"/>
        <v/>
      </c>
      <c r="Q311" t="str">
        <f t="shared" si="23"/>
        <v/>
      </c>
      <c r="R311" t="str">
        <f t="shared" si="24"/>
        <v/>
      </c>
    </row>
    <row r="312" spans="12:18" x14ac:dyDescent="0.25">
      <c r="L312" t="str">
        <f t="shared" si="20"/>
        <v/>
      </c>
      <c r="M312" t="b">
        <f t="shared" si="21"/>
        <v>0</v>
      </c>
      <c r="N312" t="str">
        <f>IF(M312,IF(B312="Fe",_xludf.XLOOKUP(A312,'Standards Catalogue'!$A:$A,'Standards Catalogue'!$B:$B,""),IF(B312="P",_xludf.XLOOKUP(A312,'Standards Catalogue'!$A:$A,'Standards Catalogue'!$D:$D,""),IF(B312="S",_xludf.XLOOKUP(A312,'Standards Catalogue'!$A:$A,'Standards Catalogue'!$F:$F,""),""))),"")</f>
        <v/>
      </c>
      <c r="O312" t="str">
        <f>IF(M312,IF(B312="Fe",_xludf.XLOOKUP(A312,'Standards Catalogue'!$A:$A,'Standards Catalogue'!$C:$C,""),IF(B312="P",_xludf.XLOOKUP(A312,'Standards Catalogue'!$A:$A,'Standards Catalogue'!$E:$E,""),IF(B312="S",_xludf.XLOOKUP(A312,'Standards Catalogue'!$A:$A,'Standards Catalogue'!$G:$G,""),""))),"")</f>
        <v/>
      </c>
      <c r="P312" t="str">
        <f t="shared" si="22"/>
        <v/>
      </c>
      <c r="Q312" t="str">
        <f t="shared" si="23"/>
        <v/>
      </c>
      <c r="R312" t="str">
        <f t="shared" si="24"/>
        <v/>
      </c>
    </row>
    <row r="313" spans="12:18" x14ac:dyDescent="0.25">
      <c r="L313" t="str">
        <f t="shared" si="20"/>
        <v/>
      </c>
      <c r="M313" t="b">
        <f t="shared" si="21"/>
        <v>0</v>
      </c>
      <c r="N313" t="str">
        <f>IF(M313,IF(B313="Fe",_xludf.XLOOKUP(A313,'Standards Catalogue'!$A:$A,'Standards Catalogue'!$B:$B,""),IF(B313="P",_xludf.XLOOKUP(A313,'Standards Catalogue'!$A:$A,'Standards Catalogue'!$D:$D,""),IF(B313="S",_xludf.XLOOKUP(A313,'Standards Catalogue'!$A:$A,'Standards Catalogue'!$F:$F,""),""))),"")</f>
        <v/>
      </c>
      <c r="O313" t="str">
        <f>IF(M313,IF(B313="Fe",_xludf.XLOOKUP(A313,'Standards Catalogue'!$A:$A,'Standards Catalogue'!$C:$C,""),IF(B313="P",_xludf.XLOOKUP(A313,'Standards Catalogue'!$A:$A,'Standards Catalogue'!$E:$E,""),IF(B313="S",_xludf.XLOOKUP(A313,'Standards Catalogue'!$A:$A,'Standards Catalogue'!$G:$G,""),""))),"")</f>
        <v/>
      </c>
      <c r="P313" t="str">
        <f t="shared" si="22"/>
        <v/>
      </c>
      <c r="Q313" t="str">
        <f t="shared" si="23"/>
        <v/>
      </c>
      <c r="R313" t="str">
        <f t="shared" si="24"/>
        <v/>
      </c>
    </row>
    <row r="314" spans="12:18" x14ac:dyDescent="0.25">
      <c r="L314" t="str">
        <f t="shared" si="20"/>
        <v/>
      </c>
      <c r="M314" t="b">
        <f t="shared" si="21"/>
        <v>0</v>
      </c>
      <c r="N314" t="str">
        <f>IF(M314,IF(B314="Fe",_xludf.XLOOKUP(A314,'Standards Catalogue'!$A:$A,'Standards Catalogue'!$B:$B,""),IF(B314="P",_xludf.XLOOKUP(A314,'Standards Catalogue'!$A:$A,'Standards Catalogue'!$D:$D,""),IF(B314="S",_xludf.XLOOKUP(A314,'Standards Catalogue'!$A:$A,'Standards Catalogue'!$F:$F,""),""))),"")</f>
        <v/>
      </c>
      <c r="O314" t="str">
        <f>IF(M314,IF(B314="Fe",_xludf.XLOOKUP(A314,'Standards Catalogue'!$A:$A,'Standards Catalogue'!$C:$C,""),IF(B314="P",_xludf.XLOOKUP(A314,'Standards Catalogue'!$A:$A,'Standards Catalogue'!$E:$E,""),IF(B314="S",_xludf.XLOOKUP(A314,'Standards Catalogue'!$A:$A,'Standards Catalogue'!$G:$G,""),""))),"")</f>
        <v/>
      </c>
      <c r="P314" t="str">
        <f t="shared" si="22"/>
        <v/>
      </c>
      <c r="Q314" t="str">
        <f t="shared" si="23"/>
        <v/>
      </c>
      <c r="R314" t="str">
        <f t="shared" si="24"/>
        <v/>
      </c>
    </row>
    <row r="315" spans="12:18" x14ac:dyDescent="0.25">
      <c r="L315" t="str">
        <f t="shared" si="20"/>
        <v/>
      </c>
      <c r="M315" t="b">
        <f t="shared" si="21"/>
        <v>0</v>
      </c>
      <c r="N315" t="str">
        <f>IF(M315,IF(B315="Fe",_xludf.XLOOKUP(A315,'Standards Catalogue'!$A:$A,'Standards Catalogue'!$B:$B,""),IF(B315="P",_xludf.XLOOKUP(A315,'Standards Catalogue'!$A:$A,'Standards Catalogue'!$D:$D,""),IF(B315="S",_xludf.XLOOKUP(A315,'Standards Catalogue'!$A:$A,'Standards Catalogue'!$F:$F,""),""))),"")</f>
        <v/>
      </c>
      <c r="O315" t="str">
        <f>IF(M315,IF(B315="Fe",_xludf.XLOOKUP(A315,'Standards Catalogue'!$A:$A,'Standards Catalogue'!$C:$C,""),IF(B315="P",_xludf.XLOOKUP(A315,'Standards Catalogue'!$A:$A,'Standards Catalogue'!$E:$E,""),IF(B315="S",_xludf.XLOOKUP(A315,'Standards Catalogue'!$A:$A,'Standards Catalogue'!$G:$G,""),""))),"")</f>
        <v/>
      </c>
      <c r="P315" t="str">
        <f t="shared" si="22"/>
        <v/>
      </c>
      <c r="Q315" t="str">
        <f t="shared" si="23"/>
        <v/>
      </c>
      <c r="R315" t="str">
        <f t="shared" si="24"/>
        <v/>
      </c>
    </row>
    <row r="316" spans="12:18" x14ac:dyDescent="0.25">
      <c r="L316" t="str">
        <f t="shared" si="20"/>
        <v/>
      </c>
      <c r="M316" t="b">
        <f t="shared" si="21"/>
        <v>0</v>
      </c>
      <c r="N316" t="str">
        <f>IF(M316,IF(B316="Fe",_xludf.XLOOKUP(A316,'Standards Catalogue'!$A:$A,'Standards Catalogue'!$B:$B,""),IF(B316="P",_xludf.XLOOKUP(A316,'Standards Catalogue'!$A:$A,'Standards Catalogue'!$D:$D,""),IF(B316="S",_xludf.XLOOKUP(A316,'Standards Catalogue'!$A:$A,'Standards Catalogue'!$F:$F,""),""))),"")</f>
        <v/>
      </c>
      <c r="O316" t="str">
        <f>IF(M316,IF(B316="Fe",_xludf.XLOOKUP(A316,'Standards Catalogue'!$A:$A,'Standards Catalogue'!$C:$C,""),IF(B316="P",_xludf.XLOOKUP(A316,'Standards Catalogue'!$A:$A,'Standards Catalogue'!$E:$E,""),IF(B316="S",_xludf.XLOOKUP(A316,'Standards Catalogue'!$A:$A,'Standards Catalogue'!$G:$G,""),""))),"")</f>
        <v/>
      </c>
      <c r="P316" t="str">
        <f t="shared" si="22"/>
        <v/>
      </c>
      <c r="Q316" t="str">
        <f t="shared" si="23"/>
        <v/>
      </c>
      <c r="R316" t="str">
        <f t="shared" si="24"/>
        <v/>
      </c>
    </row>
    <row r="317" spans="12:18" x14ac:dyDescent="0.25">
      <c r="L317" t="str">
        <f t="shared" si="20"/>
        <v/>
      </c>
      <c r="M317" t="b">
        <f t="shared" si="21"/>
        <v>0</v>
      </c>
      <c r="N317" t="str">
        <f>IF(M317,IF(B317="Fe",_xludf.XLOOKUP(A317,'Standards Catalogue'!$A:$A,'Standards Catalogue'!$B:$B,""),IF(B317="P",_xludf.XLOOKUP(A317,'Standards Catalogue'!$A:$A,'Standards Catalogue'!$D:$D,""),IF(B317="S",_xludf.XLOOKUP(A317,'Standards Catalogue'!$A:$A,'Standards Catalogue'!$F:$F,""),""))),"")</f>
        <v/>
      </c>
      <c r="O317" t="str">
        <f>IF(M317,IF(B317="Fe",_xludf.XLOOKUP(A317,'Standards Catalogue'!$A:$A,'Standards Catalogue'!$C:$C,""),IF(B317="P",_xludf.XLOOKUP(A317,'Standards Catalogue'!$A:$A,'Standards Catalogue'!$E:$E,""),IF(B317="S",_xludf.XLOOKUP(A317,'Standards Catalogue'!$A:$A,'Standards Catalogue'!$G:$G,""),""))),"")</f>
        <v/>
      </c>
      <c r="P317" t="str">
        <f t="shared" si="22"/>
        <v/>
      </c>
      <c r="Q317" t="str">
        <f t="shared" si="23"/>
        <v/>
      </c>
      <c r="R317" t="str">
        <f t="shared" si="24"/>
        <v/>
      </c>
    </row>
    <row r="318" spans="12:18" x14ac:dyDescent="0.25">
      <c r="L318" t="str">
        <f t="shared" si="20"/>
        <v/>
      </c>
      <c r="M318" t="b">
        <f t="shared" si="21"/>
        <v>0</v>
      </c>
      <c r="N318" t="str">
        <f>IF(M318,IF(B318="Fe",_xludf.XLOOKUP(A318,'Standards Catalogue'!$A:$A,'Standards Catalogue'!$B:$B,""),IF(B318="P",_xludf.XLOOKUP(A318,'Standards Catalogue'!$A:$A,'Standards Catalogue'!$D:$D,""),IF(B318="S",_xludf.XLOOKUP(A318,'Standards Catalogue'!$A:$A,'Standards Catalogue'!$F:$F,""),""))),"")</f>
        <v/>
      </c>
      <c r="O318" t="str">
        <f>IF(M318,IF(B318="Fe",_xludf.XLOOKUP(A318,'Standards Catalogue'!$A:$A,'Standards Catalogue'!$C:$C,""),IF(B318="P",_xludf.XLOOKUP(A318,'Standards Catalogue'!$A:$A,'Standards Catalogue'!$E:$E,""),IF(B318="S",_xludf.XLOOKUP(A318,'Standards Catalogue'!$A:$A,'Standards Catalogue'!$G:$G,""),""))),"")</f>
        <v/>
      </c>
      <c r="P318" t="str">
        <f t="shared" si="22"/>
        <v/>
      </c>
      <c r="Q318" t="str">
        <f t="shared" si="23"/>
        <v/>
      </c>
      <c r="R318" t="str">
        <f t="shared" si="24"/>
        <v/>
      </c>
    </row>
    <row r="319" spans="12:18" x14ac:dyDescent="0.25">
      <c r="L319" t="str">
        <f t="shared" si="20"/>
        <v/>
      </c>
      <c r="M319" t="b">
        <f t="shared" si="21"/>
        <v>0</v>
      </c>
      <c r="N319" t="str">
        <f>IF(M319,IF(B319="Fe",_xludf.XLOOKUP(A319,'Standards Catalogue'!$A:$A,'Standards Catalogue'!$B:$B,""),IF(B319="P",_xludf.XLOOKUP(A319,'Standards Catalogue'!$A:$A,'Standards Catalogue'!$D:$D,""),IF(B319="S",_xludf.XLOOKUP(A319,'Standards Catalogue'!$A:$A,'Standards Catalogue'!$F:$F,""),""))),"")</f>
        <v/>
      </c>
      <c r="O319" t="str">
        <f>IF(M319,IF(B319="Fe",_xludf.XLOOKUP(A319,'Standards Catalogue'!$A:$A,'Standards Catalogue'!$C:$C,""),IF(B319="P",_xludf.XLOOKUP(A319,'Standards Catalogue'!$A:$A,'Standards Catalogue'!$E:$E,""),IF(B319="S",_xludf.XLOOKUP(A319,'Standards Catalogue'!$A:$A,'Standards Catalogue'!$G:$G,""),""))),"")</f>
        <v/>
      </c>
      <c r="P319" t="str">
        <f t="shared" si="22"/>
        <v/>
      </c>
      <c r="Q319" t="str">
        <f t="shared" si="23"/>
        <v/>
      </c>
      <c r="R319" t="str">
        <f t="shared" si="24"/>
        <v/>
      </c>
    </row>
    <row r="320" spans="12:18" x14ac:dyDescent="0.25">
      <c r="L320" t="str">
        <f t="shared" si="20"/>
        <v/>
      </c>
      <c r="M320" t="b">
        <f t="shared" si="21"/>
        <v>0</v>
      </c>
      <c r="N320" t="str">
        <f>IF(M320,IF(B320="Fe",_xludf.XLOOKUP(A320,'Standards Catalogue'!$A:$A,'Standards Catalogue'!$B:$B,""),IF(B320="P",_xludf.XLOOKUP(A320,'Standards Catalogue'!$A:$A,'Standards Catalogue'!$D:$D,""),IF(B320="S",_xludf.XLOOKUP(A320,'Standards Catalogue'!$A:$A,'Standards Catalogue'!$F:$F,""),""))),"")</f>
        <v/>
      </c>
      <c r="O320" t="str">
        <f>IF(M320,IF(B320="Fe",_xludf.XLOOKUP(A320,'Standards Catalogue'!$A:$A,'Standards Catalogue'!$C:$C,""),IF(B320="P",_xludf.XLOOKUP(A320,'Standards Catalogue'!$A:$A,'Standards Catalogue'!$E:$E,""),IF(B320="S",_xludf.XLOOKUP(A320,'Standards Catalogue'!$A:$A,'Standards Catalogue'!$G:$G,""),""))),"")</f>
        <v/>
      </c>
      <c r="P320" t="str">
        <f t="shared" si="22"/>
        <v/>
      </c>
      <c r="Q320" t="str">
        <f t="shared" si="23"/>
        <v/>
      </c>
      <c r="R320" t="str">
        <f t="shared" si="24"/>
        <v/>
      </c>
    </row>
    <row r="321" spans="12:18" x14ac:dyDescent="0.25">
      <c r="L321" t="str">
        <f t="shared" si="20"/>
        <v/>
      </c>
      <c r="M321" t="b">
        <f t="shared" si="21"/>
        <v>0</v>
      </c>
      <c r="N321" t="str">
        <f>IF(M321,IF(B321="Fe",_xludf.XLOOKUP(A321,'Standards Catalogue'!$A:$A,'Standards Catalogue'!$B:$B,""),IF(B321="P",_xludf.XLOOKUP(A321,'Standards Catalogue'!$A:$A,'Standards Catalogue'!$D:$D,""),IF(B321="S",_xludf.XLOOKUP(A321,'Standards Catalogue'!$A:$A,'Standards Catalogue'!$F:$F,""),""))),"")</f>
        <v/>
      </c>
      <c r="O321" t="str">
        <f>IF(M321,IF(B321="Fe",_xludf.XLOOKUP(A321,'Standards Catalogue'!$A:$A,'Standards Catalogue'!$C:$C,""),IF(B321="P",_xludf.XLOOKUP(A321,'Standards Catalogue'!$A:$A,'Standards Catalogue'!$E:$E,""),IF(B321="S",_xludf.XLOOKUP(A321,'Standards Catalogue'!$A:$A,'Standards Catalogue'!$G:$G,""),""))),"")</f>
        <v/>
      </c>
      <c r="P321" t="str">
        <f t="shared" si="22"/>
        <v/>
      </c>
      <c r="Q321" t="str">
        <f t="shared" si="23"/>
        <v/>
      </c>
      <c r="R321" t="str">
        <f t="shared" si="24"/>
        <v/>
      </c>
    </row>
    <row r="322" spans="12:18" x14ac:dyDescent="0.25">
      <c r="L322" t="str">
        <f t="shared" ref="L322:L385" si="25">IF(AND(A322&lt;&gt;"",B322&lt;&gt;""),A322&amp;"|"&amp;B322,"")</f>
        <v/>
      </c>
      <c r="M322" t="b">
        <f t="shared" ref="M322:M385" si="26">IF(COUNTIF(STANDARDS_IDS,A322)&gt;0,TRUE,FALSE)</f>
        <v>0</v>
      </c>
      <c r="N322" t="str">
        <f>IF(M322,IF(B322="Fe",_xludf.XLOOKUP(A322,'Standards Catalogue'!$A:$A,'Standards Catalogue'!$B:$B,""),IF(B322="P",_xludf.XLOOKUP(A322,'Standards Catalogue'!$A:$A,'Standards Catalogue'!$D:$D,""),IF(B322="S",_xludf.XLOOKUP(A322,'Standards Catalogue'!$A:$A,'Standards Catalogue'!$F:$F,""),""))),"")</f>
        <v/>
      </c>
      <c r="O322" t="str">
        <f>IF(M322,IF(B322="Fe",_xludf.XLOOKUP(A322,'Standards Catalogue'!$A:$A,'Standards Catalogue'!$C:$C,""),IF(B322="P",_xludf.XLOOKUP(A322,'Standards Catalogue'!$A:$A,'Standards Catalogue'!$E:$E,""),IF(B322="S",_xludf.XLOOKUP(A322,'Standards Catalogue'!$A:$A,'Standards Catalogue'!$G:$G,""),""))),"")</f>
        <v/>
      </c>
      <c r="P322" t="str">
        <f t="shared" ref="P322:P385" si="27">IF(M322,N322-2*O322,"")</f>
        <v/>
      </c>
      <c r="Q322" t="str">
        <f t="shared" ref="Q322:Q385" si="28">IF(M322,N322+2*O322,"")</f>
        <v/>
      </c>
      <c r="R322" t="str">
        <f t="shared" ref="R322:R385" si="29">IF(M322,IF(OR(C322="",N322="",O322=""),"",IF(AND(C322&gt;=P322,C322&lt;=Q322),"PASS","FAIL")),"")</f>
        <v/>
      </c>
    </row>
    <row r="323" spans="12:18" x14ac:dyDescent="0.25">
      <c r="L323" t="str">
        <f t="shared" si="25"/>
        <v/>
      </c>
      <c r="M323" t="b">
        <f t="shared" si="26"/>
        <v>0</v>
      </c>
      <c r="N323" t="str">
        <f>IF(M323,IF(B323="Fe",_xludf.XLOOKUP(A323,'Standards Catalogue'!$A:$A,'Standards Catalogue'!$B:$B,""),IF(B323="P",_xludf.XLOOKUP(A323,'Standards Catalogue'!$A:$A,'Standards Catalogue'!$D:$D,""),IF(B323="S",_xludf.XLOOKUP(A323,'Standards Catalogue'!$A:$A,'Standards Catalogue'!$F:$F,""),""))),"")</f>
        <v/>
      </c>
      <c r="O323" t="str">
        <f>IF(M323,IF(B323="Fe",_xludf.XLOOKUP(A323,'Standards Catalogue'!$A:$A,'Standards Catalogue'!$C:$C,""),IF(B323="P",_xludf.XLOOKUP(A323,'Standards Catalogue'!$A:$A,'Standards Catalogue'!$E:$E,""),IF(B323="S",_xludf.XLOOKUP(A323,'Standards Catalogue'!$A:$A,'Standards Catalogue'!$G:$G,""),""))),"")</f>
        <v/>
      </c>
      <c r="P323" t="str">
        <f t="shared" si="27"/>
        <v/>
      </c>
      <c r="Q323" t="str">
        <f t="shared" si="28"/>
        <v/>
      </c>
      <c r="R323" t="str">
        <f t="shared" si="29"/>
        <v/>
      </c>
    </row>
    <row r="324" spans="12:18" x14ac:dyDescent="0.25">
      <c r="L324" t="str">
        <f t="shared" si="25"/>
        <v/>
      </c>
      <c r="M324" t="b">
        <f t="shared" si="26"/>
        <v>0</v>
      </c>
      <c r="N324" t="str">
        <f>IF(M324,IF(B324="Fe",_xludf.XLOOKUP(A324,'Standards Catalogue'!$A:$A,'Standards Catalogue'!$B:$B,""),IF(B324="P",_xludf.XLOOKUP(A324,'Standards Catalogue'!$A:$A,'Standards Catalogue'!$D:$D,""),IF(B324="S",_xludf.XLOOKUP(A324,'Standards Catalogue'!$A:$A,'Standards Catalogue'!$F:$F,""),""))),"")</f>
        <v/>
      </c>
      <c r="O324" t="str">
        <f>IF(M324,IF(B324="Fe",_xludf.XLOOKUP(A324,'Standards Catalogue'!$A:$A,'Standards Catalogue'!$C:$C,""),IF(B324="P",_xludf.XLOOKUP(A324,'Standards Catalogue'!$A:$A,'Standards Catalogue'!$E:$E,""),IF(B324="S",_xludf.XLOOKUP(A324,'Standards Catalogue'!$A:$A,'Standards Catalogue'!$G:$G,""),""))),"")</f>
        <v/>
      </c>
      <c r="P324" t="str">
        <f t="shared" si="27"/>
        <v/>
      </c>
      <c r="Q324" t="str">
        <f t="shared" si="28"/>
        <v/>
      </c>
      <c r="R324" t="str">
        <f t="shared" si="29"/>
        <v/>
      </c>
    </row>
    <row r="325" spans="12:18" x14ac:dyDescent="0.25">
      <c r="L325" t="str">
        <f t="shared" si="25"/>
        <v/>
      </c>
      <c r="M325" t="b">
        <f t="shared" si="26"/>
        <v>0</v>
      </c>
      <c r="N325" t="str">
        <f>IF(M325,IF(B325="Fe",_xludf.XLOOKUP(A325,'Standards Catalogue'!$A:$A,'Standards Catalogue'!$B:$B,""),IF(B325="P",_xludf.XLOOKUP(A325,'Standards Catalogue'!$A:$A,'Standards Catalogue'!$D:$D,""),IF(B325="S",_xludf.XLOOKUP(A325,'Standards Catalogue'!$A:$A,'Standards Catalogue'!$F:$F,""),""))),"")</f>
        <v/>
      </c>
      <c r="O325" t="str">
        <f>IF(M325,IF(B325="Fe",_xludf.XLOOKUP(A325,'Standards Catalogue'!$A:$A,'Standards Catalogue'!$C:$C,""),IF(B325="P",_xludf.XLOOKUP(A325,'Standards Catalogue'!$A:$A,'Standards Catalogue'!$E:$E,""),IF(B325="S",_xludf.XLOOKUP(A325,'Standards Catalogue'!$A:$A,'Standards Catalogue'!$G:$G,""),""))),"")</f>
        <v/>
      </c>
      <c r="P325" t="str">
        <f t="shared" si="27"/>
        <v/>
      </c>
      <c r="Q325" t="str">
        <f t="shared" si="28"/>
        <v/>
      </c>
      <c r="R325" t="str">
        <f t="shared" si="29"/>
        <v/>
      </c>
    </row>
    <row r="326" spans="12:18" x14ac:dyDescent="0.25">
      <c r="L326" t="str">
        <f t="shared" si="25"/>
        <v/>
      </c>
      <c r="M326" t="b">
        <f t="shared" si="26"/>
        <v>0</v>
      </c>
      <c r="N326" t="str">
        <f>IF(M326,IF(B326="Fe",_xludf.XLOOKUP(A326,'Standards Catalogue'!$A:$A,'Standards Catalogue'!$B:$B,""),IF(B326="P",_xludf.XLOOKUP(A326,'Standards Catalogue'!$A:$A,'Standards Catalogue'!$D:$D,""),IF(B326="S",_xludf.XLOOKUP(A326,'Standards Catalogue'!$A:$A,'Standards Catalogue'!$F:$F,""),""))),"")</f>
        <v/>
      </c>
      <c r="O326" t="str">
        <f>IF(M326,IF(B326="Fe",_xludf.XLOOKUP(A326,'Standards Catalogue'!$A:$A,'Standards Catalogue'!$C:$C,""),IF(B326="P",_xludf.XLOOKUP(A326,'Standards Catalogue'!$A:$A,'Standards Catalogue'!$E:$E,""),IF(B326="S",_xludf.XLOOKUP(A326,'Standards Catalogue'!$A:$A,'Standards Catalogue'!$G:$G,""),""))),"")</f>
        <v/>
      </c>
      <c r="P326" t="str">
        <f t="shared" si="27"/>
        <v/>
      </c>
      <c r="Q326" t="str">
        <f t="shared" si="28"/>
        <v/>
      </c>
      <c r="R326" t="str">
        <f t="shared" si="29"/>
        <v/>
      </c>
    </row>
    <row r="327" spans="12:18" x14ac:dyDescent="0.25">
      <c r="L327" t="str">
        <f t="shared" si="25"/>
        <v/>
      </c>
      <c r="M327" t="b">
        <f t="shared" si="26"/>
        <v>0</v>
      </c>
      <c r="N327" t="str">
        <f>IF(M327,IF(B327="Fe",_xludf.XLOOKUP(A327,'Standards Catalogue'!$A:$A,'Standards Catalogue'!$B:$B,""),IF(B327="P",_xludf.XLOOKUP(A327,'Standards Catalogue'!$A:$A,'Standards Catalogue'!$D:$D,""),IF(B327="S",_xludf.XLOOKUP(A327,'Standards Catalogue'!$A:$A,'Standards Catalogue'!$F:$F,""),""))),"")</f>
        <v/>
      </c>
      <c r="O327" t="str">
        <f>IF(M327,IF(B327="Fe",_xludf.XLOOKUP(A327,'Standards Catalogue'!$A:$A,'Standards Catalogue'!$C:$C,""),IF(B327="P",_xludf.XLOOKUP(A327,'Standards Catalogue'!$A:$A,'Standards Catalogue'!$E:$E,""),IF(B327="S",_xludf.XLOOKUP(A327,'Standards Catalogue'!$A:$A,'Standards Catalogue'!$G:$G,""),""))),"")</f>
        <v/>
      </c>
      <c r="P327" t="str">
        <f t="shared" si="27"/>
        <v/>
      </c>
      <c r="Q327" t="str">
        <f t="shared" si="28"/>
        <v/>
      </c>
      <c r="R327" t="str">
        <f t="shared" si="29"/>
        <v/>
      </c>
    </row>
    <row r="328" spans="12:18" x14ac:dyDescent="0.25">
      <c r="L328" t="str">
        <f t="shared" si="25"/>
        <v/>
      </c>
      <c r="M328" t="b">
        <f t="shared" si="26"/>
        <v>0</v>
      </c>
      <c r="N328" t="str">
        <f>IF(M328,IF(B328="Fe",_xludf.XLOOKUP(A328,'Standards Catalogue'!$A:$A,'Standards Catalogue'!$B:$B,""),IF(B328="P",_xludf.XLOOKUP(A328,'Standards Catalogue'!$A:$A,'Standards Catalogue'!$D:$D,""),IF(B328="S",_xludf.XLOOKUP(A328,'Standards Catalogue'!$A:$A,'Standards Catalogue'!$F:$F,""),""))),"")</f>
        <v/>
      </c>
      <c r="O328" t="str">
        <f>IF(M328,IF(B328="Fe",_xludf.XLOOKUP(A328,'Standards Catalogue'!$A:$A,'Standards Catalogue'!$C:$C,""),IF(B328="P",_xludf.XLOOKUP(A328,'Standards Catalogue'!$A:$A,'Standards Catalogue'!$E:$E,""),IF(B328="S",_xludf.XLOOKUP(A328,'Standards Catalogue'!$A:$A,'Standards Catalogue'!$G:$G,""),""))),"")</f>
        <v/>
      </c>
      <c r="P328" t="str">
        <f t="shared" si="27"/>
        <v/>
      </c>
      <c r="Q328" t="str">
        <f t="shared" si="28"/>
        <v/>
      </c>
      <c r="R328" t="str">
        <f t="shared" si="29"/>
        <v/>
      </c>
    </row>
    <row r="329" spans="12:18" x14ac:dyDescent="0.25">
      <c r="L329" t="str">
        <f t="shared" si="25"/>
        <v/>
      </c>
      <c r="M329" t="b">
        <f t="shared" si="26"/>
        <v>0</v>
      </c>
      <c r="N329" t="str">
        <f>IF(M329,IF(B329="Fe",_xludf.XLOOKUP(A329,'Standards Catalogue'!$A:$A,'Standards Catalogue'!$B:$B,""),IF(B329="P",_xludf.XLOOKUP(A329,'Standards Catalogue'!$A:$A,'Standards Catalogue'!$D:$D,""),IF(B329="S",_xludf.XLOOKUP(A329,'Standards Catalogue'!$A:$A,'Standards Catalogue'!$F:$F,""),""))),"")</f>
        <v/>
      </c>
      <c r="O329" t="str">
        <f>IF(M329,IF(B329="Fe",_xludf.XLOOKUP(A329,'Standards Catalogue'!$A:$A,'Standards Catalogue'!$C:$C,""),IF(B329="P",_xludf.XLOOKUP(A329,'Standards Catalogue'!$A:$A,'Standards Catalogue'!$E:$E,""),IF(B329="S",_xludf.XLOOKUP(A329,'Standards Catalogue'!$A:$A,'Standards Catalogue'!$G:$G,""),""))),"")</f>
        <v/>
      </c>
      <c r="P329" t="str">
        <f t="shared" si="27"/>
        <v/>
      </c>
      <c r="Q329" t="str">
        <f t="shared" si="28"/>
        <v/>
      </c>
      <c r="R329" t="str">
        <f t="shared" si="29"/>
        <v/>
      </c>
    </row>
    <row r="330" spans="12:18" x14ac:dyDescent="0.25">
      <c r="L330" t="str">
        <f t="shared" si="25"/>
        <v/>
      </c>
      <c r="M330" t="b">
        <f t="shared" si="26"/>
        <v>0</v>
      </c>
      <c r="N330" t="str">
        <f>IF(M330,IF(B330="Fe",_xludf.XLOOKUP(A330,'Standards Catalogue'!$A:$A,'Standards Catalogue'!$B:$B,""),IF(B330="P",_xludf.XLOOKUP(A330,'Standards Catalogue'!$A:$A,'Standards Catalogue'!$D:$D,""),IF(B330="S",_xludf.XLOOKUP(A330,'Standards Catalogue'!$A:$A,'Standards Catalogue'!$F:$F,""),""))),"")</f>
        <v/>
      </c>
      <c r="O330" t="str">
        <f>IF(M330,IF(B330="Fe",_xludf.XLOOKUP(A330,'Standards Catalogue'!$A:$A,'Standards Catalogue'!$C:$C,""),IF(B330="P",_xludf.XLOOKUP(A330,'Standards Catalogue'!$A:$A,'Standards Catalogue'!$E:$E,""),IF(B330="S",_xludf.XLOOKUP(A330,'Standards Catalogue'!$A:$A,'Standards Catalogue'!$G:$G,""),""))),"")</f>
        <v/>
      </c>
      <c r="P330" t="str">
        <f t="shared" si="27"/>
        <v/>
      </c>
      <c r="Q330" t="str">
        <f t="shared" si="28"/>
        <v/>
      </c>
      <c r="R330" t="str">
        <f t="shared" si="29"/>
        <v/>
      </c>
    </row>
    <row r="331" spans="12:18" x14ac:dyDescent="0.25">
      <c r="L331" t="str">
        <f t="shared" si="25"/>
        <v/>
      </c>
      <c r="M331" t="b">
        <f t="shared" si="26"/>
        <v>0</v>
      </c>
      <c r="N331" t="str">
        <f>IF(M331,IF(B331="Fe",_xludf.XLOOKUP(A331,'Standards Catalogue'!$A:$A,'Standards Catalogue'!$B:$B,""),IF(B331="P",_xludf.XLOOKUP(A331,'Standards Catalogue'!$A:$A,'Standards Catalogue'!$D:$D,""),IF(B331="S",_xludf.XLOOKUP(A331,'Standards Catalogue'!$A:$A,'Standards Catalogue'!$F:$F,""),""))),"")</f>
        <v/>
      </c>
      <c r="O331" t="str">
        <f>IF(M331,IF(B331="Fe",_xludf.XLOOKUP(A331,'Standards Catalogue'!$A:$A,'Standards Catalogue'!$C:$C,""),IF(B331="P",_xludf.XLOOKUP(A331,'Standards Catalogue'!$A:$A,'Standards Catalogue'!$E:$E,""),IF(B331="S",_xludf.XLOOKUP(A331,'Standards Catalogue'!$A:$A,'Standards Catalogue'!$G:$G,""),""))),"")</f>
        <v/>
      </c>
      <c r="P331" t="str">
        <f t="shared" si="27"/>
        <v/>
      </c>
      <c r="Q331" t="str">
        <f t="shared" si="28"/>
        <v/>
      </c>
      <c r="R331" t="str">
        <f t="shared" si="29"/>
        <v/>
      </c>
    </row>
    <row r="332" spans="12:18" x14ac:dyDescent="0.25">
      <c r="L332" t="str">
        <f t="shared" si="25"/>
        <v/>
      </c>
      <c r="M332" t="b">
        <f t="shared" si="26"/>
        <v>0</v>
      </c>
      <c r="N332" t="str">
        <f>IF(M332,IF(B332="Fe",_xludf.XLOOKUP(A332,'Standards Catalogue'!$A:$A,'Standards Catalogue'!$B:$B,""),IF(B332="P",_xludf.XLOOKUP(A332,'Standards Catalogue'!$A:$A,'Standards Catalogue'!$D:$D,""),IF(B332="S",_xludf.XLOOKUP(A332,'Standards Catalogue'!$A:$A,'Standards Catalogue'!$F:$F,""),""))),"")</f>
        <v/>
      </c>
      <c r="O332" t="str">
        <f>IF(M332,IF(B332="Fe",_xludf.XLOOKUP(A332,'Standards Catalogue'!$A:$A,'Standards Catalogue'!$C:$C,""),IF(B332="P",_xludf.XLOOKUP(A332,'Standards Catalogue'!$A:$A,'Standards Catalogue'!$E:$E,""),IF(B332="S",_xludf.XLOOKUP(A332,'Standards Catalogue'!$A:$A,'Standards Catalogue'!$G:$G,""),""))),"")</f>
        <v/>
      </c>
      <c r="P332" t="str">
        <f t="shared" si="27"/>
        <v/>
      </c>
      <c r="Q332" t="str">
        <f t="shared" si="28"/>
        <v/>
      </c>
      <c r="R332" t="str">
        <f t="shared" si="29"/>
        <v/>
      </c>
    </row>
    <row r="333" spans="12:18" x14ac:dyDescent="0.25">
      <c r="L333" t="str">
        <f t="shared" si="25"/>
        <v/>
      </c>
      <c r="M333" t="b">
        <f t="shared" si="26"/>
        <v>0</v>
      </c>
      <c r="N333" t="str">
        <f>IF(M333,IF(B333="Fe",_xludf.XLOOKUP(A333,'Standards Catalogue'!$A:$A,'Standards Catalogue'!$B:$B,""),IF(B333="P",_xludf.XLOOKUP(A333,'Standards Catalogue'!$A:$A,'Standards Catalogue'!$D:$D,""),IF(B333="S",_xludf.XLOOKUP(A333,'Standards Catalogue'!$A:$A,'Standards Catalogue'!$F:$F,""),""))),"")</f>
        <v/>
      </c>
      <c r="O333" t="str">
        <f>IF(M333,IF(B333="Fe",_xludf.XLOOKUP(A333,'Standards Catalogue'!$A:$A,'Standards Catalogue'!$C:$C,""),IF(B333="P",_xludf.XLOOKUP(A333,'Standards Catalogue'!$A:$A,'Standards Catalogue'!$E:$E,""),IF(B333="S",_xludf.XLOOKUP(A333,'Standards Catalogue'!$A:$A,'Standards Catalogue'!$G:$G,""),""))),"")</f>
        <v/>
      </c>
      <c r="P333" t="str">
        <f t="shared" si="27"/>
        <v/>
      </c>
      <c r="Q333" t="str">
        <f t="shared" si="28"/>
        <v/>
      </c>
      <c r="R333" t="str">
        <f t="shared" si="29"/>
        <v/>
      </c>
    </row>
    <row r="334" spans="12:18" x14ac:dyDescent="0.25">
      <c r="L334" t="str">
        <f t="shared" si="25"/>
        <v/>
      </c>
      <c r="M334" t="b">
        <f t="shared" si="26"/>
        <v>0</v>
      </c>
      <c r="N334" t="str">
        <f>IF(M334,IF(B334="Fe",_xludf.XLOOKUP(A334,'Standards Catalogue'!$A:$A,'Standards Catalogue'!$B:$B,""),IF(B334="P",_xludf.XLOOKUP(A334,'Standards Catalogue'!$A:$A,'Standards Catalogue'!$D:$D,""),IF(B334="S",_xludf.XLOOKUP(A334,'Standards Catalogue'!$A:$A,'Standards Catalogue'!$F:$F,""),""))),"")</f>
        <v/>
      </c>
      <c r="O334" t="str">
        <f>IF(M334,IF(B334="Fe",_xludf.XLOOKUP(A334,'Standards Catalogue'!$A:$A,'Standards Catalogue'!$C:$C,""),IF(B334="P",_xludf.XLOOKUP(A334,'Standards Catalogue'!$A:$A,'Standards Catalogue'!$E:$E,""),IF(B334="S",_xludf.XLOOKUP(A334,'Standards Catalogue'!$A:$A,'Standards Catalogue'!$G:$G,""),""))),"")</f>
        <v/>
      </c>
      <c r="P334" t="str">
        <f t="shared" si="27"/>
        <v/>
      </c>
      <c r="Q334" t="str">
        <f t="shared" si="28"/>
        <v/>
      </c>
      <c r="R334" t="str">
        <f t="shared" si="29"/>
        <v/>
      </c>
    </row>
    <row r="335" spans="12:18" x14ac:dyDescent="0.25">
      <c r="L335" t="str">
        <f t="shared" si="25"/>
        <v/>
      </c>
      <c r="M335" t="b">
        <f t="shared" si="26"/>
        <v>0</v>
      </c>
      <c r="N335" t="str">
        <f>IF(M335,IF(B335="Fe",_xludf.XLOOKUP(A335,'Standards Catalogue'!$A:$A,'Standards Catalogue'!$B:$B,""),IF(B335="P",_xludf.XLOOKUP(A335,'Standards Catalogue'!$A:$A,'Standards Catalogue'!$D:$D,""),IF(B335="S",_xludf.XLOOKUP(A335,'Standards Catalogue'!$A:$A,'Standards Catalogue'!$F:$F,""),""))),"")</f>
        <v/>
      </c>
      <c r="O335" t="str">
        <f>IF(M335,IF(B335="Fe",_xludf.XLOOKUP(A335,'Standards Catalogue'!$A:$A,'Standards Catalogue'!$C:$C,""),IF(B335="P",_xludf.XLOOKUP(A335,'Standards Catalogue'!$A:$A,'Standards Catalogue'!$E:$E,""),IF(B335="S",_xludf.XLOOKUP(A335,'Standards Catalogue'!$A:$A,'Standards Catalogue'!$G:$G,""),""))),"")</f>
        <v/>
      </c>
      <c r="P335" t="str">
        <f t="shared" si="27"/>
        <v/>
      </c>
      <c r="Q335" t="str">
        <f t="shared" si="28"/>
        <v/>
      </c>
      <c r="R335" t="str">
        <f t="shared" si="29"/>
        <v/>
      </c>
    </row>
    <row r="336" spans="12:18" x14ac:dyDescent="0.25">
      <c r="L336" t="str">
        <f t="shared" si="25"/>
        <v/>
      </c>
      <c r="M336" t="b">
        <f t="shared" si="26"/>
        <v>0</v>
      </c>
      <c r="N336" t="str">
        <f>IF(M336,IF(B336="Fe",_xludf.XLOOKUP(A336,'Standards Catalogue'!$A:$A,'Standards Catalogue'!$B:$B,""),IF(B336="P",_xludf.XLOOKUP(A336,'Standards Catalogue'!$A:$A,'Standards Catalogue'!$D:$D,""),IF(B336="S",_xludf.XLOOKUP(A336,'Standards Catalogue'!$A:$A,'Standards Catalogue'!$F:$F,""),""))),"")</f>
        <v/>
      </c>
      <c r="O336" t="str">
        <f>IF(M336,IF(B336="Fe",_xludf.XLOOKUP(A336,'Standards Catalogue'!$A:$A,'Standards Catalogue'!$C:$C,""),IF(B336="P",_xludf.XLOOKUP(A336,'Standards Catalogue'!$A:$A,'Standards Catalogue'!$E:$E,""),IF(B336="S",_xludf.XLOOKUP(A336,'Standards Catalogue'!$A:$A,'Standards Catalogue'!$G:$G,""),""))),"")</f>
        <v/>
      </c>
      <c r="P336" t="str">
        <f t="shared" si="27"/>
        <v/>
      </c>
      <c r="Q336" t="str">
        <f t="shared" si="28"/>
        <v/>
      </c>
      <c r="R336" t="str">
        <f t="shared" si="29"/>
        <v/>
      </c>
    </row>
    <row r="337" spans="12:18" x14ac:dyDescent="0.25">
      <c r="L337" t="str">
        <f t="shared" si="25"/>
        <v/>
      </c>
      <c r="M337" t="b">
        <f t="shared" si="26"/>
        <v>0</v>
      </c>
      <c r="N337" t="str">
        <f>IF(M337,IF(B337="Fe",_xludf.XLOOKUP(A337,'Standards Catalogue'!$A:$A,'Standards Catalogue'!$B:$B,""),IF(B337="P",_xludf.XLOOKUP(A337,'Standards Catalogue'!$A:$A,'Standards Catalogue'!$D:$D,""),IF(B337="S",_xludf.XLOOKUP(A337,'Standards Catalogue'!$A:$A,'Standards Catalogue'!$F:$F,""),""))),"")</f>
        <v/>
      </c>
      <c r="O337" t="str">
        <f>IF(M337,IF(B337="Fe",_xludf.XLOOKUP(A337,'Standards Catalogue'!$A:$A,'Standards Catalogue'!$C:$C,""),IF(B337="P",_xludf.XLOOKUP(A337,'Standards Catalogue'!$A:$A,'Standards Catalogue'!$E:$E,""),IF(B337="S",_xludf.XLOOKUP(A337,'Standards Catalogue'!$A:$A,'Standards Catalogue'!$G:$G,""),""))),"")</f>
        <v/>
      </c>
      <c r="P337" t="str">
        <f t="shared" si="27"/>
        <v/>
      </c>
      <c r="Q337" t="str">
        <f t="shared" si="28"/>
        <v/>
      </c>
      <c r="R337" t="str">
        <f t="shared" si="29"/>
        <v/>
      </c>
    </row>
    <row r="338" spans="12:18" x14ac:dyDescent="0.25">
      <c r="L338" t="str">
        <f t="shared" si="25"/>
        <v/>
      </c>
      <c r="M338" t="b">
        <f t="shared" si="26"/>
        <v>0</v>
      </c>
      <c r="N338" t="str">
        <f>IF(M338,IF(B338="Fe",_xludf.XLOOKUP(A338,'Standards Catalogue'!$A:$A,'Standards Catalogue'!$B:$B,""),IF(B338="P",_xludf.XLOOKUP(A338,'Standards Catalogue'!$A:$A,'Standards Catalogue'!$D:$D,""),IF(B338="S",_xludf.XLOOKUP(A338,'Standards Catalogue'!$A:$A,'Standards Catalogue'!$F:$F,""),""))),"")</f>
        <v/>
      </c>
      <c r="O338" t="str">
        <f>IF(M338,IF(B338="Fe",_xludf.XLOOKUP(A338,'Standards Catalogue'!$A:$A,'Standards Catalogue'!$C:$C,""),IF(B338="P",_xludf.XLOOKUP(A338,'Standards Catalogue'!$A:$A,'Standards Catalogue'!$E:$E,""),IF(B338="S",_xludf.XLOOKUP(A338,'Standards Catalogue'!$A:$A,'Standards Catalogue'!$G:$G,""),""))),"")</f>
        <v/>
      </c>
      <c r="P338" t="str">
        <f t="shared" si="27"/>
        <v/>
      </c>
      <c r="Q338" t="str">
        <f t="shared" si="28"/>
        <v/>
      </c>
      <c r="R338" t="str">
        <f t="shared" si="29"/>
        <v/>
      </c>
    </row>
    <row r="339" spans="12:18" x14ac:dyDescent="0.25">
      <c r="L339" t="str">
        <f t="shared" si="25"/>
        <v/>
      </c>
      <c r="M339" t="b">
        <f t="shared" si="26"/>
        <v>0</v>
      </c>
      <c r="N339" t="str">
        <f>IF(M339,IF(B339="Fe",_xludf.XLOOKUP(A339,'Standards Catalogue'!$A:$A,'Standards Catalogue'!$B:$B,""),IF(B339="P",_xludf.XLOOKUP(A339,'Standards Catalogue'!$A:$A,'Standards Catalogue'!$D:$D,""),IF(B339="S",_xludf.XLOOKUP(A339,'Standards Catalogue'!$A:$A,'Standards Catalogue'!$F:$F,""),""))),"")</f>
        <v/>
      </c>
      <c r="O339" t="str">
        <f>IF(M339,IF(B339="Fe",_xludf.XLOOKUP(A339,'Standards Catalogue'!$A:$A,'Standards Catalogue'!$C:$C,""),IF(B339="P",_xludf.XLOOKUP(A339,'Standards Catalogue'!$A:$A,'Standards Catalogue'!$E:$E,""),IF(B339="S",_xludf.XLOOKUP(A339,'Standards Catalogue'!$A:$A,'Standards Catalogue'!$G:$G,""),""))),"")</f>
        <v/>
      </c>
      <c r="P339" t="str">
        <f t="shared" si="27"/>
        <v/>
      </c>
      <c r="Q339" t="str">
        <f t="shared" si="28"/>
        <v/>
      </c>
      <c r="R339" t="str">
        <f t="shared" si="29"/>
        <v/>
      </c>
    </row>
    <row r="340" spans="12:18" x14ac:dyDescent="0.25">
      <c r="L340" t="str">
        <f t="shared" si="25"/>
        <v/>
      </c>
      <c r="M340" t="b">
        <f t="shared" si="26"/>
        <v>0</v>
      </c>
      <c r="N340" t="str">
        <f>IF(M340,IF(B340="Fe",_xludf.XLOOKUP(A340,'Standards Catalogue'!$A:$A,'Standards Catalogue'!$B:$B,""),IF(B340="P",_xludf.XLOOKUP(A340,'Standards Catalogue'!$A:$A,'Standards Catalogue'!$D:$D,""),IF(B340="S",_xludf.XLOOKUP(A340,'Standards Catalogue'!$A:$A,'Standards Catalogue'!$F:$F,""),""))),"")</f>
        <v/>
      </c>
      <c r="O340" t="str">
        <f>IF(M340,IF(B340="Fe",_xludf.XLOOKUP(A340,'Standards Catalogue'!$A:$A,'Standards Catalogue'!$C:$C,""),IF(B340="P",_xludf.XLOOKUP(A340,'Standards Catalogue'!$A:$A,'Standards Catalogue'!$E:$E,""),IF(B340="S",_xludf.XLOOKUP(A340,'Standards Catalogue'!$A:$A,'Standards Catalogue'!$G:$G,""),""))),"")</f>
        <v/>
      </c>
      <c r="P340" t="str">
        <f t="shared" si="27"/>
        <v/>
      </c>
      <c r="Q340" t="str">
        <f t="shared" si="28"/>
        <v/>
      </c>
      <c r="R340" t="str">
        <f t="shared" si="29"/>
        <v/>
      </c>
    </row>
    <row r="341" spans="12:18" x14ac:dyDescent="0.25">
      <c r="L341" t="str">
        <f t="shared" si="25"/>
        <v/>
      </c>
      <c r="M341" t="b">
        <f t="shared" si="26"/>
        <v>0</v>
      </c>
      <c r="N341" t="str">
        <f>IF(M341,IF(B341="Fe",_xludf.XLOOKUP(A341,'Standards Catalogue'!$A:$A,'Standards Catalogue'!$B:$B,""),IF(B341="P",_xludf.XLOOKUP(A341,'Standards Catalogue'!$A:$A,'Standards Catalogue'!$D:$D,""),IF(B341="S",_xludf.XLOOKUP(A341,'Standards Catalogue'!$A:$A,'Standards Catalogue'!$F:$F,""),""))),"")</f>
        <v/>
      </c>
      <c r="O341" t="str">
        <f>IF(M341,IF(B341="Fe",_xludf.XLOOKUP(A341,'Standards Catalogue'!$A:$A,'Standards Catalogue'!$C:$C,""),IF(B341="P",_xludf.XLOOKUP(A341,'Standards Catalogue'!$A:$A,'Standards Catalogue'!$E:$E,""),IF(B341="S",_xludf.XLOOKUP(A341,'Standards Catalogue'!$A:$A,'Standards Catalogue'!$G:$G,""),""))),"")</f>
        <v/>
      </c>
      <c r="P341" t="str">
        <f t="shared" si="27"/>
        <v/>
      </c>
      <c r="Q341" t="str">
        <f t="shared" si="28"/>
        <v/>
      </c>
      <c r="R341" t="str">
        <f t="shared" si="29"/>
        <v/>
      </c>
    </row>
    <row r="342" spans="12:18" x14ac:dyDescent="0.25">
      <c r="L342" t="str">
        <f t="shared" si="25"/>
        <v/>
      </c>
      <c r="M342" t="b">
        <f t="shared" si="26"/>
        <v>0</v>
      </c>
      <c r="N342" t="str">
        <f>IF(M342,IF(B342="Fe",_xludf.XLOOKUP(A342,'Standards Catalogue'!$A:$A,'Standards Catalogue'!$B:$B,""),IF(B342="P",_xludf.XLOOKUP(A342,'Standards Catalogue'!$A:$A,'Standards Catalogue'!$D:$D,""),IF(B342="S",_xludf.XLOOKUP(A342,'Standards Catalogue'!$A:$A,'Standards Catalogue'!$F:$F,""),""))),"")</f>
        <v/>
      </c>
      <c r="O342" t="str">
        <f>IF(M342,IF(B342="Fe",_xludf.XLOOKUP(A342,'Standards Catalogue'!$A:$A,'Standards Catalogue'!$C:$C,""),IF(B342="P",_xludf.XLOOKUP(A342,'Standards Catalogue'!$A:$A,'Standards Catalogue'!$E:$E,""),IF(B342="S",_xludf.XLOOKUP(A342,'Standards Catalogue'!$A:$A,'Standards Catalogue'!$G:$G,""),""))),"")</f>
        <v/>
      </c>
      <c r="P342" t="str">
        <f t="shared" si="27"/>
        <v/>
      </c>
      <c r="Q342" t="str">
        <f t="shared" si="28"/>
        <v/>
      </c>
      <c r="R342" t="str">
        <f t="shared" si="29"/>
        <v/>
      </c>
    </row>
    <row r="343" spans="12:18" x14ac:dyDescent="0.25">
      <c r="L343" t="str">
        <f t="shared" si="25"/>
        <v/>
      </c>
      <c r="M343" t="b">
        <f t="shared" si="26"/>
        <v>0</v>
      </c>
      <c r="N343" t="str">
        <f>IF(M343,IF(B343="Fe",_xludf.XLOOKUP(A343,'Standards Catalogue'!$A:$A,'Standards Catalogue'!$B:$B,""),IF(B343="P",_xludf.XLOOKUP(A343,'Standards Catalogue'!$A:$A,'Standards Catalogue'!$D:$D,""),IF(B343="S",_xludf.XLOOKUP(A343,'Standards Catalogue'!$A:$A,'Standards Catalogue'!$F:$F,""),""))),"")</f>
        <v/>
      </c>
      <c r="O343" t="str">
        <f>IF(M343,IF(B343="Fe",_xludf.XLOOKUP(A343,'Standards Catalogue'!$A:$A,'Standards Catalogue'!$C:$C,""),IF(B343="P",_xludf.XLOOKUP(A343,'Standards Catalogue'!$A:$A,'Standards Catalogue'!$E:$E,""),IF(B343="S",_xludf.XLOOKUP(A343,'Standards Catalogue'!$A:$A,'Standards Catalogue'!$G:$G,""),""))),"")</f>
        <v/>
      </c>
      <c r="P343" t="str">
        <f t="shared" si="27"/>
        <v/>
      </c>
      <c r="Q343" t="str">
        <f t="shared" si="28"/>
        <v/>
      </c>
      <c r="R343" t="str">
        <f t="shared" si="29"/>
        <v/>
      </c>
    </row>
    <row r="344" spans="12:18" x14ac:dyDescent="0.25">
      <c r="L344" t="str">
        <f t="shared" si="25"/>
        <v/>
      </c>
      <c r="M344" t="b">
        <f t="shared" si="26"/>
        <v>0</v>
      </c>
      <c r="N344" t="str">
        <f>IF(M344,IF(B344="Fe",_xludf.XLOOKUP(A344,'Standards Catalogue'!$A:$A,'Standards Catalogue'!$B:$B,""),IF(B344="P",_xludf.XLOOKUP(A344,'Standards Catalogue'!$A:$A,'Standards Catalogue'!$D:$D,""),IF(B344="S",_xludf.XLOOKUP(A344,'Standards Catalogue'!$A:$A,'Standards Catalogue'!$F:$F,""),""))),"")</f>
        <v/>
      </c>
      <c r="O344" t="str">
        <f>IF(M344,IF(B344="Fe",_xludf.XLOOKUP(A344,'Standards Catalogue'!$A:$A,'Standards Catalogue'!$C:$C,""),IF(B344="P",_xludf.XLOOKUP(A344,'Standards Catalogue'!$A:$A,'Standards Catalogue'!$E:$E,""),IF(B344="S",_xludf.XLOOKUP(A344,'Standards Catalogue'!$A:$A,'Standards Catalogue'!$G:$G,""),""))),"")</f>
        <v/>
      </c>
      <c r="P344" t="str">
        <f t="shared" si="27"/>
        <v/>
      </c>
      <c r="Q344" t="str">
        <f t="shared" si="28"/>
        <v/>
      </c>
      <c r="R344" t="str">
        <f t="shared" si="29"/>
        <v/>
      </c>
    </row>
    <row r="345" spans="12:18" x14ac:dyDescent="0.25">
      <c r="L345" t="str">
        <f t="shared" si="25"/>
        <v/>
      </c>
      <c r="M345" t="b">
        <f t="shared" si="26"/>
        <v>0</v>
      </c>
      <c r="N345" t="str">
        <f>IF(M345,IF(B345="Fe",_xludf.XLOOKUP(A345,'Standards Catalogue'!$A:$A,'Standards Catalogue'!$B:$B,""),IF(B345="P",_xludf.XLOOKUP(A345,'Standards Catalogue'!$A:$A,'Standards Catalogue'!$D:$D,""),IF(B345="S",_xludf.XLOOKUP(A345,'Standards Catalogue'!$A:$A,'Standards Catalogue'!$F:$F,""),""))),"")</f>
        <v/>
      </c>
      <c r="O345" t="str">
        <f>IF(M345,IF(B345="Fe",_xludf.XLOOKUP(A345,'Standards Catalogue'!$A:$A,'Standards Catalogue'!$C:$C,""),IF(B345="P",_xludf.XLOOKUP(A345,'Standards Catalogue'!$A:$A,'Standards Catalogue'!$E:$E,""),IF(B345="S",_xludf.XLOOKUP(A345,'Standards Catalogue'!$A:$A,'Standards Catalogue'!$G:$G,""),""))),"")</f>
        <v/>
      </c>
      <c r="P345" t="str">
        <f t="shared" si="27"/>
        <v/>
      </c>
      <c r="Q345" t="str">
        <f t="shared" si="28"/>
        <v/>
      </c>
      <c r="R345" t="str">
        <f t="shared" si="29"/>
        <v/>
      </c>
    </row>
    <row r="346" spans="12:18" x14ac:dyDescent="0.25">
      <c r="L346" t="str">
        <f t="shared" si="25"/>
        <v/>
      </c>
      <c r="M346" t="b">
        <f t="shared" si="26"/>
        <v>0</v>
      </c>
      <c r="N346" t="str">
        <f>IF(M346,IF(B346="Fe",_xludf.XLOOKUP(A346,'Standards Catalogue'!$A:$A,'Standards Catalogue'!$B:$B,""),IF(B346="P",_xludf.XLOOKUP(A346,'Standards Catalogue'!$A:$A,'Standards Catalogue'!$D:$D,""),IF(B346="S",_xludf.XLOOKUP(A346,'Standards Catalogue'!$A:$A,'Standards Catalogue'!$F:$F,""),""))),"")</f>
        <v/>
      </c>
      <c r="O346" t="str">
        <f>IF(M346,IF(B346="Fe",_xludf.XLOOKUP(A346,'Standards Catalogue'!$A:$A,'Standards Catalogue'!$C:$C,""),IF(B346="P",_xludf.XLOOKUP(A346,'Standards Catalogue'!$A:$A,'Standards Catalogue'!$E:$E,""),IF(B346="S",_xludf.XLOOKUP(A346,'Standards Catalogue'!$A:$A,'Standards Catalogue'!$G:$G,""),""))),"")</f>
        <v/>
      </c>
      <c r="P346" t="str">
        <f t="shared" si="27"/>
        <v/>
      </c>
      <c r="Q346" t="str">
        <f t="shared" si="28"/>
        <v/>
      </c>
      <c r="R346" t="str">
        <f t="shared" si="29"/>
        <v/>
      </c>
    </row>
    <row r="347" spans="12:18" x14ac:dyDescent="0.25">
      <c r="L347" t="str">
        <f t="shared" si="25"/>
        <v/>
      </c>
      <c r="M347" t="b">
        <f t="shared" si="26"/>
        <v>0</v>
      </c>
      <c r="N347" t="str">
        <f>IF(M347,IF(B347="Fe",_xludf.XLOOKUP(A347,'Standards Catalogue'!$A:$A,'Standards Catalogue'!$B:$B,""),IF(B347="P",_xludf.XLOOKUP(A347,'Standards Catalogue'!$A:$A,'Standards Catalogue'!$D:$D,""),IF(B347="S",_xludf.XLOOKUP(A347,'Standards Catalogue'!$A:$A,'Standards Catalogue'!$F:$F,""),""))),"")</f>
        <v/>
      </c>
      <c r="O347" t="str">
        <f>IF(M347,IF(B347="Fe",_xludf.XLOOKUP(A347,'Standards Catalogue'!$A:$A,'Standards Catalogue'!$C:$C,""),IF(B347="P",_xludf.XLOOKUP(A347,'Standards Catalogue'!$A:$A,'Standards Catalogue'!$E:$E,""),IF(B347="S",_xludf.XLOOKUP(A347,'Standards Catalogue'!$A:$A,'Standards Catalogue'!$G:$G,""),""))),"")</f>
        <v/>
      </c>
      <c r="P347" t="str">
        <f t="shared" si="27"/>
        <v/>
      </c>
      <c r="Q347" t="str">
        <f t="shared" si="28"/>
        <v/>
      </c>
      <c r="R347" t="str">
        <f t="shared" si="29"/>
        <v/>
      </c>
    </row>
    <row r="348" spans="12:18" x14ac:dyDescent="0.25">
      <c r="L348" t="str">
        <f t="shared" si="25"/>
        <v/>
      </c>
      <c r="M348" t="b">
        <f t="shared" si="26"/>
        <v>0</v>
      </c>
      <c r="N348" t="str">
        <f>IF(M348,IF(B348="Fe",_xludf.XLOOKUP(A348,'Standards Catalogue'!$A:$A,'Standards Catalogue'!$B:$B,""),IF(B348="P",_xludf.XLOOKUP(A348,'Standards Catalogue'!$A:$A,'Standards Catalogue'!$D:$D,""),IF(B348="S",_xludf.XLOOKUP(A348,'Standards Catalogue'!$A:$A,'Standards Catalogue'!$F:$F,""),""))),"")</f>
        <v/>
      </c>
      <c r="O348" t="str">
        <f>IF(M348,IF(B348="Fe",_xludf.XLOOKUP(A348,'Standards Catalogue'!$A:$A,'Standards Catalogue'!$C:$C,""),IF(B348="P",_xludf.XLOOKUP(A348,'Standards Catalogue'!$A:$A,'Standards Catalogue'!$E:$E,""),IF(B348="S",_xludf.XLOOKUP(A348,'Standards Catalogue'!$A:$A,'Standards Catalogue'!$G:$G,""),""))),"")</f>
        <v/>
      </c>
      <c r="P348" t="str">
        <f t="shared" si="27"/>
        <v/>
      </c>
      <c r="Q348" t="str">
        <f t="shared" si="28"/>
        <v/>
      </c>
      <c r="R348" t="str">
        <f t="shared" si="29"/>
        <v/>
      </c>
    </row>
    <row r="349" spans="12:18" x14ac:dyDescent="0.25">
      <c r="L349" t="str">
        <f t="shared" si="25"/>
        <v/>
      </c>
      <c r="M349" t="b">
        <f t="shared" si="26"/>
        <v>0</v>
      </c>
      <c r="N349" t="str">
        <f>IF(M349,IF(B349="Fe",_xludf.XLOOKUP(A349,'Standards Catalogue'!$A:$A,'Standards Catalogue'!$B:$B,""),IF(B349="P",_xludf.XLOOKUP(A349,'Standards Catalogue'!$A:$A,'Standards Catalogue'!$D:$D,""),IF(B349="S",_xludf.XLOOKUP(A349,'Standards Catalogue'!$A:$A,'Standards Catalogue'!$F:$F,""),""))),"")</f>
        <v/>
      </c>
      <c r="O349" t="str">
        <f>IF(M349,IF(B349="Fe",_xludf.XLOOKUP(A349,'Standards Catalogue'!$A:$A,'Standards Catalogue'!$C:$C,""),IF(B349="P",_xludf.XLOOKUP(A349,'Standards Catalogue'!$A:$A,'Standards Catalogue'!$E:$E,""),IF(B349="S",_xludf.XLOOKUP(A349,'Standards Catalogue'!$A:$A,'Standards Catalogue'!$G:$G,""),""))),"")</f>
        <v/>
      </c>
      <c r="P349" t="str">
        <f t="shared" si="27"/>
        <v/>
      </c>
      <c r="Q349" t="str">
        <f t="shared" si="28"/>
        <v/>
      </c>
      <c r="R349" t="str">
        <f t="shared" si="29"/>
        <v/>
      </c>
    </row>
    <row r="350" spans="12:18" x14ac:dyDescent="0.25">
      <c r="L350" t="str">
        <f t="shared" si="25"/>
        <v/>
      </c>
      <c r="M350" t="b">
        <f t="shared" si="26"/>
        <v>0</v>
      </c>
      <c r="N350" t="str">
        <f>IF(M350,IF(B350="Fe",_xludf.XLOOKUP(A350,'Standards Catalogue'!$A:$A,'Standards Catalogue'!$B:$B,""),IF(B350="P",_xludf.XLOOKUP(A350,'Standards Catalogue'!$A:$A,'Standards Catalogue'!$D:$D,""),IF(B350="S",_xludf.XLOOKUP(A350,'Standards Catalogue'!$A:$A,'Standards Catalogue'!$F:$F,""),""))),"")</f>
        <v/>
      </c>
      <c r="O350" t="str">
        <f>IF(M350,IF(B350="Fe",_xludf.XLOOKUP(A350,'Standards Catalogue'!$A:$A,'Standards Catalogue'!$C:$C,""),IF(B350="P",_xludf.XLOOKUP(A350,'Standards Catalogue'!$A:$A,'Standards Catalogue'!$E:$E,""),IF(B350="S",_xludf.XLOOKUP(A350,'Standards Catalogue'!$A:$A,'Standards Catalogue'!$G:$G,""),""))),"")</f>
        <v/>
      </c>
      <c r="P350" t="str">
        <f t="shared" si="27"/>
        <v/>
      </c>
      <c r="Q350" t="str">
        <f t="shared" si="28"/>
        <v/>
      </c>
      <c r="R350" t="str">
        <f t="shared" si="29"/>
        <v/>
      </c>
    </row>
    <row r="351" spans="12:18" x14ac:dyDescent="0.25">
      <c r="L351" t="str">
        <f t="shared" si="25"/>
        <v/>
      </c>
      <c r="M351" t="b">
        <f t="shared" si="26"/>
        <v>0</v>
      </c>
      <c r="N351" t="str">
        <f>IF(M351,IF(B351="Fe",_xludf.XLOOKUP(A351,'Standards Catalogue'!$A:$A,'Standards Catalogue'!$B:$B,""),IF(B351="P",_xludf.XLOOKUP(A351,'Standards Catalogue'!$A:$A,'Standards Catalogue'!$D:$D,""),IF(B351="S",_xludf.XLOOKUP(A351,'Standards Catalogue'!$A:$A,'Standards Catalogue'!$F:$F,""),""))),"")</f>
        <v/>
      </c>
      <c r="O351" t="str">
        <f>IF(M351,IF(B351="Fe",_xludf.XLOOKUP(A351,'Standards Catalogue'!$A:$A,'Standards Catalogue'!$C:$C,""),IF(B351="P",_xludf.XLOOKUP(A351,'Standards Catalogue'!$A:$A,'Standards Catalogue'!$E:$E,""),IF(B351="S",_xludf.XLOOKUP(A351,'Standards Catalogue'!$A:$A,'Standards Catalogue'!$G:$G,""),""))),"")</f>
        <v/>
      </c>
      <c r="P351" t="str">
        <f t="shared" si="27"/>
        <v/>
      </c>
      <c r="Q351" t="str">
        <f t="shared" si="28"/>
        <v/>
      </c>
      <c r="R351" t="str">
        <f t="shared" si="29"/>
        <v/>
      </c>
    </row>
    <row r="352" spans="12:18" x14ac:dyDescent="0.25">
      <c r="L352" t="str">
        <f t="shared" si="25"/>
        <v/>
      </c>
      <c r="M352" t="b">
        <f t="shared" si="26"/>
        <v>0</v>
      </c>
      <c r="N352" t="str">
        <f>IF(M352,IF(B352="Fe",_xludf.XLOOKUP(A352,'Standards Catalogue'!$A:$A,'Standards Catalogue'!$B:$B,""),IF(B352="P",_xludf.XLOOKUP(A352,'Standards Catalogue'!$A:$A,'Standards Catalogue'!$D:$D,""),IF(B352="S",_xludf.XLOOKUP(A352,'Standards Catalogue'!$A:$A,'Standards Catalogue'!$F:$F,""),""))),"")</f>
        <v/>
      </c>
      <c r="O352" t="str">
        <f>IF(M352,IF(B352="Fe",_xludf.XLOOKUP(A352,'Standards Catalogue'!$A:$A,'Standards Catalogue'!$C:$C,""),IF(B352="P",_xludf.XLOOKUP(A352,'Standards Catalogue'!$A:$A,'Standards Catalogue'!$E:$E,""),IF(B352="S",_xludf.XLOOKUP(A352,'Standards Catalogue'!$A:$A,'Standards Catalogue'!$G:$G,""),""))),"")</f>
        <v/>
      </c>
      <c r="P352" t="str">
        <f t="shared" si="27"/>
        <v/>
      </c>
      <c r="Q352" t="str">
        <f t="shared" si="28"/>
        <v/>
      </c>
      <c r="R352" t="str">
        <f t="shared" si="29"/>
        <v/>
      </c>
    </row>
    <row r="353" spans="12:18" x14ac:dyDescent="0.25">
      <c r="L353" t="str">
        <f t="shared" si="25"/>
        <v/>
      </c>
      <c r="M353" t="b">
        <f t="shared" si="26"/>
        <v>0</v>
      </c>
      <c r="N353" t="str">
        <f>IF(M353,IF(B353="Fe",_xludf.XLOOKUP(A353,'Standards Catalogue'!$A:$A,'Standards Catalogue'!$B:$B,""),IF(B353="P",_xludf.XLOOKUP(A353,'Standards Catalogue'!$A:$A,'Standards Catalogue'!$D:$D,""),IF(B353="S",_xludf.XLOOKUP(A353,'Standards Catalogue'!$A:$A,'Standards Catalogue'!$F:$F,""),""))),"")</f>
        <v/>
      </c>
      <c r="O353" t="str">
        <f>IF(M353,IF(B353="Fe",_xludf.XLOOKUP(A353,'Standards Catalogue'!$A:$A,'Standards Catalogue'!$C:$C,""),IF(B353="P",_xludf.XLOOKUP(A353,'Standards Catalogue'!$A:$A,'Standards Catalogue'!$E:$E,""),IF(B353="S",_xludf.XLOOKUP(A353,'Standards Catalogue'!$A:$A,'Standards Catalogue'!$G:$G,""),""))),"")</f>
        <v/>
      </c>
      <c r="P353" t="str">
        <f t="shared" si="27"/>
        <v/>
      </c>
      <c r="Q353" t="str">
        <f t="shared" si="28"/>
        <v/>
      </c>
      <c r="R353" t="str">
        <f t="shared" si="29"/>
        <v/>
      </c>
    </row>
    <row r="354" spans="12:18" x14ac:dyDescent="0.25">
      <c r="L354" t="str">
        <f t="shared" si="25"/>
        <v/>
      </c>
      <c r="M354" t="b">
        <f t="shared" si="26"/>
        <v>0</v>
      </c>
      <c r="N354" t="str">
        <f>IF(M354,IF(B354="Fe",_xludf.XLOOKUP(A354,'Standards Catalogue'!$A:$A,'Standards Catalogue'!$B:$B,""),IF(B354="P",_xludf.XLOOKUP(A354,'Standards Catalogue'!$A:$A,'Standards Catalogue'!$D:$D,""),IF(B354="S",_xludf.XLOOKUP(A354,'Standards Catalogue'!$A:$A,'Standards Catalogue'!$F:$F,""),""))),"")</f>
        <v/>
      </c>
      <c r="O354" t="str">
        <f>IF(M354,IF(B354="Fe",_xludf.XLOOKUP(A354,'Standards Catalogue'!$A:$A,'Standards Catalogue'!$C:$C,""),IF(B354="P",_xludf.XLOOKUP(A354,'Standards Catalogue'!$A:$A,'Standards Catalogue'!$E:$E,""),IF(B354="S",_xludf.XLOOKUP(A354,'Standards Catalogue'!$A:$A,'Standards Catalogue'!$G:$G,""),""))),"")</f>
        <v/>
      </c>
      <c r="P354" t="str">
        <f t="shared" si="27"/>
        <v/>
      </c>
      <c r="Q354" t="str">
        <f t="shared" si="28"/>
        <v/>
      </c>
      <c r="R354" t="str">
        <f t="shared" si="29"/>
        <v/>
      </c>
    </row>
    <row r="355" spans="12:18" x14ac:dyDescent="0.25">
      <c r="L355" t="str">
        <f t="shared" si="25"/>
        <v/>
      </c>
      <c r="M355" t="b">
        <f t="shared" si="26"/>
        <v>0</v>
      </c>
      <c r="N355" t="str">
        <f>IF(M355,IF(B355="Fe",_xludf.XLOOKUP(A355,'Standards Catalogue'!$A:$A,'Standards Catalogue'!$B:$B,""),IF(B355="P",_xludf.XLOOKUP(A355,'Standards Catalogue'!$A:$A,'Standards Catalogue'!$D:$D,""),IF(B355="S",_xludf.XLOOKUP(A355,'Standards Catalogue'!$A:$A,'Standards Catalogue'!$F:$F,""),""))),"")</f>
        <v/>
      </c>
      <c r="O355" t="str">
        <f>IF(M355,IF(B355="Fe",_xludf.XLOOKUP(A355,'Standards Catalogue'!$A:$A,'Standards Catalogue'!$C:$C,""),IF(B355="P",_xludf.XLOOKUP(A355,'Standards Catalogue'!$A:$A,'Standards Catalogue'!$E:$E,""),IF(B355="S",_xludf.XLOOKUP(A355,'Standards Catalogue'!$A:$A,'Standards Catalogue'!$G:$G,""),""))),"")</f>
        <v/>
      </c>
      <c r="P355" t="str">
        <f t="shared" si="27"/>
        <v/>
      </c>
      <c r="Q355" t="str">
        <f t="shared" si="28"/>
        <v/>
      </c>
      <c r="R355" t="str">
        <f t="shared" si="29"/>
        <v/>
      </c>
    </row>
    <row r="356" spans="12:18" x14ac:dyDescent="0.25">
      <c r="L356" t="str">
        <f t="shared" si="25"/>
        <v/>
      </c>
      <c r="M356" t="b">
        <f t="shared" si="26"/>
        <v>0</v>
      </c>
      <c r="N356" t="str">
        <f>IF(M356,IF(B356="Fe",_xludf.XLOOKUP(A356,'Standards Catalogue'!$A:$A,'Standards Catalogue'!$B:$B,""),IF(B356="P",_xludf.XLOOKUP(A356,'Standards Catalogue'!$A:$A,'Standards Catalogue'!$D:$D,""),IF(B356="S",_xludf.XLOOKUP(A356,'Standards Catalogue'!$A:$A,'Standards Catalogue'!$F:$F,""),""))),"")</f>
        <v/>
      </c>
      <c r="O356" t="str">
        <f>IF(M356,IF(B356="Fe",_xludf.XLOOKUP(A356,'Standards Catalogue'!$A:$A,'Standards Catalogue'!$C:$C,""),IF(B356="P",_xludf.XLOOKUP(A356,'Standards Catalogue'!$A:$A,'Standards Catalogue'!$E:$E,""),IF(B356="S",_xludf.XLOOKUP(A356,'Standards Catalogue'!$A:$A,'Standards Catalogue'!$G:$G,""),""))),"")</f>
        <v/>
      </c>
      <c r="P356" t="str">
        <f t="shared" si="27"/>
        <v/>
      </c>
      <c r="Q356" t="str">
        <f t="shared" si="28"/>
        <v/>
      </c>
      <c r="R356" t="str">
        <f t="shared" si="29"/>
        <v/>
      </c>
    </row>
    <row r="357" spans="12:18" x14ac:dyDescent="0.25">
      <c r="L357" t="str">
        <f t="shared" si="25"/>
        <v/>
      </c>
      <c r="M357" t="b">
        <f t="shared" si="26"/>
        <v>0</v>
      </c>
      <c r="N357" t="str">
        <f>IF(M357,IF(B357="Fe",_xludf.XLOOKUP(A357,'Standards Catalogue'!$A:$A,'Standards Catalogue'!$B:$B,""),IF(B357="P",_xludf.XLOOKUP(A357,'Standards Catalogue'!$A:$A,'Standards Catalogue'!$D:$D,""),IF(B357="S",_xludf.XLOOKUP(A357,'Standards Catalogue'!$A:$A,'Standards Catalogue'!$F:$F,""),""))),"")</f>
        <v/>
      </c>
      <c r="O357" t="str">
        <f>IF(M357,IF(B357="Fe",_xludf.XLOOKUP(A357,'Standards Catalogue'!$A:$A,'Standards Catalogue'!$C:$C,""),IF(B357="P",_xludf.XLOOKUP(A357,'Standards Catalogue'!$A:$A,'Standards Catalogue'!$E:$E,""),IF(B357="S",_xludf.XLOOKUP(A357,'Standards Catalogue'!$A:$A,'Standards Catalogue'!$G:$G,""),""))),"")</f>
        <v/>
      </c>
      <c r="P357" t="str">
        <f t="shared" si="27"/>
        <v/>
      </c>
      <c r="Q357" t="str">
        <f t="shared" si="28"/>
        <v/>
      </c>
      <c r="R357" t="str">
        <f t="shared" si="29"/>
        <v/>
      </c>
    </row>
    <row r="358" spans="12:18" x14ac:dyDescent="0.25">
      <c r="L358" t="str">
        <f t="shared" si="25"/>
        <v/>
      </c>
      <c r="M358" t="b">
        <f t="shared" si="26"/>
        <v>0</v>
      </c>
      <c r="N358" t="str">
        <f>IF(M358,IF(B358="Fe",_xludf.XLOOKUP(A358,'Standards Catalogue'!$A:$A,'Standards Catalogue'!$B:$B,""),IF(B358="P",_xludf.XLOOKUP(A358,'Standards Catalogue'!$A:$A,'Standards Catalogue'!$D:$D,""),IF(B358="S",_xludf.XLOOKUP(A358,'Standards Catalogue'!$A:$A,'Standards Catalogue'!$F:$F,""),""))),"")</f>
        <v/>
      </c>
      <c r="O358" t="str">
        <f>IF(M358,IF(B358="Fe",_xludf.XLOOKUP(A358,'Standards Catalogue'!$A:$A,'Standards Catalogue'!$C:$C,""),IF(B358="P",_xludf.XLOOKUP(A358,'Standards Catalogue'!$A:$A,'Standards Catalogue'!$E:$E,""),IF(B358="S",_xludf.XLOOKUP(A358,'Standards Catalogue'!$A:$A,'Standards Catalogue'!$G:$G,""),""))),"")</f>
        <v/>
      </c>
      <c r="P358" t="str">
        <f t="shared" si="27"/>
        <v/>
      </c>
      <c r="Q358" t="str">
        <f t="shared" si="28"/>
        <v/>
      </c>
      <c r="R358" t="str">
        <f t="shared" si="29"/>
        <v/>
      </c>
    </row>
    <row r="359" spans="12:18" x14ac:dyDescent="0.25">
      <c r="L359" t="str">
        <f t="shared" si="25"/>
        <v/>
      </c>
      <c r="M359" t="b">
        <f t="shared" si="26"/>
        <v>0</v>
      </c>
      <c r="N359" t="str">
        <f>IF(M359,IF(B359="Fe",_xludf.XLOOKUP(A359,'Standards Catalogue'!$A:$A,'Standards Catalogue'!$B:$B,""),IF(B359="P",_xludf.XLOOKUP(A359,'Standards Catalogue'!$A:$A,'Standards Catalogue'!$D:$D,""),IF(B359="S",_xludf.XLOOKUP(A359,'Standards Catalogue'!$A:$A,'Standards Catalogue'!$F:$F,""),""))),"")</f>
        <v/>
      </c>
      <c r="O359" t="str">
        <f>IF(M359,IF(B359="Fe",_xludf.XLOOKUP(A359,'Standards Catalogue'!$A:$A,'Standards Catalogue'!$C:$C,""),IF(B359="P",_xludf.XLOOKUP(A359,'Standards Catalogue'!$A:$A,'Standards Catalogue'!$E:$E,""),IF(B359="S",_xludf.XLOOKUP(A359,'Standards Catalogue'!$A:$A,'Standards Catalogue'!$G:$G,""),""))),"")</f>
        <v/>
      </c>
      <c r="P359" t="str">
        <f t="shared" si="27"/>
        <v/>
      </c>
      <c r="Q359" t="str">
        <f t="shared" si="28"/>
        <v/>
      </c>
      <c r="R359" t="str">
        <f t="shared" si="29"/>
        <v/>
      </c>
    </row>
    <row r="360" spans="12:18" x14ac:dyDescent="0.25">
      <c r="L360" t="str">
        <f t="shared" si="25"/>
        <v/>
      </c>
      <c r="M360" t="b">
        <f t="shared" si="26"/>
        <v>0</v>
      </c>
      <c r="N360" t="str">
        <f>IF(M360,IF(B360="Fe",_xludf.XLOOKUP(A360,'Standards Catalogue'!$A:$A,'Standards Catalogue'!$B:$B,""),IF(B360="P",_xludf.XLOOKUP(A360,'Standards Catalogue'!$A:$A,'Standards Catalogue'!$D:$D,""),IF(B360="S",_xludf.XLOOKUP(A360,'Standards Catalogue'!$A:$A,'Standards Catalogue'!$F:$F,""),""))),"")</f>
        <v/>
      </c>
      <c r="O360" t="str">
        <f>IF(M360,IF(B360="Fe",_xludf.XLOOKUP(A360,'Standards Catalogue'!$A:$A,'Standards Catalogue'!$C:$C,""),IF(B360="P",_xludf.XLOOKUP(A360,'Standards Catalogue'!$A:$A,'Standards Catalogue'!$E:$E,""),IF(B360="S",_xludf.XLOOKUP(A360,'Standards Catalogue'!$A:$A,'Standards Catalogue'!$G:$G,""),""))),"")</f>
        <v/>
      </c>
      <c r="P360" t="str">
        <f t="shared" si="27"/>
        <v/>
      </c>
      <c r="Q360" t="str">
        <f t="shared" si="28"/>
        <v/>
      </c>
      <c r="R360" t="str">
        <f t="shared" si="29"/>
        <v/>
      </c>
    </row>
    <row r="361" spans="12:18" x14ac:dyDescent="0.25">
      <c r="L361" t="str">
        <f t="shared" si="25"/>
        <v/>
      </c>
      <c r="M361" t="b">
        <f t="shared" si="26"/>
        <v>0</v>
      </c>
      <c r="N361" t="str">
        <f>IF(M361,IF(B361="Fe",_xludf.XLOOKUP(A361,'Standards Catalogue'!$A:$A,'Standards Catalogue'!$B:$B,""),IF(B361="P",_xludf.XLOOKUP(A361,'Standards Catalogue'!$A:$A,'Standards Catalogue'!$D:$D,""),IF(B361="S",_xludf.XLOOKUP(A361,'Standards Catalogue'!$A:$A,'Standards Catalogue'!$F:$F,""),""))),"")</f>
        <v/>
      </c>
      <c r="O361" t="str">
        <f>IF(M361,IF(B361="Fe",_xludf.XLOOKUP(A361,'Standards Catalogue'!$A:$A,'Standards Catalogue'!$C:$C,""),IF(B361="P",_xludf.XLOOKUP(A361,'Standards Catalogue'!$A:$A,'Standards Catalogue'!$E:$E,""),IF(B361="S",_xludf.XLOOKUP(A361,'Standards Catalogue'!$A:$A,'Standards Catalogue'!$G:$G,""),""))),"")</f>
        <v/>
      </c>
      <c r="P361" t="str">
        <f t="shared" si="27"/>
        <v/>
      </c>
      <c r="Q361" t="str">
        <f t="shared" si="28"/>
        <v/>
      </c>
      <c r="R361" t="str">
        <f t="shared" si="29"/>
        <v/>
      </c>
    </row>
    <row r="362" spans="12:18" x14ac:dyDescent="0.25">
      <c r="L362" t="str">
        <f t="shared" si="25"/>
        <v/>
      </c>
      <c r="M362" t="b">
        <f t="shared" si="26"/>
        <v>0</v>
      </c>
      <c r="N362" t="str">
        <f>IF(M362,IF(B362="Fe",_xludf.XLOOKUP(A362,'Standards Catalogue'!$A:$A,'Standards Catalogue'!$B:$B,""),IF(B362="P",_xludf.XLOOKUP(A362,'Standards Catalogue'!$A:$A,'Standards Catalogue'!$D:$D,""),IF(B362="S",_xludf.XLOOKUP(A362,'Standards Catalogue'!$A:$A,'Standards Catalogue'!$F:$F,""),""))),"")</f>
        <v/>
      </c>
      <c r="O362" t="str">
        <f>IF(M362,IF(B362="Fe",_xludf.XLOOKUP(A362,'Standards Catalogue'!$A:$A,'Standards Catalogue'!$C:$C,""),IF(B362="P",_xludf.XLOOKUP(A362,'Standards Catalogue'!$A:$A,'Standards Catalogue'!$E:$E,""),IF(B362="S",_xludf.XLOOKUP(A362,'Standards Catalogue'!$A:$A,'Standards Catalogue'!$G:$G,""),""))),"")</f>
        <v/>
      </c>
      <c r="P362" t="str">
        <f t="shared" si="27"/>
        <v/>
      </c>
      <c r="Q362" t="str">
        <f t="shared" si="28"/>
        <v/>
      </c>
      <c r="R362" t="str">
        <f t="shared" si="29"/>
        <v/>
      </c>
    </row>
    <row r="363" spans="12:18" x14ac:dyDescent="0.25">
      <c r="L363" t="str">
        <f t="shared" si="25"/>
        <v/>
      </c>
      <c r="M363" t="b">
        <f t="shared" si="26"/>
        <v>0</v>
      </c>
      <c r="N363" t="str">
        <f>IF(M363,IF(B363="Fe",_xludf.XLOOKUP(A363,'Standards Catalogue'!$A:$A,'Standards Catalogue'!$B:$B,""),IF(B363="P",_xludf.XLOOKUP(A363,'Standards Catalogue'!$A:$A,'Standards Catalogue'!$D:$D,""),IF(B363="S",_xludf.XLOOKUP(A363,'Standards Catalogue'!$A:$A,'Standards Catalogue'!$F:$F,""),""))),"")</f>
        <v/>
      </c>
      <c r="O363" t="str">
        <f>IF(M363,IF(B363="Fe",_xludf.XLOOKUP(A363,'Standards Catalogue'!$A:$A,'Standards Catalogue'!$C:$C,""),IF(B363="P",_xludf.XLOOKUP(A363,'Standards Catalogue'!$A:$A,'Standards Catalogue'!$E:$E,""),IF(B363="S",_xludf.XLOOKUP(A363,'Standards Catalogue'!$A:$A,'Standards Catalogue'!$G:$G,""),""))),"")</f>
        <v/>
      </c>
      <c r="P363" t="str">
        <f t="shared" si="27"/>
        <v/>
      </c>
      <c r="Q363" t="str">
        <f t="shared" si="28"/>
        <v/>
      </c>
      <c r="R363" t="str">
        <f t="shared" si="29"/>
        <v/>
      </c>
    </row>
    <row r="364" spans="12:18" x14ac:dyDescent="0.25">
      <c r="L364" t="str">
        <f t="shared" si="25"/>
        <v/>
      </c>
      <c r="M364" t="b">
        <f t="shared" si="26"/>
        <v>0</v>
      </c>
      <c r="N364" t="str">
        <f>IF(M364,IF(B364="Fe",_xludf.XLOOKUP(A364,'Standards Catalogue'!$A:$A,'Standards Catalogue'!$B:$B,""),IF(B364="P",_xludf.XLOOKUP(A364,'Standards Catalogue'!$A:$A,'Standards Catalogue'!$D:$D,""),IF(B364="S",_xludf.XLOOKUP(A364,'Standards Catalogue'!$A:$A,'Standards Catalogue'!$F:$F,""),""))),"")</f>
        <v/>
      </c>
      <c r="O364" t="str">
        <f>IF(M364,IF(B364="Fe",_xludf.XLOOKUP(A364,'Standards Catalogue'!$A:$A,'Standards Catalogue'!$C:$C,""),IF(B364="P",_xludf.XLOOKUP(A364,'Standards Catalogue'!$A:$A,'Standards Catalogue'!$E:$E,""),IF(B364="S",_xludf.XLOOKUP(A364,'Standards Catalogue'!$A:$A,'Standards Catalogue'!$G:$G,""),""))),"")</f>
        <v/>
      </c>
      <c r="P364" t="str">
        <f t="shared" si="27"/>
        <v/>
      </c>
      <c r="Q364" t="str">
        <f t="shared" si="28"/>
        <v/>
      </c>
      <c r="R364" t="str">
        <f t="shared" si="29"/>
        <v/>
      </c>
    </row>
    <row r="365" spans="12:18" x14ac:dyDescent="0.25">
      <c r="L365" t="str">
        <f t="shared" si="25"/>
        <v/>
      </c>
      <c r="M365" t="b">
        <f t="shared" si="26"/>
        <v>0</v>
      </c>
      <c r="N365" t="str">
        <f>IF(M365,IF(B365="Fe",_xludf.XLOOKUP(A365,'Standards Catalogue'!$A:$A,'Standards Catalogue'!$B:$B,""),IF(B365="P",_xludf.XLOOKUP(A365,'Standards Catalogue'!$A:$A,'Standards Catalogue'!$D:$D,""),IF(B365="S",_xludf.XLOOKUP(A365,'Standards Catalogue'!$A:$A,'Standards Catalogue'!$F:$F,""),""))),"")</f>
        <v/>
      </c>
      <c r="O365" t="str">
        <f>IF(M365,IF(B365="Fe",_xludf.XLOOKUP(A365,'Standards Catalogue'!$A:$A,'Standards Catalogue'!$C:$C,""),IF(B365="P",_xludf.XLOOKUP(A365,'Standards Catalogue'!$A:$A,'Standards Catalogue'!$E:$E,""),IF(B365="S",_xludf.XLOOKUP(A365,'Standards Catalogue'!$A:$A,'Standards Catalogue'!$G:$G,""),""))),"")</f>
        <v/>
      </c>
      <c r="P365" t="str">
        <f t="shared" si="27"/>
        <v/>
      </c>
      <c r="Q365" t="str">
        <f t="shared" si="28"/>
        <v/>
      </c>
      <c r="R365" t="str">
        <f t="shared" si="29"/>
        <v/>
      </c>
    </row>
    <row r="366" spans="12:18" x14ac:dyDescent="0.25">
      <c r="L366" t="str">
        <f t="shared" si="25"/>
        <v/>
      </c>
      <c r="M366" t="b">
        <f t="shared" si="26"/>
        <v>0</v>
      </c>
      <c r="N366" t="str">
        <f>IF(M366,IF(B366="Fe",_xludf.XLOOKUP(A366,'Standards Catalogue'!$A:$A,'Standards Catalogue'!$B:$B,""),IF(B366="P",_xludf.XLOOKUP(A366,'Standards Catalogue'!$A:$A,'Standards Catalogue'!$D:$D,""),IF(B366="S",_xludf.XLOOKUP(A366,'Standards Catalogue'!$A:$A,'Standards Catalogue'!$F:$F,""),""))),"")</f>
        <v/>
      </c>
      <c r="O366" t="str">
        <f>IF(M366,IF(B366="Fe",_xludf.XLOOKUP(A366,'Standards Catalogue'!$A:$A,'Standards Catalogue'!$C:$C,""),IF(B366="P",_xludf.XLOOKUP(A366,'Standards Catalogue'!$A:$A,'Standards Catalogue'!$E:$E,""),IF(B366="S",_xludf.XLOOKUP(A366,'Standards Catalogue'!$A:$A,'Standards Catalogue'!$G:$G,""),""))),"")</f>
        <v/>
      </c>
      <c r="P366" t="str">
        <f t="shared" si="27"/>
        <v/>
      </c>
      <c r="Q366" t="str">
        <f t="shared" si="28"/>
        <v/>
      </c>
      <c r="R366" t="str">
        <f t="shared" si="29"/>
        <v/>
      </c>
    </row>
    <row r="367" spans="12:18" x14ac:dyDescent="0.25">
      <c r="L367" t="str">
        <f t="shared" si="25"/>
        <v/>
      </c>
      <c r="M367" t="b">
        <f t="shared" si="26"/>
        <v>0</v>
      </c>
      <c r="N367" t="str">
        <f>IF(M367,IF(B367="Fe",_xludf.XLOOKUP(A367,'Standards Catalogue'!$A:$A,'Standards Catalogue'!$B:$B,""),IF(B367="P",_xludf.XLOOKUP(A367,'Standards Catalogue'!$A:$A,'Standards Catalogue'!$D:$D,""),IF(B367="S",_xludf.XLOOKUP(A367,'Standards Catalogue'!$A:$A,'Standards Catalogue'!$F:$F,""),""))),"")</f>
        <v/>
      </c>
      <c r="O367" t="str">
        <f>IF(M367,IF(B367="Fe",_xludf.XLOOKUP(A367,'Standards Catalogue'!$A:$A,'Standards Catalogue'!$C:$C,""),IF(B367="P",_xludf.XLOOKUP(A367,'Standards Catalogue'!$A:$A,'Standards Catalogue'!$E:$E,""),IF(B367="S",_xludf.XLOOKUP(A367,'Standards Catalogue'!$A:$A,'Standards Catalogue'!$G:$G,""),""))),"")</f>
        <v/>
      </c>
      <c r="P367" t="str">
        <f t="shared" si="27"/>
        <v/>
      </c>
      <c r="Q367" t="str">
        <f t="shared" si="28"/>
        <v/>
      </c>
      <c r="R367" t="str">
        <f t="shared" si="29"/>
        <v/>
      </c>
    </row>
    <row r="368" spans="12:18" x14ac:dyDescent="0.25">
      <c r="L368" t="str">
        <f t="shared" si="25"/>
        <v/>
      </c>
      <c r="M368" t="b">
        <f t="shared" si="26"/>
        <v>0</v>
      </c>
      <c r="N368" t="str">
        <f>IF(M368,IF(B368="Fe",_xludf.XLOOKUP(A368,'Standards Catalogue'!$A:$A,'Standards Catalogue'!$B:$B,""),IF(B368="P",_xludf.XLOOKUP(A368,'Standards Catalogue'!$A:$A,'Standards Catalogue'!$D:$D,""),IF(B368="S",_xludf.XLOOKUP(A368,'Standards Catalogue'!$A:$A,'Standards Catalogue'!$F:$F,""),""))),"")</f>
        <v/>
      </c>
      <c r="O368" t="str">
        <f>IF(M368,IF(B368="Fe",_xludf.XLOOKUP(A368,'Standards Catalogue'!$A:$A,'Standards Catalogue'!$C:$C,""),IF(B368="P",_xludf.XLOOKUP(A368,'Standards Catalogue'!$A:$A,'Standards Catalogue'!$E:$E,""),IF(B368="S",_xludf.XLOOKUP(A368,'Standards Catalogue'!$A:$A,'Standards Catalogue'!$G:$G,""),""))),"")</f>
        <v/>
      </c>
      <c r="P368" t="str">
        <f t="shared" si="27"/>
        <v/>
      </c>
      <c r="Q368" t="str">
        <f t="shared" si="28"/>
        <v/>
      </c>
      <c r="R368" t="str">
        <f t="shared" si="29"/>
        <v/>
      </c>
    </row>
    <row r="369" spans="12:18" x14ac:dyDescent="0.25">
      <c r="L369" t="str">
        <f t="shared" si="25"/>
        <v/>
      </c>
      <c r="M369" t="b">
        <f t="shared" si="26"/>
        <v>0</v>
      </c>
      <c r="N369" t="str">
        <f>IF(M369,IF(B369="Fe",_xludf.XLOOKUP(A369,'Standards Catalogue'!$A:$A,'Standards Catalogue'!$B:$B,""),IF(B369="P",_xludf.XLOOKUP(A369,'Standards Catalogue'!$A:$A,'Standards Catalogue'!$D:$D,""),IF(B369="S",_xludf.XLOOKUP(A369,'Standards Catalogue'!$A:$A,'Standards Catalogue'!$F:$F,""),""))),"")</f>
        <v/>
      </c>
      <c r="O369" t="str">
        <f>IF(M369,IF(B369="Fe",_xludf.XLOOKUP(A369,'Standards Catalogue'!$A:$A,'Standards Catalogue'!$C:$C,""),IF(B369="P",_xludf.XLOOKUP(A369,'Standards Catalogue'!$A:$A,'Standards Catalogue'!$E:$E,""),IF(B369="S",_xludf.XLOOKUP(A369,'Standards Catalogue'!$A:$A,'Standards Catalogue'!$G:$G,""),""))),"")</f>
        <v/>
      </c>
      <c r="P369" t="str">
        <f t="shared" si="27"/>
        <v/>
      </c>
      <c r="Q369" t="str">
        <f t="shared" si="28"/>
        <v/>
      </c>
      <c r="R369" t="str">
        <f t="shared" si="29"/>
        <v/>
      </c>
    </row>
    <row r="370" spans="12:18" x14ac:dyDescent="0.25">
      <c r="L370" t="str">
        <f t="shared" si="25"/>
        <v/>
      </c>
      <c r="M370" t="b">
        <f t="shared" si="26"/>
        <v>0</v>
      </c>
      <c r="N370" t="str">
        <f>IF(M370,IF(B370="Fe",_xludf.XLOOKUP(A370,'Standards Catalogue'!$A:$A,'Standards Catalogue'!$B:$B,""),IF(B370="P",_xludf.XLOOKUP(A370,'Standards Catalogue'!$A:$A,'Standards Catalogue'!$D:$D,""),IF(B370="S",_xludf.XLOOKUP(A370,'Standards Catalogue'!$A:$A,'Standards Catalogue'!$F:$F,""),""))),"")</f>
        <v/>
      </c>
      <c r="O370" t="str">
        <f>IF(M370,IF(B370="Fe",_xludf.XLOOKUP(A370,'Standards Catalogue'!$A:$A,'Standards Catalogue'!$C:$C,""),IF(B370="P",_xludf.XLOOKUP(A370,'Standards Catalogue'!$A:$A,'Standards Catalogue'!$E:$E,""),IF(B370="S",_xludf.XLOOKUP(A370,'Standards Catalogue'!$A:$A,'Standards Catalogue'!$G:$G,""),""))),"")</f>
        <v/>
      </c>
      <c r="P370" t="str">
        <f t="shared" si="27"/>
        <v/>
      </c>
      <c r="Q370" t="str">
        <f t="shared" si="28"/>
        <v/>
      </c>
      <c r="R370" t="str">
        <f t="shared" si="29"/>
        <v/>
      </c>
    </row>
    <row r="371" spans="12:18" x14ac:dyDescent="0.25">
      <c r="L371" t="str">
        <f t="shared" si="25"/>
        <v/>
      </c>
      <c r="M371" t="b">
        <f t="shared" si="26"/>
        <v>0</v>
      </c>
      <c r="N371" t="str">
        <f>IF(M371,IF(B371="Fe",_xludf.XLOOKUP(A371,'Standards Catalogue'!$A:$A,'Standards Catalogue'!$B:$B,""),IF(B371="P",_xludf.XLOOKUP(A371,'Standards Catalogue'!$A:$A,'Standards Catalogue'!$D:$D,""),IF(B371="S",_xludf.XLOOKUP(A371,'Standards Catalogue'!$A:$A,'Standards Catalogue'!$F:$F,""),""))),"")</f>
        <v/>
      </c>
      <c r="O371" t="str">
        <f>IF(M371,IF(B371="Fe",_xludf.XLOOKUP(A371,'Standards Catalogue'!$A:$A,'Standards Catalogue'!$C:$C,""),IF(B371="P",_xludf.XLOOKUP(A371,'Standards Catalogue'!$A:$A,'Standards Catalogue'!$E:$E,""),IF(B371="S",_xludf.XLOOKUP(A371,'Standards Catalogue'!$A:$A,'Standards Catalogue'!$G:$G,""),""))),"")</f>
        <v/>
      </c>
      <c r="P371" t="str">
        <f t="shared" si="27"/>
        <v/>
      </c>
      <c r="Q371" t="str">
        <f t="shared" si="28"/>
        <v/>
      </c>
      <c r="R371" t="str">
        <f t="shared" si="29"/>
        <v/>
      </c>
    </row>
    <row r="372" spans="12:18" x14ac:dyDescent="0.25">
      <c r="L372" t="str">
        <f t="shared" si="25"/>
        <v/>
      </c>
      <c r="M372" t="b">
        <f t="shared" si="26"/>
        <v>0</v>
      </c>
      <c r="N372" t="str">
        <f>IF(M372,IF(B372="Fe",_xludf.XLOOKUP(A372,'Standards Catalogue'!$A:$A,'Standards Catalogue'!$B:$B,""),IF(B372="P",_xludf.XLOOKUP(A372,'Standards Catalogue'!$A:$A,'Standards Catalogue'!$D:$D,""),IF(B372="S",_xludf.XLOOKUP(A372,'Standards Catalogue'!$A:$A,'Standards Catalogue'!$F:$F,""),""))),"")</f>
        <v/>
      </c>
      <c r="O372" t="str">
        <f>IF(M372,IF(B372="Fe",_xludf.XLOOKUP(A372,'Standards Catalogue'!$A:$A,'Standards Catalogue'!$C:$C,""),IF(B372="P",_xludf.XLOOKUP(A372,'Standards Catalogue'!$A:$A,'Standards Catalogue'!$E:$E,""),IF(B372="S",_xludf.XLOOKUP(A372,'Standards Catalogue'!$A:$A,'Standards Catalogue'!$G:$G,""),""))),"")</f>
        <v/>
      </c>
      <c r="P372" t="str">
        <f t="shared" si="27"/>
        <v/>
      </c>
      <c r="Q372" t="str">
        <f t="shared" si="28"/>
        <v/>
      </c>
      <c r="R372" t="str">
        <f t="shared" si="29"/>
        <v/>
      </c>
    </row>
    <row r="373" spans="12:18" x14ac:dyDescent="0.25">
      <c r="L373" t="str">
        <f t="shared" si="25"/>
        <v/>
      </c>
      <c r="M373" t="b">
        <f t="shared" si="26"/>
        <v>0</v>
      </c>
      <c r="N373" t="str">
        <f>IF(M373,IF(B373="Fe",_xludf.XLOOKUP(A373,'Standards Catalogue'!$A:$A,'Standards Catalogue'!$B:$B,""),IF(B373="P",_xludf.XLOOKUP(A373,'Standards Catalogue'!$A:$A,'Standards Catalogue'!$D:$D,""),IF(B373="S",_xludf.XLOOKUP(A373,'Standards Catalogue'!$A:$A,'Standards Catalogue'!$F:$F,""),""))),"")</f>
        <v/>
      </c>
      <c r="O373" t="str">
        <f>IF(M373,IF(B373="Fe",_xludf.XLOOKUP(A373,'Standards Catalogue'!$A:$A,'Standards Catalogue'!$C:$C,""),IF(B373="P",_xludf.XLOOKUP(A373,'Standards Catalogue'!$A:$A,'Standards Catalogue'!$E:$E,""),IF(B373="S",_xludf.XLOOKUP(A373,'Standards Catalogue'!$A:$A,'Standards Catalogue'!$G:$G,""),""))),"")</f>
        <v/>
      </c>
      <c r="P373" t="str">
        <f t="shared" si="27"/>
        <v/>
      </c>
      <c r="Q373" t="str">
        <f t="shared" si="28"/>
        <v/>
      </c>
      <c r="R373" t="str">
        <f t="shared" si="29"/>
        <v/>
      </c>
    </row>
    <row r="374" spans="12:18" x14ac:dyDescent="0.25">
      <c r="L374" t="str">
        <f t="shared" si="25"/>
        <v/>
      </c>
      <c r="M374" t="b">
        <f t="shared" si="26"/>
        <v>0</v>
      </c>
      <c r="N374" t="str">
        <f>IF(M374,IF(B374="Fe",_xludf.XLOOKUP(A374,'Standards Catalogue'!$A:$A,'Standards Catalogue'!$B:$B,""),IF(B374="P",_xludf.XLOOKUP(A374,'Standards Catalogue'!$A:$A,'Standards Catalogue'!$D:$D,""),IF(B374="S",_xludf.XLOOKUP(A374,'Standards Catalogue'!$A:$A,'Standards Catalogue'!$F:$F,""),""))),"")</f>
        <v/>
      </c>
      <c r="O374" t="str">
        <f>IF(M374,IF(B374="Fe",_xludf.XLOOKUP(A374,'Standards Catalogue'!$A:$A,'Standards Catalogue'!$C:$C,""),IF(B374="P",_xludf.XLOOKUP(A374,'Standards Catalogue'!$A:$A,'Standards Catalogue'!$E:$E,""),IF(B374="S",_xludf.XLOOKUP(A374,'Standards Catalogue'!$A:$A,'Standards Catalogue'!$G:$G,""),""))),"")</f>
        <v/>
      </c>
      <c r="P374" t="str">
        <f t="shared" si="27"/>
        <v/>
      </c>
      <c r="Q374" t="str">
        <f t="shared" si="28"/>
        <v/>
      </c>
      <c r="R374" t="str">
        <f t="shared" si="29"/>
        <v/>
      </c>
    </row>
    <row r="375" spans="12:18" x14ac:dyDescent="0.25">
      <c r="L375" t="str">
        <f t="shared" si="25"/>
        <v/>
      </c>
      <c r="M375" t="b">
        <f t="shared" si="26"/>
        <v>0</v>
      </c>
      <c r="N375" t="str">
        <f>IF(M375,IF(B375="Fe",_xludf.XLOOKUP(A375,'Standards Catalogue'!$A:$A,'Standards Catalogue'!$B:$B,""),IF(B375="P",_xludf.XLOOKUP(A375,'Standards Catalogue'!$A:$A,'Standards Catalogue'!$D:$D,""),IF(B375="S",_xludf.XLOOKUP(A375,'Standards Catalogue'!$A:$A,'Standards Catalogue'!$F:$F,""),""))),"")</f>
        <v/>
      </c>
      <c r="O375" t="str">
        <f>IF(M375,IF(B375="Fe",_xludf.XLOOKUP(A375,'Standards Catalogue'!$A:$A,'Standards Catalogue'!$C:$C,""),IF(B375="P",_xludf.XLOOKUP(A375,'Standards Catalogue'!$A:$A,'Standards Catalogue'!$E:$E,""),IF(B375="S",_xludf.XLOOKUP(A375,'Standards Catalogue'!$A:$A,'Standards Catalogue'!$G:$G,""),""))),"")</f>
        <v/>
      </c>
      <c r="P375" t="str">
        <f t="shared" si="27"/>
        <v/>
      </c>
      <c r="Q375" t="str">
        <f t="shared" si="28"/>
        <v/>
      </c>
      <c r="R375" t="str">
        <f t="shared" si="29"/>
        <v/>
      </c>
    </row>
    <row r="376" spans="12:18" x14ac:dyDescent="0.25">
      <c r="L376" t="str">
        <f t="shared" si="25"/>
        <v/>
      </c>
      <c r="M376" t="b">
        <f t="shared" si="26"/>
        <v>0</v>
      </c>
      <c r="N376" t="str">
        <f>IF(M376,IF(B376="Fe",_xludf.XLOOKUP(A376,'Standards Catalogue'!$A:$A,'Standards Catalogue'!$B:$B,""),IF(B376="P",_xludf.XLOOKUP(A376,'Standards Catalogue'!$A:$A,'Standards Catalogue'!$D:$D,""),IF(B376="S",_xludf.XLOOKUP(A376,'Standards Catalogue'!$A:$A,'Standards Catalogue'!$F:$F,""),""))),"")</f>
        <v/>
      </c>
      <c r="O376" t="str">
        <f>IF(M376,IF(B376="Fe",_xludf.XLOOKUP(A376,'Standards Catalogue'!$A:$A,'Standards Catalogue'!$C:$C,""),IF(B376="P",_xludf.XLOOKUP(A376,'Standards Catalogue'!$A:$A,'Standards Catalogue'!$E:$E,""),IF(B376="S",_xludf.XLOOKUP(A376,'Standards Catalogue'!$A:$A,'Standards Catalogue'!$G:$G,""),""))),"")</f>
        <v/>
      </c>
      <c r="P376" t="str">
        <f t="shared" si="27"/>
        <v/>
      </c>
      <c r="Q376" t="str">
        <f t="shared" si="28"/>
        <v/>
      </c>
      <c r="R376" t="str">
        <f t="shared" si="29"/>
        <v/>
      </c>
    </row>
    <row r="377" spans="12:18" x14ac:dyDescent="0.25">
      <c r="L377" t="str">
        <f t="shared" si="25"/>
        <v/>
      </c>
      <c r="M377" t="b">
        <f t="shared" si="26"/>
        <v>0</v>
      </c>
      <c r="N377" t="str">
        <f>IF(M377,IF(B377="Fe",_xludf.XLOOKUP(A377,'Standards Catalogue'!$A:$A,'Standards Catalogue'!$B:$B,""),IF(B377="P",_xludf.XLOOKUP(A377,'Standards Catalogue'!$A:$A,'Standards Catalogue'!$D:$D,""),IF(B377="S",_xludf.XLOOKUP(A377,'Standards Catalogue'!$A:$A,'Standards Catalogue'!$F:$F,""),""))),"")</f>
        <v/>
      </c>
      <c r="O377" t="str">
        <f>IF(M377,IF(B377="Fe",_xludf.XLOOKUP(A377,'Standards Catalogue'!$A:$A,'Standards Catalogue'!$C:$C,""),IF(B377="P",_xludf.XLOOKUP(A377,'Standards Catalogue'!$A:$A,'Standards Catalogue'!$E:$E,""),IF(B377="S",_xludf.XLOOKUP(A377,'Standards Catalogue'!$A:$A,'Standards Catalogue'!$G:$G,""),""))),"")</f>
        <v/>
      </c>
      <c r="P377" t="str">
        <f t="shared" si="27"/>
        <v/>
      </c>
      <c r="Q377" t="str">
        <f t="shared" si="28"/>
        <v/>
      </c>
      <c r="R377" t="str">
        <f t="shared" si="29"/>
        <v/>
      </c>
    </row>
    <row r="378" spans="12:18" x14ac:dyDescent="0.25">
      <c r="L378" t="str">
        <f t="shared" si="25"/>
        <v/>
      </c>
      <c r="M378" t="b">
        <f t="shared" si="26"/>
        <v>0</v>
      </c>
      <c r="N378" t="str">
        <f>IF(M378,IF(B378="Fe",_xludf.XLOOKUP(A378,'Standards Catalogue'!$A:$A,'Standards Catalogue'!$B:$B,""),IF(B378="P",_xludf.XLOOKUP(A378,'Standards Catalogue'!$A:$A,'Standards Catalogue'!$D:$D,""),IF(B378="S",_xludf.XLOOKUP(A378,'Standards Catalogue'!$A:$A,'Standards Catalogue'!$F:$F,""),""))),"")</f>
        <v/>
      </c>
      <c r="O378" t="str">
        <f>IF(M378,IF(B378="Fe",_xludf.XLOOKUP(A378,'Standards Catalogue'!$A:$A,'Standards Catalogue'!$C:$C,""),IF(B378="P",_xludf.XLOOKUP(A378,'Standards Catalogue'!$A:$A,'Standards Catalogue'!$E:$E,""),IF(B378="S",_xludf.XLOOKUP(A378,'Standards Catalogue'!$A:$A,'Standards Catalogue'!$G:$G,""),""))),"")</f>
        <v/>
      </c>
      <c r="P378" t="str">
        <f t="shared" si="27"/>
        <v/>
      </c>
      <c r="Q378" t="str">
        <f t="shared" si="28"/>
        <v/>
      </c>
      <c r="R378" t="str">
        <f t="shared" si="29"/>
        <v/>
      </c>
    </row>
    <row r="379" spans="12:18" x14ac:dyDescent="0.25">
      <c r="L379" t="str">
        <f t="shared" si="25"/>
        <v/>
      </c>
      <c r="M379" t="b">
        <f t="shared" si="26"/>
        <v>0</v>
      </c>
      <c r="N379" t="str">
        <f>IF(M379,IF(B379="Fe",_xludf.XLOOKUP(A379,'Standards Catalogue'!$A:$A,'Standards Catalogue'!$B:$B,""),IF(B379="P",_xludf.XLOOKUP(A379,'Standards Catalogue'!$A:$A,'Standards Catalogue'!$D:$D,""),IF(B379="S",_xludf.XLOOKUP(A379,'Standards Catalogue'!$A:$A,'Standards Catalogue'!$F:$F,""),""))),"")</f>
        <v/>
      </c>
      <c r="O379" t="str">
        <f>IF(M379,IF(B379="Fe",_xludf.XLOOKUP(A379,'Standards Catalogue'!$A:$A,'Standards Catalogue'!$C:$C,""),IF(B379="P",_xludf.XLOOKUP(A379,'Standards Catalogue'!$A:$A,'Standards Catalogue'!$E:$E,""),IF(B379="S",_xludf.XLOOKUP(A379,'Standards Catalogue'!$A:$A,'Standards Catalogue'!$G:$G,""),""))),"")</f>
        <v/>
      </c>
      <c r="P379" t="str">
        <f t="shared" si="27"/>
        <v/>
      </c>
      <c r="Q379" t="str">
        <f t="shared" si="28"/>
        <v/>
      </c>
      <c r="R379" t="str">
        <f t="shared" si="29"/>
        <v/>
      </c>
    </row>
    <row r="380" spans="12:18" x14ac:dyDescent="0.25">
      <c r="L380" t="str">
        <f t="shared" si="25"/>
        <v/>
      </c>
      <c r="M380" t="b">
        <f t="shared" si="26"/>
        <v>0</v>
      </c>
      <c r="N380" t="str">
        <f>IF(M380,IF(B380="Fe",_xludf.XLOOKUP(A380,'Standards Catalogue'!$A:$A,'Standards Catalogue'!$B:$B,""),IF(B380="P",_xludf.XLOOKUP(A380,'Standards Catalogue'!$A:$A,'Standards Catalogue'!$D:$D,""),IF(B380="S",_xludf.XLOOKUP(A380,'Standards Catalogue'!$A:$A,'Standards Catalogue'!$F:$F,""),""))),"")</f>
        <v/>
      </c>
      <c r="O380" t="str">
        <f>IF(M380,IF(B380="Fe",_xludf.XLOOKUP(A380,'Standards Catalogue'!$A:$A,'Standards Catalogue'!$C:$C,""),IF(B380="P",_xludf.XLOOKUP(A380,'Standards Catalogue'!$A:$A,'Standards Catalogue'!$E:$E,""),IF(B380="S",_xludf.XLOOKUP(A380,'Standards Catalogue'!$A:$A,'Standards Catalogue'!$G:$G,""),""))),"")</f>
        <v/>
      </c>
      <c r="P380" t="str">
        <f t="shared" si="27"/>
        <v/>
      </c>
      <c r="Q380" t="str">
        <f t="shared" si="28"/>
        <v/>
      </c>
      <c r="R380" t="str">
        <f t="shared" si="29"/>
        <v/>
      </c>
    </row>
    <row r="381" spans="12:18" x14ac:dyDescent="0.25">
      <c r="L381" t="str">
        <f t="shared" si="25"/>
        <v/>
      </c>
      <c r="M381" t="b">
        <f t="shared" si="26"/>
        <v>0</v>
      </c>
      <c r="N381" t="str">
        <f>IF(M381,IF(B381="Fe",_xludf.XLOOKUP(A381,'Standards Catalogue'!$A:$A,'Standards Catalogue'!$B:$B,""),IF(B381="P",_xludf.XLOOKUP(A381,'Standards Catalogue'!$A:$A,'Standards Catalogue'!$D:$D,""),IF(B381="S",_xludf.XLOOKUP(A381,'Standards Catalogue'!$A:$A,'Standards Catalogue'!$F:$F,""),""))),"")</f>
        <v/>
      </c>
      <c r="O381" t="str">
        <f>IF(M381,IF(B381="Fe",_xludf.XLOOKUP(A381,'Standards Catalogue'!$A:$A,'Standards Catalogue'!$C:$C,""),IF(B381="P",_xludf.XLOOKUP(A381,'Standards Catalogue'!$A:$A,'Standards Catalogue'!$E:$E,""),IF(B381="S",_xludf.XLOOKUP(A381,'Standards Catalogue'!$A:$A,'Standards Catalogue'!$G:$G,""),""))),"")</f>
        <v/>
      </c>
      <c r="P381" t="str">
        <f t="shared" si="27"/>
        <v/>
      </c>
      <c r="Q381" t="str">
        <f t="shared" si="28"/>
        <v/>
      </c>
      <c r="R381" t="str">
        <f t="shared" si="29"/>
        <v/>
      </c>
    </row>
    <row r="382" spans="12:18" x14ac:dyDescent="0.25">
      <c r="L382" t="str">
        <f t="shared" si="25"/>
        <v/>
      </c>
      <c r="M382" t="b">
        <f t="shared" si="26"/>
        <v>0</v>
      </c>
      <c r="N382" t="str">
        <f>IF(M382,IF(B382="Fe",_xludf.XLOOKUP(A382,'Standards Catalogue'!$A:$A,'Standards Catalogue'!$B:$B,""),IF(B382="P",_xludf.XLOOKUP(A382,'Standards Catalogue'!$A:$A,'Standards Catalogue'!$D:$D,""),IF(B382="S",_xludf.XLOOKUP(A382,'Standards Catalogue'!$A:$A,'Standards Catalogue'!$F:$F,""),""))),"")</f>
        <v/>
      </c>
      <c r="O382" t="str">
        <f>IF(M382,IF(B382="Fe",_xludf.XLOOKUP(A382,'Standards Catalogue'!$A:$A,'Standards Catalogue'!$C:$C,""),IF(B382="P",_xludf.XLOOKUP(A382,'Standards Catalogue'!$A:$A,'Standards Catalogue'!$E:$E,""),IF(B382="S",_xludf.XLOOKUP(A382,'Standards Catalogue'!$A:$A,'Standards Catalogue'!$G:$G,""),""))),"")</f>
        <v/>
      </c>
      <c r="P382" t="str">
        <f t="shared" si="27"/>
        <v/>
      </c>
      <c r="Q382" t="str">
        <f t="shared" si="28"/>
        <v/>
      </c>
      <c r="R382" t="str">
        <f t="shared" si="29"/>
        <v/>
      </c>
    </row>
    <row r="383" spans="12:18" x14ac:dyDescent="0.25">
      <c r="L383" t="str">
        <f t="shared" si="25"/>
        <v/>
      </c>
      <c r="M383" t="b">
        <f t="shared" si="26"/>
        <v>0</v>
      </c>
      <c r="N383" t="str">
        <f>IF(M383,IF(B383="Fe",_xludf.XLOOKUP(A383,'Standards Catalogue'!$A:$A,'Standards Catalogue'!$B:$B,""),IF(B383="P",_xludf.XLOOKUP(A383,'Standards Catalogue'!$A:$A,'Standards Catalogue'!$D:$D,""),IF(B383="S",_xludf.XLOOKUP(A383,'Standards Catalogue'!$A:$A,'Standards Catalogue'!$F:$F,""),""))),"")</f>
        <v/>
      </c>
      <c r="O383" t="str">
        <f>IF(M383,IF(B383="Fe",_xludf.XLOOKUP(A383,'Standards Catalogue'!$A:$A,'Standards Catalogue'!$C:$C,""),IF(B383="P",_xludf.XLOOKUP(A383,'Standards Catalogue'!$A:$A,'Standards Catalogue'!$E:$E,""),IF(B383="S",_xludf.XLOOKUP(A383,'Standards Catalogue'!$A:$A,'Standards Catalogue'!$G:$G,""),""))),"")</f>
        <v/>
      </c>
      <c r="P383" t="str">
        <f t="shared" si="27"/>
        <v/>
      </c>
      <c r="Q383" t="str">
        <f t="shared" si="28"/>
        <v/>
      </c>
      <c r="R383" t="str">
        <f t="shared" si="29"/>
        <v/>
      </c>
    </row>
    <row r="384" spans="12:18" x14ac:dyDescent="0.25">
      <c r="L384" t="str">
        <f t="shared" si="25"/>
        <v/>
      </c>
      <c r="M384" t="b">
        <f t="shared" si="26"/>
        <v>0</v>
      </c>
      <c r="N384" t="str">
        <f>IF(M384,IF(B384="Fe",_xludf.XLOOKUP(A384,'Standards Catalogue'!$A:$A,'Standards Catalogue'!$B:$B,""),IF(B384="P",_xludf.XLOOKUP(A384,'Standards Catalogue'!$A:$A,'Standards Catalogue'!$D:$D,""),IF(B384="S",_xludf.XLOOKUP(A384,'Standards Catalogue'!$A:$A,'Standards Catalogue'!$F:$F,""),""))),"")</f>
        <v/>
      </c>
      <c r="O384" t="str">
        <f>IF(M384,IF(B384="Fe",_xludf.XLOOKUP(A384,'Standards Catalogue'!$A:$A,'Standards Catalogue'!$C:$C,""),IF(B384="P",_xludf.XLOOKUP(A384,'Standards Catalogue'!$A:$A,'Standards Catalogue'!$E:$E,""),IF(B384="S",_xludf.XLOOKUP(A384,'Standards Catalogue'!$A:$A,'Standards Catalogue'!$G:$G,""),""))),"")</f>
        <v/>
      </c>
      <c r="P384" t="str">
        <f t="shared" si="27"/>
        <v/>
      </c>
      <c r="Q384" t="str">
        <f t="shared" si="28"/>
        <v/>
      </c>
      <c r="R384" t="str">
        <f t="shared" si="29"/>
        <v/>
      </c>
    </row>
    <row r="385" spans="12:18" x14ac:dyDescent="0.25">
      <c r="L385" t="str">
        <f t="shared" si="25"/>
        <v/>
      </c>
      <c r="M385" t="b">
        <f t="shared" si="26"/>
        <v>0</v>
      </c>
      <c r="N385" t="str">
        <f>IF(M385,IF(B385="Fe",_xludf.XLOOKUP(A385,'Standards Catalogue'!$A:$A,'Standards Catalogue'!$B:$B,""),IF(B385="P",_xludf.XLOOKUP(A385,'Standards Catalogue'!$A:$A,'Standards Catalogue'!$D:$D,""),IF(B385="S",_xludf.XLOOKUP(A385,'Standards Catalogue'!$A:$A,'Standards Catalogue'!$F:$F,""),""))),"")</f>
        <v/>
      </c>
      <c r="O385" t="str">
        <f>IF(M385,IF(B385="Fe",_xludf.XLOOKUP(A385,'Standards Catalogue'!$A:$A,'Standards Catalogue'!$C:$C,""),IF(B385="P",_xludf.XLOOKUP(A385,'Standards Catalogue'!$A:$A,'Standards Catalogue'!$E:$E,""),IF(B385="S",_xludf.XLOOKUP(A385,'Standards Catalogue'!$A:$A,'Standards Catalogue'!$G:$G,""),""))),"")</f>
        <v/>
      </c>
      <c r="P385" t="str">
        <f t="shared" si="27"/>
        <v/>
      </c>
      <c r="Q385" t="str">
        <f t="shared" si="28"/>
        <v/>
      </c>
      <c r="R385" t="str">
        <f t="shared" si="29"/>
        <v/>
      </c>
    </row>
    <row r="386" spans="12:18" x14ac:dyDescent="0.25">
      <c r="L386" t="str">
        <f t="shared" ref="L386:L449" si="30">IF(AND(A386&lt;&gt;"",B386&lt;&gt;""),A386&amp;"|"&amp;B386,"")</f>
        <v/>
      </c>
      <c r="M386" t="b">
        <f t="shared" ref="M386:M449" si="31">IF(COUNTIF(STANDARDS_IDS,A386)&gt;0,TRUE,FALSE)</f>
        <v>0</v>
      </c>
      <c r="N386" t="str">
        <f>IF(M386,IF(B386="Fe",_xludf.XLOOKUP(A386,'Standards Catalogue'!$A:$A,'Standards Catalogue'!$B:$B,""),IF(B386="P",_xludf.XLOOKUP(A386,'Standards Catalogue'!$A:$A,'Standards Catalogue'!$D:$D,""),IF(B386="S",_xludf.XLOOKUP(A386,'Standards Catalogue'!$A:$A,'Standards Catalogue'!$F:$F,""),""))),"")</f>
        <v/>
      </c>
      <c r="O386" t="str">
        <f>IF(M386,IF(B386="Fe",_xludf.XLOOKUP(A386,'Standards Catalogue'!$A:$A,'Standards Catalogue'!$C:$C,""),IF(B386="P",_xludf.XLOOKUP(A386,'Standards Catalogue'!$A:$A,'Standards Catalogue'!$E:$E,""),IF(B386="S",_xludf.XLOOKUP(A386,'Standards Catalogue'!$A:$A,'Standards Catalogue'!$G:$G,""),""))),"")</f>
        <v/>
      </c>
      <c r="P386" t="str">
        <f t="shared" ref="P386:P449" si="32">IF(M386,N386-2*O386,"")</f>
        <v/>
      </c>
      <c r="Q386" t="str">
        <f t="shared" ref="Q386:Q449" si="33">IF(M386,N386+2*O386,"")</f>
        <v/>
      </c>
      <c r="R386" t="str">
        <f t="shared" ref="R386:R449" si="34">IF(M386,IF(OR(C386="",N386="",O386=""),"",IF(AND(C386&gt;=P386,C386&lt;=Q386),"PASS","FAIL")),"")</f>
        <v/>
      </c>
    </row>
    <row r="387" spans="12:18" x14ac:dyDescent="0.25">
      <c r="L387" t="str">
        <f t="shared" si="30"/>
        <v/>
      </c>
      <c r="M387" t="b">
        <f t="shared" si="31"/>
        <v>0</v>
      </c>
      <c r="N387" t="str">
        <f>IF(M387,IF(B387="Fe",_xludf.XLOOKUP(A387,'Standards Catalogue'!$A:$A,'Standards Catalogue'!$B:$B,""),IF(B387="P",_xludf.XLOOKUP(A387,'Standards Catalogue'!$A:$A,'Standards Catalogue'!$D:$D,""),IF(B387="S",_xludf.XLOOKUP(A387,'Standards Catalogue'!$A:$A,'Standards Catalogue'!$F:$F,""),""))),"")</f>
        <v/>
      </c>
      <c r="O387" t="str">
        <f>IF(M387,IF(B387="Fe",_xludf.XLOOKUP(A387,'Standards Catalogue'!$A:$A,'Standards Catalogue'!$C:$C,""),IF(B387="P",_xludf.XLOOKUP(A387,'Standards Catalogue'!$A:$A,'Standards Catalogue'!$E:$E,""),IF(B387="S",_xludf.XLOOKUP(A387,'Standards Catalogue'!$A:$A,'Standards Catalogue'!$G:$G,""),""))),"")</f>
        <v/>
      </c>
      <c r="P387" t="str">
        <f t="shared" si="32"/>
        <v/>
      </c>
      <c r="Q387" t="str">
        <f t="shared" si="33"/>
        <v/>
      </c>
      <c r="R387" t="str">
        <f t="shared" si="34"/>
        <v/>
      </c>
    </row>
    <row r="388" spans="12:18" x14ac:dyDescent="0.25">
      <c r="L388" t="str">
        <f t="shared" si="30"/>
        <v/>
      </c>
      <c r="M388" t="b">
        <f t="shared" si="31"/>
        <v>0</v>
      </c>
      <c r="N388" t="str">
        <f>IF(M388,IF(B388="Fe",_xludf.XLOOKUP(A388,'Standards Catalogue'!$A:$A,'Standards Catalogue'!$B:$B,""),IF(B388="P",_xludf.XLOOKUP(A388,'Standards Catalogue'!$A:$A,'Standards Catalogue'!$D:$D,""),IF(B388="S",_xludf.XLOOKUP(A388,'Standards Catalogue'!$A:$A,'Standards Catalogue'!$F:$F,""),""))),"")</f>
        <v/>
      </c>
      <c r="O388" t="str">
        <f>IF(M388,IF(B388="Fe",_xludf.XLOOKUP(A388,'Standards Catalogue'!$A:$A,'Standards Catalogue'!$C:$C,""),IF(B388="P",_xludf.XLOOKUP(A388,'Standards Catalogue'!$A:$A,'Standards Catalogue'!$E:$E,""),IF(B388="S",_xludf.XLOOKUP(A388,'Standards Catalogue'!$A:$A,'Standards Catalogue'!$G:$G,""),""))),"")</f>
        <v/>
      </c>
      <c r="P388" t="str">
        <f t="shared" si="32"/>
        <v/>
      </c>
      <c r="Q388" t="str">
        <f t="shared" si="33"/>
        <v/>
      </c>
      <c r="R388" t="str">
        <f t="shared" si="34"/>
        <v/>
      </c>
    </row>
    <row r="389" spans="12:18" x14ac:dyDescent="0.25">
      <c r="L389" t="str">
        <f t="shared" si="30"/>
        <v/>
      </c>
      <c r="M389" t="b">
        <f t="shared" si="31"/>
        <v>0</v>
      </c>
      <c r="N389" t="str">
        <f>IF(M389,IF(B389="Fe",_xludf.XLOOKUP(A389,'Standards Catalogue'!$A:$A,'Standards Catalogue'!$B:$B,""),IF(B389="P",_xludf.XLOOKUP(A389,'Standards Catalogue'!$A:$A,'Standards Catalogue'!$D:$D,""),IF(B389="S",_xludf.XLOOKUP(A389,'Standards Catalogue'!$A:$A,'Standards Catalogue'!$F:$F,""),""))),"")</f>
        <v/>
      </c>
      <c r="O389" t="str">
        <f>IF(M389,IF(B389="Fe",_xludf.XLOOKUP(A389,'Standards Catalogue'!$A:$A,'Standards Catalogue'!$C:$C,""),IF(B389="P",_xludf.XLOOKUP(A389,'Standards Catalogue'!$A:$A,'Standards Catalogue'!$E:$E,""),IF(B389="S",_xludf.XLOOKUP(A389,'Standards Catalogue'!$A:$A,'Standards Catalogue'!$G:$G,""),""))),"")</f>
        <v/>
      </c>
      <c r="P389" t="str">
        <f t="shared" si="32"/>
        <v/>
      </c>
      <c r="Q389" t="str">
        <f t="shared" si="33"/>
        <v/>
      </c>
      <c r="R389" t="str">
        <f t="shared" si="34"/>
        <v/>
      </c>
    </row>
    <row r="390" spans="12:18" x14ac:dyDescent="0.25">
      <c r="L390" t="str">
        <f t="shared" si="30"/>
        <v/>
      </c>
      <c r="M390" t="b">
        <f t="shared" si="31"/>
        <v>0</v>
      </c>
      <c r="N390" t="str">
        <f>IF(M390,IF(B390="Fe",_xludf.XLOOKUP(A390,'Standards Catalogue'!$A:$A,'Standards Catalogue'!$B:$B,""),IF(B390="P",_xludf.XLOOKUP(A390,'Standards Catalogue'!$A:$A,'Standards Catalogue'!$D:$D,""),IF(B390="S",_xludf.XLOOKUP(A390,'Standards Catalogue'!$A:$A,'Standards Catalogue'!$F:$F,""),""))),"")</f>
        <v/>
      </c>
      <c r="O390" t="str">
        <f>IF(M390,IF(B390="Fe",_xludf.XLOOKUP(A390,'Standards Catalogue'!$A:$A,'Standards Catalogue'!$C:$C,""),IF(B390="P",_xludf.XLOOKUP(A390,'Standards Catalogue'!$A:$A,'Standards Catalogue'!$E:$E,""),IF(B390="S",_xludf.XLOOKUP(A390,'Standards Catalogue'!$A:$A,'Standards Catalogue'!$G:$G,""),""))),"")</f>
        <v/>
      </c>
      <c r="P390" t="str">
        <f t="shared" si="32"/>
        <v/>
      </c>
      <c r="Q390" t="str">
        <f t="shared" si="33"/>
        <v/>
      </c>
      <c r="R390" t="str">
        <f t="shared" si="34"/>
        <v/>
      </c>
    </row>
    <row r="391" spans="12:18" x14ac:dyDescent="0.25">
      <c r="L391" t="str">
        <f t="shared" si="30"/>
        <v/>
      </c>
      <c r="M391" t="b">
        <f t="shared" si="31"/>
        <v>0</v>
      </c>
      <c r="N391" t="str">
        <f>IF(M391,IF(B391="Fe",_xludf.XLOOKUP(A391,'Standards Catalogue'!$A:$A,'Standards Catalogue'!$B:$B,""),IF(B391="P",_xludf.XLOOKUP(A391,'Standards Catalogue'!$A:$A,'Standards Catalogue'!$D:$D,""),IF(B391="S",_xludf.XLOOKUP(A391,'Standards Catalogue'!$A:$A,'Standards Catalogue'!$F:$F,""),""))),"")</f>
        <v/>
      </c>
      <c r="O391" t="str">
        <f>IF(M391,IF(B391="Fe",_xludf.XLOOKUP(A391,'Standards Catalogue'!$A:$A,'Standards Catalogue'!$C:$C,""),IF(B391="P",_xludf.XLOOKUP(A391,'Standards Catalogue'!$A:$A,'Standards Catalogue'!$E:$E,""),IF(B391="S",_xludf.XLOOKUP(A391,'Standards Catalogue'!$A:$A,'Standards Catalogue'!$G:$G,""),""))),"")</f>
        <v/>
      </c>
      <c r="P391" t="str">
        <f t="shared" si="32"/>
        <v/>
      </c>
      <c r="Q391" t="str">
        <f t="shared" si="33"/>
        <v/>
      </c>
      <c r="R391" t="str">
        <f t="shared" si="34"/>
        <v/>
      </c>
    </row>
    <row r="392" spans="12:18" x14ac:dyDescent="0.25">
      <c r="L392" t="str">
        <f t="shared" si="30"/>
        <v/>
      </c>
      <c r="M392" t="b">
        <f t="shared" si="31"/>
        <v>0</v>
      </c>
      <c r="N392" t="str">
        <f>IF(M392,IF(B392="Fe",_xludf.XLOOKUP(A392,'Standards Catalogue'!$A:$A,'Standards Catalogue'!$B:$B,""),IF(B392="P",_xludf.XLOOKUP(A392,'Standards Catalogue'!$A:$A,'Standards Catalogue'!$D:$D,""),IF(B392="S",_xludf.XLOOKUP(A392,'Standards Catalogue'!$A:$A,'Standards Catalogue'!$F:$F,""),""))),"")</f>
        <v/>
      </c>
      <c r="O392" t="str">
        <f>IF(M392,IF(B392="Fe",_xludf.XLOOKUP(A392,'Standards Catalogue'!$A:$A,'Standards Catalogue'!$C:$C,""),IF(B392="P",_xludf.XLOOKUP(A392,'Standards Catalogue'!$A:$A,'Standards Catalogue'!$E:$E,""),IF(B392="S",_xludf.XLOOKUP(A392,'Standards Catalogue'!$A:$A,'Standards Catalogue'!$G:$G,""),""))),"")</f>
        <v/>
      </c>
      <c r="P392" t="str">
        <f t="shared" si="32"/>
        <v/>
      </c>
      <c r="Q392" t="str">
        <f t="shared" si="33"/>
        <v/>
      </c>
      <c r="R392" t="str">
        <f t="shared" si="34"/>
        <v/>
      </c>
    </row>
    <row r="393" spans="12:18" x14ac:dyDescent="0.25">
      <c r="L393" t="str">
        <f t="shared" si="30"/>
        <v/>
      </c>
      <c r="M393" t="b">
        <f t="shared" si="31"/>
        <v>0</v>
      </c>
      <c r="N393" t="str">
        <f>IF(M393,IF(B393="Fe",_xludf.XLOOKUP(A393,'Standards Catalogue'!$A:$A,'Standards Catalogue'!$B:$B,""),IF(B393="P",_xludf.XLOOKUP(A393,'Standards Catalogue'!$A:$A,'Standards Catalogue'!$D:$D,""),IF(B393="S",_xludf.XLOOKUP(A393,'Standards Catalogue'!$A:$A,'Standards Catalogue'!$F:$F,""),""))),"")</f>
        <v/>
      </c>
      <c r="O393" t="str">
        <f>IF(M393,IF(B393="Fe",_xludf.XLOOKUP(A393,'Standards Catalogue'!$A:$A,'Standards Catalogue'!$C:$C,""),IF(B393="P",_xludf.XLOOKUP(A393,'Standards Catalogue'!$A:$A,'Standards Catalogue'!$E:$E,""),IF(B393="S",_xludf.XLOOKUP(A393,'Standards Catalogue'!$A:$A,'Standards Catalogue'!$G:$G,""),""))),"")</f>
        <v/>
      </c>
      <c r="P393" t="str">
        <f t="shared" si="32"/>
        <v/>
      </c>
      <c r="Q393" t="str">
        <f t="shared" si="33"/>
        <v/>
      </c>
      <c r="R393" t="str">
        <f t="shared" si="34"/>
        <v/>
      </c>
    </row>
    <row r="394" spans="12:18" x14ac:dyDescent="0.25">
      <c r="L394" t="str">
        <f t="shared" si="30"/>
        <v/>
      </c>
      <c r="M394" t="b">
        <f t="shared" si="31"/>
        <v>0</v>
      </c>
      <c r="N394" t="str">
        <f>IF(M394,IF(B394="Fe",_xludf.XLOOKUP(A394,'Standards Catalogue'!$A:$A,'Standards Catalogue'!$B:$B,""),IF(B394="P",_xludf.XLOOKUP(A394,'Standards Catalogue'!$A:$A,'Standards Catalogue'!$D:$D,""),IF(B394="S",_xludf.XLOOKUP(A394,'Standards Catalogue'!$A:$A,'Standards Catalogue'!$F:$F,""),""))),"")</f>
        <v/>
      </c>
      <c r="O394" t="str">
        <f>IF(M394,IF(B394="Fe",_xludf.XLOOKUP(A394,'Standards Catalogue'!$A:$A,'Standards Catalogue'!$C:$C,""),IF(B394="P",_xludf.XLOOKUP(A394,'Standards Catalogue'!$A:$A,'Standards Catalogue'!$E:$E,""),IF(B394="S",_xludf.XLOOKUP(A394,'Standards Catalogue'!$A:$A,'Standards Catalogue'!$G:$G,""),""))),"")</f>
        <v/>
      </c>
      <c r="P394" t="str">
        <f t="shared" si="32"/>
        <v/>
      </c>
      <c r="Q394" t="str">
        <f t="shared" si="33"/>
        <v/>
      </c>
      <c r="R394" t="str">
        <f t="shared" si="34"/>
        <v/>
      </c>
    </row>
    <row r="395" spans="12:18" x14ac:dyDescent="0.25">
      <c r="L395" t="str">
        <f t="shared" si="30"/>
        <v/>
      </c>
      <c r="M395" t="b">
        <f t="shared" si="31"/>
        <v>0</v>
      </c>
      <c r="N395" t="str">
        <f>IF(M395,IF(B395="Fe",_xludf.XLOOKUP(A395,'Standards Catalogue'!$A:$A,'Standards Catalogue'!$B:$B,""),IF(B395="P",_xludf.XLOOKUP(A395,'Standards Catalogue'!$A:$A,'Standards Catalogue'!$D:$D,""),IF(B395="S",_xludf.XLOOKUP(A395,'Standards Catalogue'!$A:$A,'Standards Catalogue'!$F:$F,""),""))),"")</f>
        <v/>
      </c>
      <c r="O395" t="str">
        <f>IF(M395,IF(B395="Fe",_xludf.XLOOKUP(A395,'Standards Catalogue'!$A:$A,'Standards Catalogue'!$C:$C,""),IF(B395="P",_xludf.XLOOKUP(A395,'Standards Catalogue'!$A:$A,'Standards Catalogue'!$E:$E,""),IF(B395="S",_xludf.XLOOKUP(A395,'Standards Catalogue'!$A:$A,'Standards Catalogue'!$G:$G,""),""))),"")</f>
        <v/>
      </c>
      <c r="P395" t="str">
        <f t="shared" si="32"/>
        <v/>
      </c>
      <c r="Q395" t="str">
        <f t="shared" si="33"/>
        <v/>
      </c>
      <c r="R395" t="str">
        <f t="shared" si="34"/>
        <v/>
      </c>
    </row>
    <row r="396" spans="12:18" x14ac:dyDescent="0.25">
      <c r="L396" t="str">
        <f t="shared" si="30"/>
        <v/>
      </c>
      <c r="M396" t="b">
        <f t="shared" si="31"/>
        <v>0</v>
      </c>
      <c r="N396" t="str">
        <f>IF(M396,IF(B396="Fe",_xludf.XLOOKUP(A396,'Standards Catalogue'!$A:$A,'Standards Catalogue'!$B:$B,""),IF(B396="P",_xludf.XLOOKUP(A396,'Standards Catalogue'!$A:$A,'Standards Catalogue'!$D:$D,""),IF(B396="S",_xludf.XLOOKUP(A396,'Standards Catalogue'!$A:$A,'Standards Catalogue'!$F:$F,""),""))),"")</f>
        <v/>
      </c>
      <c r="O396" t="str">
        <f>IF(M396,IF(B396="Fe",_xludf.XLOOKUP(A396,'Standards Catalogue'!$A:$A,'Standards Catalogue'!$C:$C,""),IF(B396="P",_xludf.XLOOKUP(A396,'Standards Catalogue'!$A:$A,'Standards Catalogue'!$E:$E,""),IF(B396="S",_xludf.XLOOKUP(A396,'Standards Catalogue'!$A:$A,'Standards Catalogue'!$G:$G,""),""))),"")</f>
        <v/>
      </c>
      <c r="P396" t="str">
        <f t="shared" si="32"/>
        <v/>
      </c>
      <c r="Q396" t="str">
        <f t="shared" si="33"/>
        <v/>
      </c>
      <c r="R396" t="str">
        <f t="shared" si="34"/>
        <v/>
      </c>
    </row>
    <row r="397" spans="12:18" x14ac:dyDescent="0.25">
      <c r="L397" t="str">
        <f t="shared" si="30"/>
        <v/>
      </c>
      <c r="M397" t="b">
        <f t="shared" si="31"/>
        <v>0</v>
      </c>
      <c r="N397" t="str">
        <f>IF(M397,IF(B397="Fe",_xludf.XLOOKUP(A397,'Standards Catalogue'!$A:$A,'Standards Catalogue'!$B:$B,""),IF(B397="P",_xludf.XLOOKUP(A397,'Standards Catalogue'!$A:$A,'Standards Catalogue'!$D:$D,""),IF(B397="S",_xludf.XLOOKUP(A397,'Standards Catalogue'!$A:$A,'Standards Catalogue'!$F:$F,""),""))),"")</f>
        <v/>
      </c>
      <c r="O397" t="str">
        <f>IF(M397,IF(B397="Fe",_xludf.XLOOKUP(A397,'Standards Catalogue'!$A:$A,'Standards Catalogue'!$C:$C,""),IF(B397="P",_xludf.XLOOKUP(A397,'Standards Catalogue'!$A:$A,'Standards Catalogue'!$E:$E,""),IF(B397="S",_xludf.XLOOKUP(A397,'Standards Catalogue'!$A:$A,'Standards Catalogue'!$G:$G,""),""))),"")</f>
        <v/>
      </c>
      <c r="P397" t="str">
        <f t="shared" si="32"/>
        <v/>
      </c>
      <c r="Q397" t="str">
        <f t="shared" si="33"/>
        <v/>
      </c>
      <c r="R397" t="str">
        <f t="shared" si="34"/>
        <v/>
      </c>
    </row>
    <row r="398" spans="12:18" x14ac:dyDescent="0.25">
      <c r="L398" t="str">
        <f t="shared" si="30"/>
        <v/>
      </c>
      <c r="M398" t="b">
        <f t="shared" si="31"/>
        <v>0</v>
      </c>
      <c r="N398" t="str">
        <f>IF(M398,IF(B398="Fe",_xludf.XLOOKUP(A398,'Standards Catalogue'!$A:$A,'Standards Catalogue'!$B:$B,""),IF(B398="P",_xludf.XLOOKUP(A398,'Standards Catalogue'!$A:$A,'Standards Catalogue'!$D:$D,""),IF(B398="S",_xludf.XLOOKUP(A398,'Standards Catalogue'!$A:$A,'Standards Catalogue'!$F:$F,""),""))),"")</f>
        <v/>
      </c>
      <c r="O398" t="str">
        <f>IF(M398,IF(B398="Fe",_xludf.XLOOKUP(A398,'Standards Catalogue'!$A:$A,'Standards Catalogue'!$C:$C,""),IF(B398="P",_xludf.XLOOKUP(A398,'Standards Catalogue'!$A:$A,'Standards Catalogue'!$E:$E,""),IF(B398="S",_xludf.XLOOKUP(A398,'Standards Catalogue'!$A:$A,'Standards Catalogue'!$G:$G,""),""))),"")</f>
        <v/>
      </c>
      <c r="P398" t="str">
        <f t="shared" si="32"/>
        <v/>
      </c>
      <c r="Q398" t="str">
        <f t="shared" si="33"/>
        <v/>
      </c>
      <c r="R398" t="str">
        <f t="shared" si="34"/>
        <v/>
      </c>
    </row>
    <row r="399" spans="12:18" x14ac:dyDescent="0.25">
      <c r="L399" t="str">
        <f t="shared" si="30"/>
        <v/>
      </c>
      <c r="M399" t="b">
        <f t="shared" si="31"/>
        <v>0</v>
      </c>
      <c r="N399" t="str">
        <f>IF(M399,IF(B399="Fe",_xludf.XLOOKUP(A399,'Standards Catalogue'!$A:$A,'Standards Catalogue'!$B:$B,""),IF(B399="P",_xludf.XLOOKUP(A399,'Standards Catalogue'!$A:$A,'Standards Catalogue'!$D:$D,""),IF(B399="S",_xludf.XLOOKUP(A399,'Standards Catalogue'!$A:$A,'Standards Catalogue'!$F:$F,""),""))),"")</f>
        <v/>
      </c>
      <c r="O399" t="str">
        <f>IF(M399,IF(B399="Fe",_xludf.XLOOKUP(A399,'Standards Catalogue'!$A:$A,'Standards Catalogue'!$C:$C,""),IF(B399="P",_xludf.XLOOKUP(A399,'Standards Catalogue'!$A:$A,'Standards Catalogue'!$E:$E,""),IF(B399="S",_xludf.XLOOKUP(A399,'Standards Catalogue'!$A:$A,'Standards Catalogue'!$G:$G,""),""))),"")</f>
        <v/>
      </c>
      <c r="P399" t="str">
        <f t="shared" si="32"/>
        <v/>
      </c>
      <c r="Q399" t="str">
        <f t="shared" si="33"/>
        <v/>
      </c>
      <c r="R399" t="str">
        <f t="shared" si="34"/>
        <v/>
      </c>
    </row>
    <row r="400" spans="12:18" x14ac:dyDescent="0.25">
      <c r="L400" t="str">
        <f t="shared" si="30"/>
        <v/>
      </c>
      <c r="M400" t="b">
        <f t="shared" si="31"/>
        <v>0</v>
      </c>
      <c r="N400" t="str">
        <f>IF(M400,IF(B400="Fe",_xludf.XLOOKUP(A400,'Standards Catalogue'!$A:$A,'Standards Catalogue'!$B:$B,""),IF(B400="P",_xludf.XLOOKUP(A400,'Standards Catalogue'!$A:$A,'Standards Catalogue'!$D:$D,""),IF(B400="S",_xludf.XLOOKUP(A400,'Standards Catalogue'!$A:$A,'Standards Catalogue'!$F:$F,""),""))),"")</f>
        <v/>
      </c>
      <c r="O400" t="str">
        <f>IF(M400,IF(B400="Fe",_xludf.XLOOKUP(A400,'Standards Catalogue'!$A:$A,'Standards Catalogue'!$C:$C,""),IF(B400="P",_xludf.XLOOKUP(A400,'Standards Catalogue'!$A:$A,'Standards Catalogue'!$E:$E,""),IF(B400="S",_xludf.XLOOKUP(A400,'Standards Catalogue'!$A:$A,'Standards Catalogue'!$G:$G,""),""))),"")</f>
        <v/>
      </c>
      <c r="P400" t="str">
        <f t="shared" si="32"/>
        <v/>
      </c>
      <c r="Q400" t="str">
        <f t="shared" si="33"/>
        <v/>
      </c>
      <c r="R400" t="str">
        <f t="shared" si="34"/>
        <v/>
      </c>
    </row>
    <row r="401" spans="12:18" x14ac:dyDescent="0.25">
      <c r="L401" t="str">
        <f t="shared" si="30"/>
        <v/>
      </c>
      <c r="M401" t="b">
        <f t="shared" si="31"/>
        <v>0</v>
      </c>
      <c r="N401" t="str">
        <f>IF(M401,IF(B401="Fe",_xludf.XLOOKUP(A401,'Standards Catalogue'!$A:$A,'Standards Catalogue'!$B:$B,""),IF(B401="P",_xludf.XLOOKUP(A401,'Standards Catalogue'!$A:$A,'Standards Catalogue'!$D:$D,""),IF(B401="S",_xludf.XLOOKUP(A401,'Standards Catalogue'!$A:$A,'Standards Catalogue'!$F:$F,""),""))),"")</f>
        <v/>
      </c>
      <c r="O401" t="str">
        <f>IF(M401,IF(B401="Fe",_xludf.XLOOKUP(A401,'Standards Catalogue'!$A:$A,'Standards Catalogue'!$C:$C,""),IF(B401="P",_xludf.XLOOKUP(A401,'Standards Catalogue'!$A:$A,'Standards Catalogue'!$E:$E,""),IF(B401="S",_xludf.XLOOKUP(A401,'Standards Catalogue'!$A:$A,'Standards Catalogue'!$G:$G,""),""))),"")</f>
        <v/>
      </c>
      <c r="P401" t="str">
        <f t="shared" si="32"/>
        <v/>
      </c>
      <c r="Q401" t="str">
        <f t="shared" si="33"/>
        <v/>
      </c>
      <c r="R401" t="str">
        <f t="shared" si="34"/>
        <v/>
      </c>
    </row>
    <row r="402" spans="12:18" x14ac:dyDescent="0.25">
      <c r="L402" t="str">
        <f t="shared" si="30"/>
        <v/>
      </c>
      <c r="M402" t="b">
        <f t="shared" si="31"/>
        <v>0</v>
      </c>
      <c r="N402" t="str">
        <f>IF(M402,IF(B402="Fe",_xludf.XLOOKUP(A402,'Standards Catalogue'!$A:$A,'Standards Catalogue'!$B:$B,""),IF(B402="P",_xludf.XLOOKUP(A402,'Standards Catalogue'!$A:$A,'Standards Catalogue'!$D:$D,""),IF(B402="S",_xludf.XLOOKUP(A402,'Standards Catalogue'!$A:$A,'Standards Catalogue'!$F:$F,""),""))),"")</f>
        <v/>
      </c>
      <c r="O402" t="str">
        <f>IF(M402,IF(B402="Fe",_xludf.XLOOKUP(A402,'Standards Catalogue'!$A:$A,'Standards Catalogue'!$C:$C,""),IF(B402="P",_xludf.XLOOKUP(A402,'Standards Catalogue'!$A:$A,'Standards Catalogue'!$E:$E,""),IF(B402="S",_xludf.XLOOKUP(A402,'Standards Catalogue'!$A:$A,'Standards Catalogue'!$G:$G,""),""))),"")</f>
        <v/>
      </c>
      <c r="P402" t="str">
        <f t="shared" si="32"/>
        <v/>
      </c>
      <c r="Q402" t="str">
        <f t="shared" si="33"/>
        <v/>
      </c>
      <c r="R402" t="str">
        <f t="shared" si="34"/>
        <v/>
      </c>
    </row>
    <row r="403" spans="12:18" x14ac:dyDescent="0.25">
      <c r="L403" t="str">
        <f t="shared" si="30"/>
        <v/>
      </c>
      <c r="M403" t="b">
        <f t="shared" si="31"/>
        <v>0</v>
      </c>
      <c r="N403" t="str">
        <f>IF(M403,IF(B403="Fe",_xludf.XLOOKUP(A403,'Standards Catalogue'!$A:$A,'Standards Catalogue'!$B:$B,""),IF(B403="P",_xludf.XLOOKUP(A403,'Standards Catalogue'!$A:$A,'Standards Catalogue'!$D:$D,""),IF(B403="S",_xludf.XLOOKUP(A403,'Standards Catalogue'!$A:$A,'Standards Catalogue'!$F:$F,""),""))),"")</f>
        <v/>
      </c>
      <c r="O403" t="str">
        <f>IF(M403,IF(B403="Fe",_xludf.XLOOKUP(A403,'Standards Catalogue'!$A:$A,'Standards Catalogue'!$C:$C,""),IF(B403="P",_xludf.XLOOKUP(A403,'Standards Catalogue'!$A:$A,'Standards Catalogue'!$E:$E,""),IF(B403="S",_xludf.XLOOKUP(A403,'Standards Catalogue'!$A:$A,'Standards Catalogue'!$G:$G,""),""))),"")</f>
        <v/>
      </c>
      <c r="P403" t="str">
        <f t="shared" si="32"/>
        <v/>
      </c>
      <c r="Q403" t="str">
        <f t="shared" si="33"/>
        <v/>
      </c>
      <c r="R403" t="str">
        <f t="shared" si="34"/>
        <v/>
      </c>
    </row>
    <row r="404" spans="12:18" x14ac:dyDescent="0.25">
      <c r="L404" t="str">
        <f t="shared" si="30"/>
        <v/>
      </c>
      <c r="M404" t="b">
        <f t="shared" si="31"/>
        <v>0</v>
      </c>
      <c r="N404" t="str">
        <f>IF(M404,IF(B404="Fe",_xludf.XLOOKUP(A404,'Standards Catalogue'!$A:$A,'Standards Catalogue'!$B:$B,""),IF(B404="P",_xludf.XLOOKUP(A404,'Standards Catalogue'!$A:$A,'Standards Catalogue'!$D:$D,""),IF(B404="S",_xludf.XLOOKUP(A404,'Standards Catalogue'!$A:$A,'Standards Catalogue'!$F:$F,""),""))),"")</f>
        <v/>
      </c>
      <c r="O404" t="str">
        <f>IF(M404,IF(B404="Fe",_xludf.XLOOKUP(A404,'Standards Catalogue'!$A:$A,'Standards Catalogue'!$C:$C,""),IF(B404="P",_xludf.XLOOKUP(A404,'Standards Catalogue'!$A:$A,'Standards Catalogue'!$E:$E,""),IF(B404="S",_xludf.XLOOKUP(A404,'Standards Catalogue'!$A:$A,'Standards Catalogue'!$G:$G,""),""))),"")</f>
        <v/>
      </c>
      <c r="P404" t="str">
        <f t="shared" si="32"/>
        <v/>
      </c>
      <c r="Q404" t="str">
        <f t="shared" si="33"/>
        <v/>
      </c>
      <c r="R404" t="str">
        <f t="shared" si="34"/>
        <v/>
      </c>
    </row>
    <row r="405" spans="12:18" x14ac:dyDescent="0.25">
      <c r="L405" t="str">
        <f t="shared" si="30"/>
        <v/>
      </c>
      <c r="M405" t="b">
        <f t="shared" si="31"/>
        <v>0</v>
      </c>
      <c r="N405" t="str">
        <f>IF(M405,IF(B405="Fe",_xludf.XLOOKUP(A405,'Standards Catalogue'!$A:$A,'Standards Catalogue'!$B:$B,""),IF(B405="P",_xludf.XLOOKUP(A405,'Standards Catalogue'!$A:$A,'Standards Catalogue'!$D:$D,""),IF(B405="S",_xludf.XLOOKUP(A405,'Standards Catalogue'!$A:$A,'Standards Catalogue'!$F:$F,""),""))),"")</f>
        <v/>
      </c>
      <c r="O405" t="str">
        <f>IF(M405,IF(B405="Fe",_xludf.XLOOKUP(A405,'Standards Catalogue'!$A:$A,'Standards Catalogue'!$C:$C,""),IF(B405="P",_xludf.XLOOKUP(A405,'Standards Catalogue'!$A:$A,'Standards Catalogue'!$E:$E,""),IF(B405="S",_xludf.XLOOKUP(A405,'Standards Catalogue'!$A:$A,'Standards Catalogue'!$G:$G,""),""))),"")</f>
        <v/>
      </c>
      <c r="P405" t="str">
        <f t="shared" si="32"/>
        <v/>
      </c>
      <c r="Q405" t="str">
        <f t="shared" si="33"/>
        <v/>
      </c>
      <c r="R405" t="str">
        <f t="shared" si="34"/>
        <v/>
      </c>
    </row>
    <row r="406" spans="12:18" x14ac:dyDescent="0.25">
      <c r="L406" t="str">
        <f t="shared" si="30"/>
        <v/>
      </c>
      <c r="M406" t="b">
        <f t="shared" si="31"/>
        <v>0</v>
      </c>
      <c r="N406" t="str">
        <f>IF(M406,IF(B406="Fe",_xludf.XLOOKUP(A406,'Standards Catalogue'!$A:$A,'Standards Catalogue'!$B:$B,""),IF(B406="P",_xludf.XLOOKUP(A406,'Standards Catalogue'!$A:$A,'Standards Catalogue'!$D:$D,""),IF(B406="S",_xludf.XLOOKUP(A406,'Standards Catalogue'!$A:$A,'Standards Catalogue'!$F:$F,""),""))),"")</f>
        <v/>
      </c>
      <c r="O406" t="str">
        <f>IF(M406,IF(B406="Fe",_xludf.XLOOKUP(A406,'Standards Catalogue'!$A:$A,'Standards Catalogue'!$C:$C,""),IF(B406="P",_xludf.XLOOKUP(A406,'Standards Catalogue'!$A:$A,'Standards Catalogue'!$E:$E,""),IF(B406="S",_xludf.XLOOKUP(A406,'Standards Catalogue'!$A:$A,'Standards Catalogue'!$G:$G,""),""))),"")</f>
        <v/>
      </c>
      <c r="P406" t="str">
        <f t="shared" si="32"/>
        <v/>
      </c>
      <c r="Q406" t="str">
        <f t="shared" si="33"/>
        <v/>
      </c>
      <c r="R406" t="str">
        <f t="shared" si="34"/>
        <v/>
      </c>
    </row>
    <row r="407" spans="12:18" x14ac:dyDescent="0.25">
      <c r="L407" t="str">
        <f t="shared" si="30"/>
        <v/>
      </c>
      <c r="M407" t="b">
        <f t="shared" si="31"/>
        <v>0</v>
      </c>
      <c r="N407" t="str">
        <f>IF(M407,IF(B407="Fe",_xludf.XLOOKUP(A407,'Standards Catalogue'!$A:$A,'Standards Catalogue'!$B:$B,""),IF(B407="P",_xludf.XLOOKUP(A407,'Standards Catalogue'!$A:$A,'Standards Catalogue'!$D:$D,""),IF(B407="S",_xludf.XLOOKUP(A407,'Standards Catalogue'!$A:$A,'Standards Catalogue'!$F:$F,""),""))),"")</f>
        <v/>
      </c>
      <c r="O407" t="str">
        <f>IF(M407,IF(B407="Fe",_xludf.XLOOKUP(A407,'Standards Catalogue'!$A:$A,'Standards Catalogue'!$C:$C,""),IF(B407="P",_xludf.XLOOKUP(A407,'Standards Catalogue'!$A:$A,'Standards Catalogue'!$E:$E,""),IF(B407="S",_xludf.XLOOKUP(A407,'Standards Catalogue'!$A:$A,'Standards Catalogue'!$G:$G,""),""))),"")</f>
        <v/>
      </c>
      <c r="P407" t="str">
        <f t="shared" si="32"/>
        <v/>
      </c>
      <c r="Q407" t="str">
        <f t="shared" si="33"/>
        <v/>
      </c>
      <c r="R407" t="str">
        <f t="shared" si="34"/>
        <v/>
      </c>
    </row>
    <row r="408" spans="12:18" x14ac:dyDescent="0.25">
      <c r="L408" t="str">
        <f t="shared" si="30"/>
        <v/>
      </c>
      <c r="M408" t="b">
        <f t="shared" si="31"/>
        <v>0</v>
      </c>
      <c r="N408" t="str">
        <f>IF(M408,IF(B408="Fe",_xludf.XLOOKUP(A408,'Standards Catalogue'!$A:$A,'Standards Catalogue'!$B:$B,""),IF(B408="P",_xludf.XLOOKUP(A408,'Standards Catalogue'!$A:$A,'Standards Catalogue'!$D:$D,""),IF(B408="S",_xludf.XLOOKUP(A408,'Standards Catalogue'!$A:$A,'Standards Catalogue'!$F:$F,""),""))),"")</f>
        <v/>
      </c>
      <c r="O408" t="str">
        <f>IF(M408,IF(B408="Fe",_xludf.XLOOKUP(A408,'Standards Catalogue'!$A:$A,'Standards Catalogue'!$C:$C,""),IF(B408="P",_xludf.XLOOKUP(A408,'Standards Catalogue'!$A:$A,'Standards Catalogue'!$E:$E,""),IF(B408="S",_xludf.XLOOKUP(A408,'Standards Catalogue'!$A:$A,'Standards Catalogue'!$G:$G,""),""))),"")</f>
        <v/>
      </c>
      <c r="P408" t="str">
        <f t="shared" si="32"/>
        <v/>
      </c>
      <c r="Q408" t="str">
        <f t="shared" si="33"/>
        <v/>
      </c>
      <c r="R408" t="str">
        <f t="shared" si="34"/>
        <v/>
      </c>
    </row>
    <row r="409" spans="12:18" x14ac:dyDescent="0.25">
      <c r="L409" t="str">
        <f t="shared" si="30"/>
        <v/>
      </c>
      <c r="M409" t="b">
        <f t="shared" si="31"/>
        <v>0</v>
      </c>
      <c r="N409" t="str">
        <f>IF(M409,IF(B409="Fe",_xludf.XLOOKUP(A409,'Standards Catalogue'!$A:$A,'Standards Catalogue'!$B:$B,""),IF(B409="P",_xludf.XLOOKUP(A409,'Standards Catalogue'!$A:$A,'Standards Catalogue'!$D:$D,""),IF(B409="S",_xludf.XLOOKUP(A409,'Standards Catalogue'!$A:$A,'Standards Catalogue'!$F:$F,""),""))),"")</f>
        <v/>
      </c>
      <c r="O409" t="str">
        <f>IF(M409,IF(B409="Fe",_xludf.XLOOKUP(A409,'Standards Catalogue'!$A:$A,'Standards Catalogue'!$C:$C,""),IF(B409="P",_xludf.XLOOKUP(A409,'Standards Catalogue'!$A:$A,'Standards Catalogue'!$E:$E,""),IF(B409="S",_xludf.XLOOKUP(A409,'Standards Catalogue'!$A:$A,'Standards Catalogue'!$G:$G,""),""))),"")</f>
        <v/>
      </c>
      <c r="P409" t="str">
        <f t="shared" si="32"/>
        <v/>
      </c>
      <c r="Q409" t="str">
        <f t="shared" si="33"/>
        <v/>
      </c>
      <c r="R409" t="str">
        <f t="shared" si="34"/>
        <v/>
      </c>
    </row>
    <row r="410" spans="12:18" x14ac:dyDescent="0.25">
      <c r="L410" t="str">
        <f t="shared" si="30"/>
        <v/>
      </c>
      <c r="M410" t="b">
        <f t="shared" si="31"/>
        <v>0</v>
      </c>
      <c r="N410" t="str">
        <f>IF(M410,IF(B410="Fe",_xludf.XLOOKUP(A410,'Standards Catalogue'!$A:$A,'Standards Catalogue'!$B:$B,""),IF(B410="P",_xludf.XLOOKUP(A410,'Standards Catalogue'!$A:$A,'Standards Catalogue'!$D:$D,""),IF(B410="S",_xludf.XLOOKUP(A410,'Standards Catalogue'!$A:$A,'Standards Catalogue'!$F:$F,""),""))),"")</f>
        <v/>
      </c>
      <c r="O410" t="str">
        <f>IF(M410,IF(B410="Fe",_xludf.XLOOKUP(A410,'Standards Catalogue'!$A:$A,'Standards Catalogue'!$C:$C,""),IF(B410="P",_xludf.XLOOKUP(A410,'Standards Catalogue'!$A:$A,'Standards Catalogue'!$E:$E,""),IF(B410="S",_xludf.XLOOKUP(A410,'Standards Catalogue'!$A:$A,'Standards Catalogue'!$G:$G,""),""))),"")</f>
        <v/>
      </c>
      <c r="P410" t="str">
        <f t="shared" si="32"/>
        <v/>
      </c>
      <c r="Q410" t="str">
        <f t="shared" si="33"/>
        <v/>
      </c>
      <c r="R410" t="str">
        <f t="shared" si="34"/>
        <v/>
      </c>
    </row>
    <row r="411" spans="12:18" x14ac:dyDescent="0.25">
      <c r="L411" t="str">
        <f t="shared" si="30"/>
        <v/>
      </c>
      <c r="M411" t="b">
        <f t="shared" si="31"/>
        <v>0</v>
      </c>
      <c r="N411" t="str">
        <f>IF(M411,IF(B411="Fe",_xludf.XLOOKUP(A411,'Standards Catalogue'!$A:$A,'Standards Catalogue'!$B:$B,""),IF(B411="P",_xludf.XLOOKUP(A411,'Standards Catalogue'!$A:$A,'Standards Catalogue'!$D:$D,""),IF(B411="S",_xludf.XLOOKUP(A411,'Standards Catalogue'!$A:$A,'Standards Catalogue'!$F:$F,""),""))),"")</f>
        <v/>
      </c>
      <c r="O411" t="str">
        <f>IF(M411,IF(B411="Fe",_xludf.XLOOKUP(A411,'Standards Catalogue'!$A:$A,'Standards Catalogue'!$C:$C,""),IF(B411="P",_xludf.XLOOKUP(A411,'Standards Catalogue'!$A:$A,'Standards Catalogue'!$E:$E,""),IF(B411="S",_xludf.XLOOKUP(A411,'Standards Catalogue'!$A:$A,'Standards Catalogue'!$G:$G,""),""))),"")</f>
        <v/>
      </c>
      <c r="P411" t="str">
        <f t="shared" si="32"/>
        <v/>
      </c>
      <c r="Q411" t="str">
        <f t="shared" si="33"/>
        <v/>
      </c>
      <c r="R411" t="str">
        <f t="shared" si="34"/>
        <v/>
      </c>
    </row>
    <row r="412" spans="12:18" x14ac:dyDescent="0.25">
      <c r="L412" t="str">
        <f t="shared" si="30"/>
        <v/>
      </c>
      <c r="M412" t="b">
        <f t="shared" si="31"/>
        <v>0</v>
      </c>
      <c r="N412" t="str">
        <f>IF(M412,IF(B412="Fe",_xludf.XLOOKUP(A412,'Standards Catalogue'!$A:$A,'Standards Catalogue'!$B:$B,""),IF(B412="P",_xludf.XLOOKUP(A412,'Standards Catalogue'!$A:$A,'Standards Catalogue'!$D:$D,""),IF(B412="S",_xludf.XLOOKUP(A412,'Standards Catalogue'!$A:$A,'Standards Catalogue'!$F:$F,""),""))),"")</f>
        <v/>
      </c>
      <c r="O412" t="str">
        <f>IF(M412,IF(B412="Fe",_xludf.XLOOKUP(A412,'Standards Catalogue'!$A:$A,'Standards Catalogue'!$C:$C,""),IF(B412="P",_xludf.XLOOKUP(A412,'Standards Catalogue'!$A:$A,'Standards Catalogue'!$E:$E,""),IF(B412="S",_xludf.XLOOKUP(A412,'Standards Catalogue'!$A:$A,'Standards Catalogue'!$G:$G,""),""))),"")</f>
        <v/>
      </c>
      <c r="P412" t="str">
        <f t="shared" si="32"/>
        <v/>
      </c>
      <c r="Q412" t="str">
        <f t="shared" si="33"/>
        <v/>
      </c>
      <c r="R412" t="str">
        <f t="shared" si="34"/>
        <v/>
      </c>
    </row>
    <row r="413" spans="12:18" x14ac:dyDescent="0.25">
      <c r="L413" t="str">
        <f t="shared" si="30"/>
        <v/>
      </c>
      <c r="M413" t="b">
        <f t="shared" si="31"/>
        <v>0</v>
      </c>
      <c r="N413" t="str">
        <f>IF(M413,IF(B413="Fe",_xludf.XLOOKUP(A413,'Standards Catalogue'!$A:$A,'Standards Catalogue'!$B:$B,""),IF(B413="P",_xludf.XLOOKUP(A413,'Standards Catalogue'!$A:$A,'Standards Catalogue'!$D:$D,""),IF(B413="S",_xludf.XLOOKUP(A413,'Standards Catalogue'!$A:$A,'Standards Catalogue'!$F:$F,""),""))),"")</f>
        <v/>
      </c>
      <c r="O413" t="str">
        <f>IF(M413,IF(B413="Fe",_xludf.XLOOKUP(A413,'Standards Catalogue'!$A:$A,'Standards Catalogue'!$C:$C,""),IF(B413="P",_xludf.XLOOKUP(A413,'Standards Catalogue'!$A:$A,'Standards Catalogue'!$E:$E,""),IF(B413="S",_xludf.XLOOKUP(A413,'Standards Catalogue'!$A:$A,'Standards Catalogue'!$G:$G,""),""))),"")</f>
        <v/>
      </c>
      <c r="P413" t="str">
        <f t="shared" si="32"/>
        <v/>
      </c>
      <c r="Q413" t="str">
        <f t="shared" si="33"/>
        <v/>
      </c>
      <c r="R413" t="str">
        <f t="shared" si="34"/>
        <v/>
      </c>
    </row>
    <row r="414" spans="12:18" x14ac:dyDescent="0.25">
      <c r="L414" t="str">
        <f t="shared" si="30"/>
        <v/>
      </c>
      <c r="M414" t="b">
        <f t="shared" si="31"/>
        <v>0</v>
      </c>
      <c r="N414" t="str">
        <f>IF(M414,IF(B414="Fe",_xludf.XLOOKUP(A414,'Standards Catalogue'!$A:$A,'Standards Catalogue'!$B:$B,""),IF(B414="P",_xludf.XLOOKUP(A414,'Standards Catalogue'!$A:$A,'Standards Catalogue'!$D:$D,""),IF(B414="S",_xludf.XLOOKUP(A414,'Standards Catalogue'!$A:$A,'Standards Catalogue'!$F:$F,""),""))),"")</f>
        <v/>
      </c>
      <c r="O414" t="str">
        <f>IF(M414,IF(B414="Fe",_xludf.XLOOKUP(A414,'Standards Catalogue'!$A:$A,'Standards Catalogue'!$C:$C,""),IF(B414="P",_xludf.XLOOKUP(A414,'Standards Catalogue'!$A:$A,'Standards Catalogue'!$E:$E,""),IF(B414="S",_xludf.XLOOKUP(A414,'Standards Catalogue'!$A:$A,'Standards Catalogue'!$G:$G,""),""))),"")</f>
        <v/>
      </c>
      <c r="P414" t="str">
        <f t="shared" si="32"/>
        <v/>
      </c>
      <c r="Q414" t="str">
        <f t="shared" si="33"/>
        <v/>
      </c>
      <c r="R414" t="str">
        <f t="shared" si="34"/>
        <v/>
      </c>
    </row>
    <row r="415" spans="12:18" x14ac:dyDescent="0.25">
      <c r="L415" t="str">
        <f t="shared" si="30"/>
        <v/>
      </c>
      <c r="M415" t="b">
        <f t="shared" si="31"/>
        <v>0</v>
      </c>
      <c r="N415" t="str">
        <f>IF(M415,IF(B415="Fe",_xludf.XLOOKUP(A415,'Standards Catalogue'!$A:$A,'Standards Catalogue'!$B:$B,""),IF(B415="P",_xludf.XLOOKUP(A415,'Standards Catalogue'!$A:$A,'Standards Catalogue'!$D:$D,""),IF(B415="S",_xludf.XLOOKUP(A415,'Standards Catalogue'!$A:$A,'Standards Catalogue'!$F:$F,""),""))),"")</f>
        <v/>
      </c>
      <c r="O415" t="str">
        <f>IF(M415,IF(B415="Fe",_xludf.XLOOKUP(A415,'Standards Catalogue'!$A:$A,'Standards Catalogue'!$C:$C,""),IF(B415="P",_xludf.XLOOKUP(A415,'Standards Catalogue'!$A:$A,'Standards Catalogue'!$E:$E,""),IF(B415="S",_xludf.XLOOKUP(A415,'Standards Catalogue'!$A:$A,'Standards Catalogue'!$G:$G,""),""))),"")</f>
        <v/>
      </c>
      <c r="P415" t="str">
        <f t="shared" si="32"/>
        <v/>
      </c>
      <c r="Q415" t="str">
        <f t="shared" si="33"/>
        <v/>
      </c>
      <c r="R415" t="str">
        <f t="shared" si="34"/>
        <v/>
      </c>
    </row>
    <row r="416" spans="12:18" x14ac:dyDescent="0.25">
      <c r="L416" t="str">
        <f t="shared" si="30"/>
        <v/>
      </c>
      <c r="M416" t="b">
        <f t="shared" si="31"/>
        <v>0</v>
      </c>
      <c r="N416" t="str">
        <f>IF(M416,IF(B416="Fe",_xludf.XLOOKUP(A416,'Standards Catalogue'!$A:$A,'Standards Catalogue'!$B:$B,""),IF(B416="P",_xludf.XLOOKUP(A416,'Standards Catalogue'!$A:$A,'Standards Catalogue'!$D:$D,""),IF(B416="S",_xludf.XLOOKUP(A416,'Standards Catalogue'!$A:$A,'Standards Catalogue'!$F:$F,""),""))),"")</f>
        <v/>
      </c>
      <c r="O416" t="str">
        <f>IF(M416,IF(B416="Fe",_xludf.XLOOKUP(A416,'Standards Catalogue'!$A:$A,'Standards Catalogue'!$C:$C,""),IF(B416="P",_xludf.XLOOKUP(A416,'Standards Catalogue'!$A:$A,'Standards Catalogue'!$E:$E,""),IF(B416="S",_xludf.XLOOKUP(A416,'Standards Catalogue'!$A:$A,'Standards Catalogue'!$G:$G,""),""))),"")</f>
        <v/>
      </c>
      <c r="P416" t="str">
        <f t="shared" si="32"/>
        <v/>
      </c>
      <c r="Q416" t="str">
        <f t="shared" si="33"/>
        <v/>
      </c>
      <c r="R416" t="str">
        <f t="shared" si="34"/>
        <v/>
      </c>
    </row>
    <row r="417" spans="12:18" x14ac:dyDescent="0.25">
      <c r="L417" t="str">
        <f t="shared" si="30"/>
        <v/>
      </c>
      <c r="M417" t="b">
        <f t="shared" si="31"/>
        <v>0</v>
      </c>
      <c r="N417" t="str">
        <f>IF(M417,IF(B417="Fe",_xludf.XLOOKUP(A417,'Standards Catalogue'!$A:$A,'Standards Catalogue'!$B:$B,""),IF(B417="P",_xludf.XLOOKUP(A417,'Standards Catalogue'!$A:$A,'Standards Catalogue'!$D:$D,""),IF(B417="S",_xludf.XLOOKUP(A417,'Standards Catalogue'!$A:$A,'Standards Catalogue'!$F:$F,""),""))),"")</f>
        <v/>
      </c>
      <c r="O417" t="str">
        <f>IF(M417,IF(B417="Fe",_xludf.XLOOKUP(A417,'Standards Catalogue'!$A:$A,'Standards Catalogue'!$C:$C,""),IF(B417="P",_xludf.XLOOKUP(A417,'Standards Catalogue'!$A:$A,'Standards Catalogue'!$E:$E,""),IF(B417="S",_xludf.XLOOKUP(A417,'Standards Catalogue'!$A:$A,'Standards Catalogue'!$G:$G,""),""))),"")</f>
        <v/>
      </c>
      <c r="P417" t="str">
        <f t="shared" si="32"/>
        <v/>
      </c>
      <c r="Q417" t="str">
        <f t="shared" si="33"/>
        <v/>
      </c>
      <c r="R417" t="str">
        <f t="shared" si="34"/>
        <v/>
      </c>
    </row>
    <row r="418" spans="12:18" x14ac:dyDescent="0.25">
      <c r="L418" t="str">
        <f t="shared" si="30"/>
        <v/>
      </c>
      <c r="M418" t="b">
        <f t="shared" si="31"/>
        <v>0</v>
      </c>
      <c r="N418" t="str">
        <f>IF(M418,IF(B418="Fe",_xludf.XLOOKUP(A418,'Standards Catalogue'!$A:$A,'Standards Catalogue'!$B:$B,""),IF(B418="P",_xludf.XLOOKUP(A418,'Standards Catalogue'!$A:$A,'Standards Catalogue'!$D:$D,""),IF(B418="S",_xludf.XLOOKUP(A418,'Standards Catalogue'!$A:$A,'Standards Catalogue'!$F:$F,""),""))),"")</f>
        <v/>
      </c>
      <c r="O418" t="str">
        <f>IF(M418,IF(B418="Fe",_xludf.XLOOKUP(A418,'Standards Catalogue'!$A:$A,'Standards Catalogue'!$C:$C,""),IF(B418="P",_xludf.XLOOKUP(A418,'Standards Catalogue'!$A:$A,'Standards Catalogue'!$E:$E,""),IF(B418="S",_xludf.XLOOKUP(A418,'Standards Catalogue'!$A:$A,'Standards Catalogue'!$G:$G,""),""))),"")</f>
        <v/>
      </c>
      <c r="P418" t="str">
        <f t="shared" si="32"/>
        <v/>
      </c>
      <c r="Q418" t="str">
        <f t="shared" si="33"/>
        <v/>
      </c>
      <c r="R418" t="str">
        <f t="shared" si="34"/>
        <v/>
      </c>
    </row>
    <row r="419" spans="12:18" x14ac:dyDescent="0.25">
      <c r="L419" t="str">
        <f t="shared" si="30"/>
        <v/>
      </c>
      <c r="M419" t="b">
        <f t="shared" si="31"/>
        <v>0</v>
      </c>
      <c r="N419" t="str">
        <f>IF(M419,IF(B419="Fe",_xludf.XLOOKUP(A419,'Standards Catalogue'!$A:$A,'Standards Catalogue'!$B:$B,""),IF(B419="P",_xludf.XLOOKUP(A419,'Standards Catalogue'!$A:$A,'Standards Catalogue'!$D:$D,""),IF(B419="S",_xludf.XLOOKUP(A419,'Standards Catalogue'!$A:$A,'Standards Catalogue'!$F:$F,""),""))),"")</f>
        <v/>
      </c>
      <c r="O419" t="str">
        <f>IF(M419,IF(B419="Fe",_xludf.XLOOKUP(A419,'Standards Catalogue'!$A:$A,'Standards Catalogue'!$C:$C,""),IF(B419="P",_xludf.XLOOKUP(A419,'Standards Catalogue'!$A:$A,'Standards Catalogue'!$E:$E,""),IF(B419="S",_xludf.XLOOKUP(A419,'Standards Catalogue'!$A:$A,'Standards Catalogue'!$G:$G,""),""))),"")</f>
        <v/>
      </c>
      <c r="P419" t="str">
        <f t="shared" si="32"/>
        <v/>
      </c>
      <c r="Q419" t="str">
        <f t="shared" si="33"/>
        <v/>
      </c>
      <c r="R419" t="str">
        <f t="shared" si="34"/>
        <v/>
      </c>
    </row>
    <row r="420" spans="12:18" x14ac:dyDescent="0.25">
      <c r="L420" t="str">
        <f t="shared" si="30"/>
        <v/>
      </c>
      <c r="M420" t="b">
        <f t="shared" si="31"/>
        <v>0</v>
      </c>
      <c r="N420" t="str">
        <f>IF(M420,IF(B420="Fe",_xludf.XLOOKUP(A420,'Standards Catalogue'!$A:$A,'Standards Catalogue'!$B:$B,""),IF(B420="P",_xludf.XLOOKUP(A420,'Standards Catalogue'!$A:$A,'Standards Catalogue'!$D:$D,""),IF(B420="S",_xludf.XLOOKUP(A420,'Standards Catalogue'!$A:$A,'Standards Catalogue'!$F:$F,""),""))),"")</f>
        <v/>
      </c>
      <c r="O420" t="str">
        <f>IF(M420,IF(B420="Fe",_xludf.XLOOKUP(A420,'Standards Catalogue'!$A:$A,'Standards Catalogue'!$C:$C,""),IF(B420="P",_xludf.XLOOKUP(A420,'Standards Catalogue'!$A:$A,'Standards Catalogue'!$E:$E,""),IF(B420="S",_xludf.XLOOKUP(A420,'Standards Catalogue'!$A:$A,'Standards Catalogue'!$G:$G,""),""))),"")</f>
        <v/>
      </c>
      <c r="P420" t="str">
        <f t="shared" si="32"/>
        <v/>
      </c>
      <c r="Q420" t="str">
        <f t="shared" si="33"/>
        <v/>
      </c>
      <c r="R420" t="str">
        <f t="shared" si="34"/>
        <v/>
      </c>
    </row>
    <row r="421" spans="12:18" x14ac:dyDescent="0.25">
      <c r="L421" t="str">
        <f t="shared" si="30"/>
        <v/>
      </c>
      <c r="M421" t="b">
        <f t="shared" si="31"/>
        <v>0</v>
      </c>
      <c r="N421" t="str">
        <f>IF(M421,IF(B421="Fe",_xludf.XLOOKUP(A421,'Standards Catalogue'!$A:$A,'Standards Catalogue'!$B:$B,""),IF(B421="P",_xludf.XLOOKUP(A421,'Standards Catalogue'!$A:$A,'Standards Catalogue'!$D:$D,""),IF(B421="S",_xludf.XLOOKUP(A421,'Standards Catalogue'!$A:$A,'Standards Catalogue'!$F:$F,""),""))),"")</f>
        <v/>
      </c>
      <c r="O421" t="str">
        <f>IF(M421,IF(B421="Fe",_xludf.XLOOKUP(A421,'Standards Catalogue'!$A:$A,'Standards Catalogue'!$C:$C,""),IF(B421="P",_xludf.XLOOKUP(A421,'Standards Catalogue'!$A:$A,'Standards Catalogue'!$E:$E,""),IF(B421="S",_xludf.XLOOKUP(A421,'Standards Catalogue'!$A:$A,'Standards Catalogue'!$G:$G,""),""))),"")</f>
        <v/>
      </c>
      <c r="P421" t="str">
        <f t="shared" si="32"/>
        <v/>
      </c>
      <c r="Q421" t="str">
        <f t="shared" si="33"/>
        <v/>
      </c>
      <c r="R421" t="str">
        <f t="shared" si="34"/>
        <v/>
      </c>
    </row>
    <row r="422" spans="12:18" x14ac:dyDescent="0.25">
      <c r="L422" t="str">
        <f t="shared" si="30"/>
        <v/>
      </c>
      <c r="M422" t="b">
        <f t="shared" si="31"/>
        <v>0</v>
      </c>
      <c r="N422" t="str">
        <f>IF(M422,IF(B422="Fe",_xludf.XLOOKUP(A422,'Standards Catalogue'!$A:$A,'Standards Catalogue'!$B:$B,""),IF(B422="P",_xludf.XLOOKUP(A422,'Standards Catalogue'!$A:$A,'Standards Catalogue'!$D:$D,""),IF(B422="S",_xludf.XLOOKUP(A422,'Standards Catalogue'!$A:$A,'Standards Catalogue'!$F:$F,""),""))),"")</f>
        <v/>
      </c>
      <c r="O422" t="str">
        <f>IF(M422,IF(B422="Fe",_xludf.XLOOKUP(A422,'Standards Catalogue'!$A:$A,'Standards Catalogue'!$C:$C,""),IF(B422="P",_xludf.XLOOKUP(A422,'Standards Catalogue'!$A:$A,'Standards Catalogue'!$E:$E,""),IF(B422="S",_xludf.XLOOKUP(A422,'Standards Catalogue'!$A:$A,'Standards Catalogue'!$G:$G,""),""))),"")</f>
        <v/>
      </c>
      <c r="P422" t="str">
        <f t="shared" si="32"/>
        <v/>
      </c>
      <c r="Q422" t="str">
        <f t="shared" si="33"/>
        <v/>
      </c>
      <c r="R422" t="str">
        <f t="shared" si="34"/>
        <v/>
      </c>
    </row>
    <row r="423" spans="12:18" x14ac:dyDescent="0.25">
      <c r="L423" t="str">
        <f t="shared" si="30"/>
        <v/>
      </c>
      <c r="M423" t="b">
        <f t="shared" si="31"/>
        <v>0</v>
      </c>
      <c r="N423" t="str">
        <f>IF(M423,IF(B423="Fe",_xludf.XLOOKUP(A423,'Standards Catalogue'!$A:$A,'Standards Catalogue'!$B:$B,""),IF(B423="P",_xludf.XLOOKUP(A423,'Standards Catalogue'!$A:$A,'Standards Catalogue'!$D:$D,""),IF(B423="S",_xludf.XLOOKUP(A423,'Standards Catalogue'!$A:$A,'Standards Catalogue'!$F:$F,""),""))),"")</f>
        <v/>
      </c>
      <c r="O423" t="str">
        <f>IF(M423,IF(B423="Fe",_xludf.XLOOKUP(A423,'Standards Catalogue'!$A:$A,'Standards Catalogue'!$C:$C,""),IF(B423="P",_xludf.XLOOKUP(A423,'Standards Catalogue'!$A:$A,'Standards Catalogue'!$E:$E,""),IF(B423="S",_xludf.XLOOKUP(A423,'Standards Catalogue'!$A:$A,'Standards Catalogue'!$G:$G,""),""))),"")</f>
        <v/>
      </c>
      <c r="P423" t="str">
        <f t="shared" si="32"/>
        <v/>
      </c>
      <c r="Q423" t="str">
        <f t="shared" si="33"/>
        <v/>
      </c>
      <c r="R423" t="str">
        <f t="shared" si="34"/>
        <v/>
      </c>
    </row>
    <row r="424" spans="12:18" x14ac:dyDescent="0.25">
      <c r="L424" t="str">
        <f t="shared" si="30"/>
        <v/>
      </c>
      <c r="M424" t="b">
        <f t="shared" si="31"/>
        <v>0</v>
      </c>
      <c r="N424" t="str">
        <f>IF(M424,IF(B424="Fe",_xludf.XLOOKUP(A424,'Standards Catalogue'!$A:$A,'Standards Catalogue'!$B:$B,""),IF(B424="P",_xludf.XLOOKUP(A424,'Standards Catalogue'!$A:$A,'Standards Catalogue'!$D:$D,""),IF(B424="S",_xludf.XLOOKUP(A424,'Standards Catalogue'!$A:$A,'Standards Catalogue'!$F:$F,""),""))),"")</f>
        <v/>
      </c>
      <c r="O424" t="str">
        <f>IF(M424,IF(B424="Fe",_xludf.XLOOKUP(A424,'Standards Catalogue'!$A:$A,'Standards Catalogue'!$C:$C,""),IF(B424="P",_xludf.XLOOKUP(A424,'Standards Catalogue'!$A:$A,'Standards Catalogue'!$E:$E,""),IF(B424="S",_xludf.XLOOKUP(A424,'Standards Catalogue'!$A:$A,'Standards Catalogue'!$G:$G,""),""))),"")</f>
        <v/>
      </c>
      <c r="P424" t="str">
        <f t="shared" si="32"/>
        <v/>
      </c>
      <c r="Q424" t="str">
        <f t="shared" si="33"/>
        <v/>
      </c>
      <c r="R424" t="str">
        <f t="shared" si="34"/>
        <v/>
      </c>
    </row>
    <row r="425" spans="12:18" x14ac:dyDescent="0.25">
      <c r="L425" t="str">
        <f t="shared" si="30"/>
        <v/>
      </c>
      <c r="M425" t="b">
        <f t="shared" si="31"/>
        <v>0</v>
      </c>
      <c r="N425" t="str">
        <f>IF(M425,IF(B425="Fe",_xludf.XLOOKUP(A425,'Standards Catalogue'!$A:$A,'Standards Catalogue'!$B:$B,""),IF(B425="P",_xludf.XLOOKUP(A425,'Standards Catalogue'!$A:$A,'Standards Catalogue'!$D:$D,""),IF(B425="S",_xludf.XLOOKUP(A425,'Standards Catalogue'!$A:$A,'Standards Catalogue'!$F:$F,""),""))),"")</f>
        <v/>
      </c>
      <c r="O425" t="str">
        <f>IF(M425,IF(B425="Fe",_xludf.XLOOKUP(A425,'Standards Catalogue'!$A:$A,'Standards Catalogue'!$C:$C,""),IF(B425="P",_xludf.XLOOKUP(A425,'Standards Catalogue'!$A:$A,'Standards Catalogue'!$E:$E,""),IF(B425="S",_xludf.XLOOKUP(A425,'Standards Catalogue'!$A:$A,'Standards Catalogue'!$G:$G,""),""))),"")</f>
        <v/>
      </c>
      <c r="P425" t="str">
        <f t="shared" si="32"/>
        <v/>
      </c>
      <c r="Q425" t="str">
        <f t="shared" si="33"/>
        <v/>
      </c>
      <c r="R425" t="str">
        <f t="shared" si="34"/>
        <v/>
      </c>
    </row>
    <row r="426" spans="12:18" x14ac:dyDescent="0.25">
      <c r="L426" t="str">
        <f t="shared" si="30"/>
        <v/>
      </c>
      <c r="M426" t="b">
        <f t="shared" si="31"/>
        <v>0</v>
      </c>
      <c r="N426" t="str">
        <f>IF(M426,IF(B426="Fe",_xludf.XLOOKUP(A426,'Standards Catalogue'!$A:$A,'Standards Catalogue'!$B:$B,""),IF(B426="P",_xludf.XLOOKUP(A426,'Standards Catalogue'!$A:$A,'Standards Catalogue'!$D:$D,""),IF(B426="S",_xludf.XLOOKUP(A426,'Standards Catalogue'!$A:$A,'Standards Catalogue'!$F:$F,""),""))),"")</f>
        <v/>
      </c>
      <c r="O426" t="str">
        <f>IF(M426,IF(B426="Fe",_xludf.XLOOKUP(A426,'Standards Catalogue'!$A:$A,'Standards Catalogue'!$C:$C,""),IF(B426="P",_xludf.XLOOKUP(A426,'Standards Catalogue'!$A:$A,'Standards Catalogue'!$E:$E,""),IF(B426="S",_xludf.XLOOKUP(A426,'Standards Catalogue'!$A:$A,'Standards Catalogue'!$G:$G,""),""))),"")</f>
        <v/>
      </c>
      <c r="P426" t="str">
        <f t="shared" si="32"/>
        <v/>
      </c>
      <c r="Q426" t="str">
        <f t="shared" si="33"/>
        <v/>
      </c>
      <c r="R426" t="str">
        <f t="shared" si="34"/>
        <v/>
      </c>
    </row>
    <row r="427" spans="12:18" x14ac:dyDescent="0.25">
      <c r="L427" t="str">
        <f t="shared" si="30"/>
        <v/>
      </c>
      <c r="M427" t="b">
        <f t="shared" si="31"/>
        <v>0</v>
      </c>
      <c r="N427" t="str">
        <f>IF(M427,IF(B427="Fe",_xludf.XLOOKUP(A427,'Standards Catalogue'!$A:$A,'Standards Catalogue'!$B:$B,""),IF(B427="P",_xludf.XLOOKUP(A427,'Standards Catalogue'!$A:$A,'Standards Catalogue'!$D:$D,""),IF(B427="S",_xludf.XLOOKUP(A427,'Standards Catalogue'!$A:$A,'Standards Catalogue'!$F:$F,""),""))),"")</f>
        <v/>
      </c>
      <c r="O427" t="str">
        <f>IF(M427,IF(B427="Fe",_xludf.XLOOKUP(A427,'Standards Catalogue'!$A:$A,'Standards Catalogue'!$C:$C,""),IF(B427="P",_xludf.XLOOKUP(A427,'Standards Catalogue'!$A:$A,'Standards Catalogue'!$E:$E,""),IF(B427="S",_xludf.XLOOKUP(A427,'Standards Catalogue'!$A:$A,'Standards Catalogue'!$G:$G,""),""))),"")</f>
        <v/>
      </c>
      <c r="P427" t="str">
        <f t="shared" si="32"/>
        <v/>
      </c>
      <c r="Q427" t="str">
        <f t="shared" si="33"/>
        <v/>
      </c>
      <c r="R427" t="str">
        <f t="shared" si="34"/>
        <v/>
      </c>
    </row>
    <row r="428" spans="12:18" x14ac:dyDescent="0.25">
      <c r="L428" t="str">
        <f t="shared" si="30"/>
        <v/>
      </c>
      <c r="M428" t="b">
        <f t="shared" si="31"/>
        <v>0</v>
      </c>
      <c r="N428" t="str">
        <f>IF(M428,IF(B428="Fe",_xludf.XLOOKUP(A428,'Standards Catalogue'!$A:$A,'Standards Catalogue'!$B:$B,""),IF(B428="P",_xludf.XLOOKUP(A428,'Standards Catalogue'!$A:$A,'Standards Catalogue'!$D:$D,""),IF(B428="S",_xludf.XLOOKUP(A428,'Standards Catalogue'!$A:$A,'Standards Catalogue'!$F:$F,""),""))),"")</f>
        <v/>
      </c>
      <c r="O428" t="str">
        <f>IF(M428,IF(B428="Fe",_xludf.XLOOKUP(A428,'Standards Catalogue'!$A:$A,'Standards Catalogue'!$C:$C,""),IF(B428="P",_xludf.XLOOKUP(A428,'Standards Catalogue'!$A:$A,'Standards Catalogue'!$E:$E,""),IF(B428="S",_xludf.XLOOKUP(A428,'Standards Catalogue'!$A:$A,'Standards Catalogue'!$G:$G,""),""))),"")</f>
        <v/>
      </c>
      <c r="P428" t="str">
        <f t="shared" si="32"/>
        <v/>
      </c>
      <c r="Q428" t="str">
        <f t="shared" si="33"/>
        <v/>
      </c>
      <c r="R428" t="str">
        <f t="shared" si="34"/>
        <v/>
      </c>
    </row>
    <row r="429" spans="12:18" x14ac:dyDescent="0.25">
      <c r="L429" t="str">
        <f t="shared" si="30"/>
        <v/>
      </c>
      <c r="M429" t="b">
        <f t="shared" si="31"/>
        <v>0</v>
      </c>
      <c r="N429" t="str">
        <f>IF(M429,IF(B429="Fe",_xludf.XLOOKUP(A429,'Standards Catalogue'!$A:$A,'Standards Catalogue'!$B:$B,""),IF(B429="P",_xludf.XLOOKUP(A429,'Standards Catalogue'!$A:$A,'Standards Catalogue'!$D:$D,""),IF(B429="S",_xludf.XLOOKUP(A429,'Standards Catalogue'!$A:$A,'Standards Catalogue'!$F:$F,""),""))),"")</f>
        <v/>
      </c>
      <c r="O429" t="str">
        <f>IF(M429,IF(B429="Fe",_xludf.XLOOKUP(A429,'Standards Catalogue'!$A:$A,'Standards Catalogue'!$C:$C,""),IF(B429="P",_xludf.XLOOKUP(A429,'Standards Catalogue'!$A:$A,'Standards Catalogue'!$E:$E,""),IF(B429="S",_xludf.XLOOKUP(A429,'Standards Catalogue'!$A:$A,'Standards Catalogue'!$G:$G,""),""))),"")</f>
        <v/>
      </c>
      <c r="P429" t="str">
        <f t="shared" si="32"/>
        <v/>
      </c>
      <c r="Q429" t="str">
        <f t="shared" si="33"/>
        <v/>
      </c>
      <c r="R429" t="str">
        <f t="shared" si="34"/>
        <v/>
      </c>
    </row>
    <row r="430" spans="12:18" x14ac:dyDescent="0.25">
      <c r="L430" t="str">
        <f t="shared" si="30"/>
        <v/>
      </c>
      <c r="M430" t="b">
        <f t="shared" si="31"/>
        <v>0</v>
      </c>
      <c r="N430" t="str">
        <f>IF(M430,IF(B430="Fe",_xludf.XLOOKUP(A430,'Standards Catalogue'!$A:$A,'Standards Catalogue'!$B:$B,""),IF(B430="P",_xludf.XLOOKUP(A430,'Standards Catalogue'!$A:$A,'Standards Catalogue'!$D:$D,""),IF(B430="S",_xludf.XLOOKUP(A430,'Standards Catalogue'!$A:$A,'Standards Catalogue'!$F:$F,""),""))),"")</f>
        <v/>
      </c>
      <c r="O430" t="str">
        <f>IF(M430,IF(B430="Fe",_xludf.XLOOKUP(A430,'Standards Catalogue'!$A:$A,'Standards Catalogue'!$C:$C,""),IF(B430="P",_xludf.XLOOKUP(A430,'Standards Catalogue'!$A:$A,'Standards Catalogue'!$E:$E,""),IF(B430="S",_xludf.XLOOKUP(A430,'Standards Catalogue'!$A:$A,'Standards Catalogue'!$G:$G,""),""))),"")</f>
        <v/>
      </c>
      <c r="P430" t="str">
        <f t="shared" si="32"/>
        <v/>
      </c>
      <c r="Q430" t="str">
        <f t="shared" si="33"/>
        <v/>
      </c>
      <c r="R430" t="str">
        <f t="shared" si="34"/>
        <v/>
      </c>
    </row>
    <row r="431" spans="12:18" x14ac:dyDescent="0.25">
      <c r="L431" t="str">
        <f t="shared" si="30"/>
        <v/>
      </c>
      <c r="M431" t="b">
        <f t="shared" si="31"/>
        <v>0</v>
      </c>
      <c r="N431" t="str">
        <f>IF(M431,IF(B431="Fe",_xludf.XLOOKUP(A431,'Standards Catalogue'!$A:$A,'Standards Catalogue'!$B:$B,""),IF(B431="P",_xludf.XLOOKUP(A431,'Standards Catalogue'!$A:$A,'Standards Catalogue'!$D:$D,""),IF(B431="S",_xludf.XLOOKUP(A431,'Standards Catalogue'!$A:$A,'Standards Catalogue'!$F:$F,""),""))),"")</f>
        <v/>
      </c>
      <c r="O431" t="str">
        <f>IF(M431,IF(B431="Fe",_xludf.XLOOKUP(A431,'Standards Catalogue'!$A:$A,'Standards Catalogue'!$C:$C,""),IF(B431="P",_xludf.XLOOKUP(A431,'Standards Catalogue'!$A:$A,'Standards Catalogue'!$E:$E,""),IF(B431="S",_xludf.XLOOKUP(A431,'Standards Catalogue'!$A:$A,'Standards Catalogue'!$G:$G,""),""))),"")</f>
        <v/>
      </c>
      <c r="P431" t="str">
        <f t="shared" si="32"/>
        <v/>
      </c>
      <c r="Q431" t="str">
        <f t="shared" si="33"/>
        <v/>
      </c>
      <c r="R431" t="str">
        <f t="shared" si="34"/>
        <v/>
      </c>
    </row>
    <row r="432" spans="12:18" x14ac:dyDescent="0.25">
      <c r="L432" t="str">
        <f t="shared" si="30"/>
        <v/>
      </c>
      <c r="M432" t="b">
        <f t="shared" si="31"/>
        <v>0</v>
      </c>
      <c r="N432" t="str">
        <f>IF(M432,IF(B432="Fe",_xludf.XLOOKUP(A432,'Standards Catalogue'!$A:$A,'Standards Catalogue'!$B:$B,""),IF(B432="P",_xludf.XLOOKUP(A432,'Standards Catalogue'!$A:$A,'Standards Catalogue'!$D:$D,""),IF(B432="S",_xludf.XLOOKUP(A432,'Standards Catalogue'!$A:$A,'Standards Catalogue'!$F:$F,""),""))),"")</f>
        <v/>
      </c>
      <c r="O432" t="str">
        <f>IF(M432,IF(B432="Fe",_xludf.XLOOKUP(A432,'Standards Catalogue'!$A:$A,'Standards Catalogue'!$C:$C,""),IF(B432="P",_xludf.XLOOKUP(A432,'Standards Catalogue'!$A:$A,'Standards Catalogue'!$E:$E,""),IF(B432="S",_xludf.XLOOKUP(A432,'Standards Catalogue'!$A:$A,'Standards Catalogue'!$G:$G,""),""))),"")</f>
        <v/>
      </c>
      <c r="P432" t="str">
        <f t="shared" si="32"/>
        <v/>
      </c>
      <c r="Q432" t="str">
        <f t="shared" si="33"/>
        <v/>
      </c>
      <c r="R432" t="str">
        <f t="shared" si="34"/>
        <v/>
      </c>
    </row>
    <row r="433" spans="12:18" x14ac:dyDescent="0.25">
      <c r="L433" t="str">
        <f t="shared" si="30"/>
        <v/>
      </c>
      <c r="M433" t="b">
        <f t="shared" si="31"/>
        <v>0</v>
      </c>
      <c r="N433" t="str">
        <f>IF(M433,IF(B433="Fe",_xludf.XLOOKUP(A433,'Standards Catalogue'!$A:$A,'Standards Catalogue'!$B:$B,""),IF(B433="P",_xludf.XLOOKUP(A433,'Standards Catalogue'!$A:$A,'Standards Catalogue'!$D:$D,""),IF(B433="S",_xludf.XLOOKUP(A433,'Standards Catalogue'!$A:$A,'Standards Catalogue'!$F:$F,""),""))),"")</f>
        <v/>
      </c>
      <c r="O433" t="str">
        <f>IF(M433,IF(B433="Fe",_xludf.XLOOKUP(A433,'Standards Catalogue'!$A:$A,'Standards Catalogue'!$C:$C,""),IF(B433="P",_xludf.XLOOKUP(A433,'Standards Catalogue'!$A:$A,'Standards Catalogue'!$E:$E,""),IF(B433="S",_xludf.XLOOKUP(A433,'Standards Catalogue'!$A:$A,'Standards Catalogue'!$G:$G,""),""))),"")</f>
        <v/>
      </c>
      <c r="P433" t="str">
        <f t="shared" si="32"/>
        <v/>
      </c>
      <c r="Q433" t="str">
        <f t="shared" si="33"/>
        <v/>
      </c>
      <c r="R433" t="str">
        <f t="shared" si="34"/>
        <v/>
      </c>
    </row>
    <row r="434" spans="12:18" x14ac:dyDescent="0.25">
      <c r="L434" t="str">
        <f t="shared" si="30"/>
        <v/>
      </c>
      <c r="M434" t="b">
        <f t="shared" si="31"/>
        <v>0</v>
      </c>
      <c r="N434" t="str">
        <f>IF(M434,IF(B434="Fe",_xludf.XLOOKUP(A434,'Standards Catalogue'!$A:$A,'Standards Catalogue'!$B:$B,""),IF(B434="P",_xludf.XLOOKUP(A434,'Standards Catalogue'!$A:$A,'Standards Catalogue'!$D:$D,""),IF(B434="S",_xludf.XLOOKUP(A434,'Standards Catalogue'!$A:$A,'Standards Catalogue'!$F:$F,""),""))),"")</f>
        <v/>
      </c>
      <c r="O434" t="str">
        <f>IF(M434,IF(B434="Fe",_xludf.XLOOKUP(A434,'Standards Catalogue'!$A:$A,'Standards Catalogue'!$C:$C,""),IF(B434="P",_xludf.XLOOKUP(A434,'Standards Catalogue'!$A:$A,'Standards Catalogue'!$E:$E,""),IF(B434="S",_xludf.XLOOKUP(A434,'Standards Catalogue'!$A:$A,'Standards Catalogue'!$G:$G,""),""))),"")</f>
        <v/>
      </c>
      <c r="P434" t="str">
        <f t="shared" si="32"/>
        <v/>
      </c>
      <c r="Q434" t="str">
        <f t="shared" si="33"/>
        <v/>
      </c>
      <c r="R434" t="str">
        <f t="shared" si="34"/>
        <v/>
      </c>
    </row>
    <row r="435" spans="12:18" x14ac:dyDescent="0.25">
      <c r="L435" t="str">
        <f t="shared" si="30"/>
        <v/>
      </c>
      <c r="M435" t="b">
        <f t="shared" si="31"/>
        <v>0</v>
      </c>
      <c r="N435" t="str">
        <f>IF(M435,IF(B435="Fe",_xludf.XLOOKUP(A435,'Standards Catalogue'!$A:$A,'Standards Catalogue'!$B:$B,""),IF(B435="P",_xludf.XLOOKUP(A435,'Standards Catalogue'!$A:$A,'Standards Catalogue'!$D:$D,""),IF(B435="S",_xludf.XLOOKUP(A435,'Standards Catalogue'!$A:$A,'Standards Catalogue'!$F:$F,""),""))),"")</f>
        <v/>
      </c>
      <c r="O435" t="str">
        <f>IF(M435,IF(B435="Fe",_xludf.XLOOKUP(A435,'Standards Catalogue'!$A:$A,'Standards Catalogue'!$C:$C,""),IF(B435="P",_xludf.XLOOKUP(A435,'Standards Catalogue'!$A:$A,'Standards Catalogue'!$E:$E,""),IF(B435="S",_xludf.XLOOKUP(A435,'Standards Catalogue'!$A:$A,'Standards Catalogue'!$G:$G,""),""))),"")</f>
        <v/>
      </c>
      <c r="P435" t="str">
        <f t="shared" si="32"/>
        <v/>
      </c>
      <c r="Q435" t="str">
        <f t="shared" si="33"/>
        <v/>
      </c>
      <c r="R435" t="str">
        <f t="shared" si="34"/>
        <v/>
      </c>
    </row>
    <row r="436" spans="12:18" x14ac:dyDescent="0.25">
      <c r="L436" t="str">
        <f t="shared" si="30"/>
        <v/>
      </c>
      <c r="M436" t="b">
        <f t="shared" si="31"/>
        <v>0</v>
      </c>
      <c r="N436" t="str">
        <f>IF(M436,IF(B436="Fe",_xludf.XLOOKUP(A436,'Standards Catalogue'!$A:$A,'Standards Catalogue'!$B:$B,""),IF(B436="P",_xludf.XLOOKUP(A436,'Standards Catalogue'!$A:$A,'Standards Catalogue'!$D:$D,""),IF(B436="S",_xludf.XLOOKUP(A436,'Standards Catalogue'!$A:$A,'Standards Catalogue'!$F:$F,""),""))),"")</f>
        <v/>
      </c>
      <c r="O436" t="str">
        <f>IF(M436,IF(B436="Fe",_xludf.XLOOKUP(A436,'Standards Catalogue'!$A:$A,'Standards Catalogue'!$C:$C,""),IF(B436="P",_xludf.XLOOKUP(A436,'Standards Catalogue'!$A:$A,'Standards Catalogue'!$E:$E,""),IF(B436="S",_xludf.XLOOKUP(A436,'Standards Catalogue'!$A:$A,'Standards Catalogue'!$G:$G,""),""))),"")</f>
        <v/>
      </c>
      <c r="P436" t="str">
        <f t="shared" si="32"/>
        <v/>
      </c>
      <c r="Q436" t="str">
        <f t="shared" si="33"/>
        <v/>
      </c>
      <c r="R436" t="str">
        <f t="shared" si="34"/>
        <v/>
      </c>
    </row>
    <row r="437" spans="12:18" x14ac:dyDescent="0.25">
      <c r="L437" t="str">
        <f t="shared" si="30"/>
        <v/>
      </c>
      <c r="M437" t="b">
        <f t="shared" si="31"/>
        <v>0</v>
      </c>
      <c r="N437" t="str">
        <f>IF(M437,IF(B437="Fe",_xludf.XLOOKUP(A437,'Standards Catalogue'!$A:$A,'Standards Catalogue'!$B:$B,""),IF(B437="P",_xludf.XLOOKUP(A437,'Standards Catalogue'!$A:$A,'Standards Catalogue'!$D:$D,""),IF(B437="S",_xludf.XLOOKUP(A437,'Standards Catalogue'!$A:$A,'Standards Catalogue'!$F:$F,""),""))),"")</f>
        <v/>
      </c>
      <c r="O437" t="str">
        <f>IF(M437,IF(B437="Fe",_xludf.XLOOKUP(A437,'Standards Catalogue'!$A:$A,'Standards Catalogue'!$C:$C,""),IF(B437="P",_xludf.XLOOKUP(A437,'Standards Catalogue'!$A:$A,'Standards Catalogue'!$E:$E,""),IF(B437="S",_xludf.XLOOKUP(A437,'Standards Catalogue'!$A:$A,'Standards Catalogue'!$G:$G,""),""))),"")</f>
        <v/>
      </c>
      <c r="P437" t="str">
        <f t="shared" si="32"/>
        <v/>
      </c>
      <c r="Q437" t="str">
        <f t="shared" si="33"/>
        <v/>
      </c>
      <c r="R437" t="str">
        <f t="shared" si="34"/>
        <v/>
      </c>
    </row>
    <row r="438" spans="12:18" x14ac:dyDescent="0.25">
      <c r="L438" t="str">
        <f t="shared" si="30"/>
        <v/>
      </c>
      <c r="M438" t="b">
        <f t="shared" si="31"/>
        <v>0</v>
      </c>
      <c r="N438" t="str">
        <f>IF(M438,IF(B438="Fe",_xludf.XLOOKUP(A438,'Standards Catalogue'!$A:$A,'Standards Catalogue'!$B:$B,""),IF(B438="P",_xludf.XLOOKUP(A438,'Standards Catalogue'!$A:$A,'Standards Catalogue'!$D:$D,""),IF(B438="S",_xludf.XLOOKUP(A438,'Standards Catalogue'!$A:$A,'Standards Catalogue'!$F:$F,""),""))),"")</f>
        <v/>
      </c>
      <c r="O438" t="str">
        <f>IF(M438,IF(B438="Fe",_xludf.XLOOKUP(A438,'Standards Catalogue'!$A:$A,'Standards Catalogue'!$C:$C,""),IF(B438="P",_xludf.XLOOKUP(A438,'Standards Catalogue'!$A:$A,'Standards Catalogue'!$E:$E,""),IF(B438="S",_xludf.XLOOKUP(A438,'Standards Catalogue'!$A:$A,'Standards Catalogue'!$G:$G,""),""))),"")</f>
        <v/>
      </c>
      <c r="P438" t="str">
        <f t="shared" si="32"/>
        <v/>
      </c>
      <c r="Q438" t="str">
        <f t="shared" si="33"/>
        <v/>
      </c>
      <c r="R438" t="str">
        <f t="shared" si="34"/>
        <v/>
      </c>
    </row>
    <row r="439" spans="12:18" x14ac:dyDescent="0.25">
      <c r="L439" t="str">
        <f t="shared" si="30"/>
        <v/>
      </c>
      <c r="M439" t="b">
        <f t="shared" si="31"/>
        <v>0</v>
      </c>
      <c r="N439" t="str">
        <f>IF(M439,IF(B439="Fe",_xludf.XLOOKUP(A439,'Standards Catalogue'!$A:$A,'Standards Catalogue'!$B:$B,""),IF(B439="P",_xludf.XLOOKUP(A439,'Standards Catalogue'!$A:$A,'Standards Catalogue'!$D:$D,""),IF(B439="S",_xludf.XLOOKUP(A439,'Standards Catalogue'!$A:$A,'Standards Catalogue'!$F:$F,""),""))),"")</f>
        <v/>
      </c>
      <c r="O439" t="str">
        <f>IF(M439,IF(B439="Fe",_xludf.XLOOKUP(A439,'Standards Catalogue'!$A:$A,'Standards Catalogue'!$C:$C,""),IF(B439="P",_xludf.XLOOKUP(A439,'Standards Catalogue'!$A:$A,'Standards Catalogue'!$E:$E,""),IF(B439="S",_xludf.XLOOKUP(A439,'Standards Catalogue'!$A:$A,'Standards Catalogue'!$G:$G,""),""))),"")</f>
        <v/>
      </c>
      <c r="P439" t="str">
        <f t="shared" si="32"/>
        <v/>
      </c>
      <c r="Q439" t="str">
        <f t="shared" si="33"/>
        <v/>
      </c>
      <c r="R439" t="str">
        <f t="shared" si="34"/>
        <v/>
      </c>
    </row>
    <row r="440" spans="12:18" x14ac:dyDescent="0.25">
      <c r="L440" t="str">
        <f t="shared" si="30"/>
        <v/>
      </c>
      <c r="M440" t="b">
        <f t="shared" si="31"/>
        <v>0</v>
      </c>
      <c r="N440" t="str">
        <f>IF(M440,IF(B440="Fe",_xludf.XLOOKUP(A440,'Standards Catalogue'!$A:$A,'Standards Catalogue'!$B:$B,""),IF(B440="P",_xludf.XLOOKUP(A440,'Standards Catalogue'!$A:$A,'Standards Catalogue'!$D:$D,""),IF(B440="S",_xludf.XLOOKUP(A440,'Standards Catalogue'!$A:$A,'Standards Catalogue'!$F:$F,""),""))),"")</f>
        <v/>
      </c>
      <c r="O440" t="str">
        <f>IF(M440,IF(B440="Fe",_xludf.XLOOKUP(A440,'Standards Catalogue'!$A:$A,'Standards Catalogue'!$C:$C,""),IF(B440="P",_xludf.XLOOKUP(A440,'Standards Catalogue'!$A:$A,'Standards Catalogue'!$E:$E,""),IF(B440="S",_xludf.XLOOKUP(A440,'Standards Catalogue'!$A:$A,'Standards Catalogue'!$G:$G,""),""))),"")</f>
        <v/>
      </c>
      <c r="P440" t="str">
        <f t="shared" si="32"/>
        <v/>
      </c>
      <c r="Q440" t="str">
        <f t="shared" si="33"/>
        <v/>
      </c>
      <c r="R440" t="str">
        <f t="shared" si="34"/>
        <v/>
      </c>
    </row>
    <row r="441" spans="12:18" x14ac:dyDescent="0.25">
      <c r="L441" t="str">
        <f t="shared" si="30"/>
        <v/>
      </c>
      <c r="M441" t="b">
        <f t="shared" si="31"/>
        <v>0</v>
      </c>
      <c r="N441" t="str">
        <f>IF(M441,IF(B441="Fe",_xludf.XLOOKUP(A441,'Standards Catalogue'!$A:$A,'Standards Catalogue'!$B:$B,""),IF(B441="P",_xludf.XLOOKUP(A441,'Standards Catalogue'!$A:$A,'Standards Catalogue'!$D:$D,""),IF(B441="S",_xludf.XLOOKUP(A441,'Standards Catalogue'!$A:$A,'Standards Catalogue'!$F:$F,""),""))),"")</f>
        <v/>
      </c>
      <c r="O441" t="str">
        <f>IF(M441,IF(B441="Fe",_xludf.XLOOKUP(A441,'Standards Catalogue'!$A:$A,'Standards Catalogue'!$C:$C,""),IF(B441="P",_xludf.XLOOKUP(A441,'Standards Catalogue'!$A:$A,'Standards Catalogue'!$E:$E,""),IF(B441="S",_xludf.XLOOKUP(A441,'Standards Catalogue'!$A:$A,'Standards Catalogue'!$G:$G,""),""))),"")</f>
        <v/>
      </c>
      <c r="P441" t="str">
        <f t="shared" si="32"/>
        <v/>
      </c>
      <c r="Q441" t="str">
        <f t="shared" si="33"/>
        <v/>
      </c>
      <c r="R441" t="str">
        <f t="shared" si="34"/>
        <v/>
      </c>
    </row>
    <row r="442" spans="12:18" x14ac:dyDescent="0.25">
      <c r="L442" t="str">
        <f t="shared" si="30"/>
        <v/>
      </c>
      <c r="M442" t="b">
        <f t="shared" si="31"/>
        <v>0</v>
      </c>
      <c r="N442" t="str">
        <f>IF(M442,IF(B442="Fe",_xludf.XLOOKUP(A442,'Standards Catalogue'!$A:$A,'Standards Catalogue'!$B:$B,""),IF(B442="P",_xludf.XLOOKUP(A442,'Standards Catalogue'!$A:$A,'Standards Catalogue'!$D:$D,""),IF(B442="S",_xludf.XLOOKUP(A442,'Standards Catalogue'!$A:$A,'Standards Catalogue'!$F:$F,""),""))),"")</f>
        <v/>
      </c>
      <c r="O442" t="str">
        <f>IF(M442,IF(B442="Fe",_xludf.XLOOKUP(A442,'Standards Catalogue'!$A:$A,'Standards Catalogue'!$C:$C,""),IF(B442="P",_xludf.XLOOKUP(A442,'Standards Catalogue'!$A:$A,'Standards Catalogue'!$E:$E,""),IF(B442="S",_xludf.XLOOKUP(A442,'Standards Catalogue'!$A:$A,'Standards Catalogue'!$G:$G,""),""))),"")</f>
        <v/>
      </c>
      <c r="P442" t="str">
        <f t="shared" si="32"/>
        <v/>
      </c>
      <c r="Q442" t="str">
        <f t="shared" si="33"/>
        <v/>
      </c>
      <c r="R442" t="str">
        <f t="shared" si="34"/>
        <v/>
      </c>
    </row>
    <row r="443" spans="12:18" x14ac:dyDescent="0.25">
      <c r="L443" t="str">
        <f t="shared" si="30"/>
        <v/>
      </c>
      <c r="M443" t="b">
        <f t="shared" si="31"/>
        <v>0</v>
      </c>
      <c r="N443" t="str">
        <f>IF(M443,IF(B443="Fe",_xludf.XLOOKUP(A443,'Standards Catalogue'!$A:$A,'Standards Catalogue'!$B:$B,""),IF(B443="P",_xludf.XLOOKUP(A443,'Standards Catalogue'!$A:$A,'Standards Catalogue'!$D:$D,""),IF(B443="S",_xludf.XLOOKUP(A443,'Standards Catalogue'!$A:$A,'Standards Catalogue'!$F:$F,""),""))),"")</f>
        <v/>
      </c>
      <c r="O443" t="str">
        <f>IF(M443,IF(B443="Fe",_xludf.XLOOKUP(A443,'Standards Catalogue'!$A:$A,'Standards Catalogue'!$C:$C,""),IF(B443="P",_xludf.XLOOKUP(A443,'Standards Catalogue'!$A:$A,'Standards Catalogue'!$E:$E,""),IF(B443="S",_xludf.XLOOKUP(A443,'Standards Catalogue'!$A:$A,'Standards Catalogue'!$G:$G,""),""))),"")</f>
        <v/>
      </c>
      <c r="P443" t="str">
        <f t="shared" si="32"/>
        <v/>
      </c>
      <c r="Q443" t="str">
        <f t="shared" si="33"/>
        <v/>
      </c>
      <c r="R443" t="str">
        <f t="shared" si="34"/>
        <v/>
      </c>
    </row>
    <row r="444" spans="12:18" x14ac:dyDescent="0.25">
      <c r="L444" t="str">
        <f t="shared" si="30"/>
        <v/>
      </c>
      <c r="M444" t="b">
        <f t="shared" si="31"/>
        <v>0</v>
      </c>
      <c r="N444" t="str">
        <f>IF(M444,IF(B444="Fe",_xludf.XLOOKUP(A444,'Standards Catalogue'!$A:$A,'Standards Catalogue'!$B:$B,""),IF(B444="P",_xludf.XLOOKUP(A444,'Standards Catalogue'!$A:$A,'Standards Catalogue'!$D:$D,""),IF(B444="S",_xludf.XLOOKUP(A444,'Standards Catalogue'!$A:$A,'Standards Catalogue'!$F:$F,""),""))),"")</f>
        <v/>
      </c>
      <c r="O444" t="str">
        <f>IF(M444,IF(B444="Fe",_xludf.XLOOKUP(A444,'Standards Catalogue'!$A:$A,'Standards Catalogue'!$C:$C,""),IF(B444="P",_xludf.XLOOKUP(A444,'Standards Catalogue'!$A:$A,'Standards Catalogue'!$E:$E,""),IF(B444="S",_xludf.XLOOKUP(A444,'Standards Catalogue'!$A:$A,'Standards Catalogue'!$G:$G,""),""))),"")</f>
        <v/>
      </c>
      <c r="P444" t="str">
        <f t="shared" si="32"/>
        <v/>
      </c>
      <c r="Q444" t="str">
        <f t="shared" si="33"/>
        <v/>
      </c>
      <c r="R444" t="str">
        <f t="shared" si="34"/>
        <v/>
      </c>
    </row>
    <row r="445" spans="12:18" x14ac:dyDescent="0.25">
      <c r="L445" t="str">
        <f t="shared" si="30"/>
        <v/>
      </c>
      <c r="M445" t="b">
        <f t="shared" si="31"/>
        <v>0</v>
      </c>
      <c r="N445" t="str">
        <f>IF(M445,IF(B445="Fe",_xludf.XLOOKUP(A445,'Standards Catalogue'!$A:$A,'Standards Catalogue'!$B:$B,""),IF(B445="P",_xludf.XLOOKUP(A445,'Standards Catalogue'!$A:$A,'Standards Catalogue'!$D:$D,""),IF(B445="S",_xludf.XLOOKUP(A445,'Standards Catalogue'!$A:$A,'Standards Catalogue'!$F:$F,""),""))),"")</f>
        <v/>
      </c>
      <c r="O445" t="str">
        <f>IF(M445,IF(B445="Fe",_xludf.XLOOKUP(A445,'Standards Catalogue'!$A:$A,'Standards Catalogue'!$C:$C,""),IF(B445="P",_xludf.XLOOKUP(A445,'Standards Catalogue'!$A:$A,'Standards Catalogue'!$E:$E,""),IF(B445="S",_xludf.XLOOKUP(A445,'Standards Catalogue'!$A:$A,'Standards Catalogue'!$G:$G,""),""))),"")</f>
        <v/>
      </c>
      <c r="P445" t="str">
        <f t="shared" si="32"/>
        <v/>
      </c>
      <c r="Q445" t="str">
        <f t="shared" si="33"/>
        <v/>
      </c>
      <c r="R445" t="str">
        <f t="shared" si="34"/>
        <v/>
      </c>
    </row>
    <row r="446" spans="12:18" x14ac:dyDescent="0.25">
      <c r="L446" t="str">
        <f t="shared" si="30"/>
        <v/>
      </c>
      <c r="M446" t="b">
        <f t="shared" si="31"/>
        <v>0</v>
      </c>
      <c r="N446" t="str">
        <f>IF(M446,IF(B446="Fe",_xludf.XLOOKUP(A446,'Standards Catalogue'!$A:$A,'Standards Catalogue'!$B:$B,""),IF(B446="P",_xludf.XLOOKUP(A446,'Standards Catalogue'!$A:$A,'Standards Catalogue'!$D:$D,""),IF(B446="S",_xludf.XLOOKUP(A446,'Standards Catalogue'!$A:$A,'Standards Catalogue'!$F:$F,""),""))),"")</f>
        <v/>
      </c>
      <c r="O446" t="str">
        <f>IF(M446,IF(B446="Fe",_xludf.XLOOKUP(A446,'Standards Catalogue'!$A:$A,'Standards Catalogue'!$C:$C,""),IF(B446="P",_xludf.XLOOKUP(A446,'Standards Catalogue'!$A:$A,'Standards Catalogue'!$E:$E,""),IF(B446="S",_xludf.XLOOKUP(A446,'Standards Catalogue'!$A:$A,'Standards Catalogue'!$G:$G,""),""))),"")</f>
        <v/>
      </c>
      <c r="P446" t="str">
        <f t="shared" si="32"/>
        <v/>
      </c>
      <c r="Q446" t="str">
        <f t="shared" si="33"/>
        <v/>
      </c>
      <c r="R446" t="str">
        <f t="shared" si="34"/>
        <v/>
      </c>
    </row>
    <row r="447" spans="12:18" x14ac:dyDescent="0.25">
      <c r="L447" t="str">
        <f t="shared" si="30"/>
        <v/>
      </c>
      <c r="M447" t="b">
        <f t="shared" si="31"/>
        <v>0</v>
      </c>
      <c r="N447" t="str">
        <f>IF(M447,IF(B447="Fe",_xludf.XLOOKUP(A447,'Standards Catalogue'!$A:$A,'Standards Catalogue'!$B:$B,""),IF(B447="P",_xludf.XLOOKUP(A447,'Standards Catalogue'!$A:$A,'Standards Catalogue'!$D:$D,""),IF(B447="S",_xludf.XLOOKUP(A447,'Standards Catalogue'!$A:$A,'Standards Catalogue'!$F:$F,""),""))),"")</f>
        <v/>
      </c>
      <c r="O447" t="str">
        <f>IF(M447,IF(B447="Fe",_xludf.XLOOKUP(A447,'Standards Catalogue'!$A:$A,'Standards Catalogue'!$C:$C,""),IF(B447="P",_xludf.XLOOKUP(A447,'Standards Catalogue'!$A:$A,'Standards Catalogue'!$E:$E,""),IF(B447="S",_xludf.XLOOKUP(A447,'Standards Catalogue'!$A:$A,'Standards Catalogue'!$G:$G,""),""))),"")</f>
        <v/>
      </c>
      <c r="P447" t="str">
        <f t="shared" si="32"/>
        <v/>
      </c>
      <c r="Q447" t="str">
        <f t="shared" si="33"/>
        <v/>
      </c>
      <c r="R447" t="str">
        <f t="shared" si="34"/>
        <v/>
      </c>
    </row>
    <row r="448" spans="12:18" x14ac:dyDescent="0.25">
      <c r="L448" t="str">
        <f t="shared" si="30"/>
        <v/>
      </c>
      <c r="M448" t="b">
        <f t="shared" si="31"/>
        <v>0</v>
      </c>
      <c r="N448" t="str">
        <f>IF(M448,IF(B448="Fe",_xludf.XLOOKUP(A448,'Standards Catalogue'!$A:$A,'Standards Catalogue'!$B:$B,""),IF(B448="P",_xludf.XLOOKUP(A448,'Standards Catalogue'!$A:$A,'Standards Catalogue'!$D:$D,""),IF(B448="S",_xludf.XLOOKUP(A448,'Standards Catalogue'!$A:$A,'Standards Catalogue'!$F:$F,""),""))),"")</f>
        <v/>
      </c>
      <c r="O448" t="str">
        <f>IF(M448,IF(B448="Fe",_xludf.XLOOKUP(A448,'Standards Catalogue'!$A:$A,'Standards Catalogue'!$C:$C,""),IF(B448="P",_xludf.XLOOKUP(A448,'Standards Catalogue'!$A:$A,'Standards Catalogue'!$E:$E,""),IF(B448="S",_xludf.XLOOKUP(A448,'Standards Catalogue'!$A:$A,'Standards Catalogue'!$G:$G,""),""))),"")</f>
        <v/>
      </c>
      <c r="P448" t="str">
        <f t="shared" si="32"/>
        <v/>
      </c>
      <c r="Q448" t="str">
        <f t="shared" si="33"/>
        <v/>
      </c>
      <c r="R448" t="str">
        <f t="shared" si="34"/>
        <v/>
      </c>
    </row>
    <row r="449" spans="12:18" x14ac:dyDescent="0.25">
      <c r="L449" t="str">
        <f t="shared" si="30"/>
        <v/>
      </c>
      <c r="M449" t="b">
        <f t="shared" si="31"/>
        <v>0</v>
      </c>
      <c r="N449" t="str">
        <f>IF(M449,IF(B449="Fe",_xludf.XLOOKUP(A449,'Standards Catalogue'!$A:$A,'Standards Catalogue'!$B:$B,""),IF(B449="P",_xludf.XLOOKUP(A449,'Standards Catalogue'!$A:$A,'Standards Catalogue'!$D:$D,""),IF(B449="S",_xludf.XLOOKUP(A449,'Standards Catalogue'!$A:$A,'Standards Catalogue'!$F:$F,""),""))),"")</f>
        <v/>
      </c>
      <c r="O449" t="str">
        <f>IF(M449,IF(B449="Fe",_xludf.XLOOKUP(A449,'Standards Catalogue'!$A:$A,'Standards Catalogue'!$C:$C,""),IF(B449="P",_xludf.XLOOKUP(A449,'Standards Catalogue'!$A:$A,'Standards Catalogue'!$E:$E,""),IF(B449="S",_xludf.XLOOKUP(A449,'Standards Catalogue'!$A:$A,'Standards Catalogue'!$G:$G,""),""))),"")</f>
        <v/>
      </c>
      <c r="P449" t="str">
        <f t="shared" si="32"/>
        <v/>
      </c>
      <c r="Q449" t="str">
        <f t="shared" si="33"/>
        <v/>
      </c>
      <c r="R449" t="str">
        <f t="shared" si="34"/>
        <v/>
      </c>
    </row>
    <row r="450" spans="12:18" x14ac:dyDescent="0.25">
      <c r="L450" t="str">
        <f t="shared" ref="L450:L513" si="35">IF(AND(A450&lt;&gt;"",B450&lt;&gt;""),A450&amp;"|"&amp;B450,"")</f>
        <v/>
      </c>
      <c r="M450" t="b">
        <f t="shared" ref="M450:M513" si="36">IF(COUNTIF(STANDARDS_IDS,A450)&gt;0,TRUE,FALSE)</f>
        <v>0</v>
      </c>
      <c r="N450" t="str">
        <f>IF(M450,IF(B450="Fe",_xludf.XLOOKUP(A450,'Standards Catalogue'!$A:$A,'Standards Catalogue'!$B:$B,""),IF(B450="P",_xludf.XLOOKUP(A450,'Standards Catalogue'!$A:$A,'Standards Catalogue'!$D:$D,""),IF(B450="S",_xludf.XLOOKUP(A450,'Standards Catalogue'!$A:$A,'Standards Catalogue'!$F:$F,""),""))),"")</f>
        <v/>
      </c>
      <c r="O450" t="str">
        <f>IF(M450,IF(B450="Fe",_xludf.XLOOKUP(A450,'Standards Catalogue'!$A:$A,'Standards Catalogue'!$C:$C,""),IF(B450="P",_xludf.XLOOKUP(A450,'Standards Catalogue'!$A:$A,'Standards Catalogue'!$E:$E,""),IF(B450="S",_xludf.XLOOKUP(A450,'Standards Catalogue'!$A:$A,'Standards Catalogue'!$G:$G,""),""))),"")</f>
        <v/>
      </c>
      <c r="P450" t="str">
        <f t="shared" ref="P450:P513" si="37">IF(M450,N450-2*O450,"")</f>
        <v/>
      </c>
      <c r="Q450" t="str">
        <f t="shared" ref="Q450:Q513" si="38">IF(M450,N450+2*O450,"")</f>
        <v/>
      </c>
      <c r="R450" t="str">
        <f t="shared" ref="R450:R513" si="39">IF(M450,IF(OR(C450="",N450="",O450=""),"",IF(AND(C450&gt;=P450,C450&lt;=Q450),"PASS","FAIL")),"")</f>
        <v/>
      </c>
    </row>
    <row r="451" spans="12:18" x14ac:dyDescent="0.25">
      <c r="L451" t="str">
        <f t="shared" si="35"/>
        <v/>
      </c>
      <c r="M451" t="b">
        <f t="shared" si="36"/>
        <v>0</v>
      </c>
      <c r="N451" t="str">
        <f>IF(M451,IF(B451="Fe",_xludf.XLOOKUP(A451,'Standards Catalogue'!$A:$A,'Standards Catalogue'!$B:$B,""),IF(B451="P",_xludf.XLOOKUP(A451,'Standards Catalogue'!$A:$A,'Standards Catalogue'!$D:$D,""),IF(B451="S",_xludf.XLOOKUP(A451,'Standards Catalogue'!$A:$A,'Standards Catalogue'!$F:$F,""),""))),"")</f>
        <v/>
      </c>
      <c r="O451" t="str">
        <f>IF(M451,IF(B451="Fe",_xludf.XLOOKUP(A451,'Standards Catalogue'!$A:$A,'Standards Catalogue'!$C:$C,""),IF(B451="P",_xludf.XLOOKUP(A451,'Standards Catalogue'!$A:$A,'Standards Catalogue'!$E:$E,""),IF(B451="S",_xludf.XLOOKUP(A451,'Standards Catalogue'!$A:$A,'Standards Catalogue'!$G:$G,""),""))),"")</f>
        <v/>
      </c>
      <c r="P451" t="str">
        <f t="shared" si="37"/>
        <v/>
      </c>
      <c r="Q451" t="str">
        <f t="shared" si="38"/>
        <v/>
      </c>
      <c r="R451" t="str">
        <f t="shared" si="39"/>
        <v/>
      </c>
    </row>
    <row r="452" spans="12:18" x14ac:dyDescent="0.25">
      <c r="L452" t="str">
        <f t="shared" si="35"/>
        <v/>
      </c>
      <c r="M452" t="b">
        <f t="shared" si="36"/>
        <v>0</v>
      </c>
      <c r="N452" t="str">
        <f>IF(M452,IF(B452="Fe",_xludf.XLOOKUP(A452,'Standards Catalogue'!$A:$A,'Standards Catalogue'!$B:$B,""),IF(B452="P",_xludf.XLOOKUP(A452,'Standards Catalogue'!$A:$A,'Standards Catalogue'!$D:$D,""),IF(B452="S",_xludf.XLOOKUP(A452,'Standards Catalogue'!$A:$A,'Standards Catalogue'!$F:$F,""),""))),"")</f>
        <v/>
      </c>
      <c r="O452" t="str">
        <f>IF(M452,IF(B452="Fe",_xludf.XLOOKUP(A452,'Standards Catalogue'!$A:$A,'Standards Catalogue'!$C:$C,""),IF(B452="P",_xludf.XLOOKUP(A452,'Standards Catalogue'!$A:$A,'Standards Catalogue'!$E:$E,""),IF(B452="S",_xludf.XLOOKUP(A452,'Standards Catalogue'!$A:$A,'Standards Catalogue'!$G:$G,""),""))),"")</f>
        <v/>
      </c>
      <c r="P452" t="str">
        <f t="shared" si="37"/>
        <v/>
      </c>
      <c r="Q452" t="str">
        <f t="shared" si="38"/>
        <v/>
      </c>
      <c r="R452" t="str">
        <f t="shared" si="39"/>
        <v/>
      </c>
    </row>
    <row r="453" spans="12:18" x14ac:dyDescent="0.25">
      <c r="L453" t="str">
        <f t="shared" si="35"/>
        <v/>
      </c>
      <c r="M453" t="b">
        <f t="shared" si="36"/>
        <v>0</v>
      </c>
      <c r="N453" t="str">
        <f>IF(M453,IF(B453="Fe",_xludf.XLOOKUP(A453,'Standards Catalogue'!$A:$A,'Standards Catalogue'!$B:$B,""),IF(B453="P",_xludf.XLOOKUP(A453,'Standards Catalogue'!$A:$A,'Standards Catalogue'!$D:$D,""),IF(B453="S",_xludf.XLOOKUP(A453,'Standards Catalogue'!$A:$A,'Standards Catalogue'!$F:$F,""),""))),"")</f>
        <v/>
      </c>
      <c r="O453" t="str">
        <f>IF(M453,IF(B453="Fe",_xludf.XLOOKUP(A453,'Standards Catalogue'!$A:$A,'Standards Catalogue'!$C:$C,""),IF(B453="P",_xludf.XLOOKUP(A453,'Standards Catalogue'!$A:$A,'Standards Catalogue'!$E:$E,""),IF(B453="S",_xludf.XLOOKUP(A453,'Standards Catalogue'!$A:$A,'Standards Catalogue'!$G:$G,""),""))),"")</f>
        <v/>
      </c>
      <c r="P453" t="str">
        <f t="shared" si="37"/>
        <v/>
      </c>
      <c r="Q453" t="str">
        <f t="shared" si="38"/>
        <v/>
      </c>
      <c r="R453" t="str">
        <f t="shared" si="39"/>
        <v/>
      </c>
    </row>
    <row r="454" spans="12:18" x14ac:dyDescent="0.25">
      <c r="L454" t="str">
        <f t="shared" si="35"/>
        <v/>
      </c>
      <c r="M454" t="b">
        <f t="shared" si="36"/>
        <v>0</v>
      </c>
      <c r="N454" t="str">
        <f>IF(M454,IF(B454="Fe",_xludf.XLOOKUP(A454,'Standards Catalogue'!$A:$A,'Standards Catalogue'!$B:$B,""),IF(B454="P",_xludf.XLOOKUP(A454,'Standards Catalogue'!$A:$A,'Standards Catalogue'!$D:$D,""),IF(B454="S",_xludf.XLOOKUP(A454,'Standards Catalogue'!$A:$A,'Standards Catalogue'!$F:$F,""),""))),"")</f>
        <v/>
      </c>
      <c r="O454" t="str">
        <f>IF(M454,IF(B454="Fe",_xludf.XLOOKUP(A454,'Standards Catalogue'!$A:$A,'Standards Catalogue'!$C:$C,""),IF(B454="P",_xludf.XLOOKUP(A454,'Standards Catalogue'!$A:$A,'Standards Catalogue'!$E:$E,""),IF(B454="S",_xludf.XLOOKUP(A454,'Standards Catalogue'!$A:$A,'Standards Catalogue'!$G:$G,""),""))),"")</f>
        <v/>
      </c>
      <c r="P454" t="str">
        <f t="shared" si="37"/>
        <v/>
      </c>
      <c r="Q454" t="str">
        <f t="shared" si="38"/>
        <v/>
      </c>
      <c r="R454" t="str">
        <f t="shared" si="39"/>
        <v/>
      </c>
    </row>
    <row r="455" spans="12:18" x14ac:dyDescent="0.25">
      <c r="L455" t="str">
        <f t="shared" si="35"/>
        <v/>
      </c>
      <c r="M455" t="b">
        <f t="shared" si="36"/>
        <v>0</v>
      </c>
      <c r="N455" t="str">
        <f>IF(M455,IF(B455="Fe",_xludf.XLOOKUP(A455,'Standards Catalogue'!$A:$A,'Standards Catalogue'!$B:$B,""),IF(B455="P",_xludf.XLOOKUP(A455,'Standards Catalogue'!$A:$A,'Standards Catalogue'!$D:$D,""),IF(B455="S",_xludf.XLOOKUP(A455,'Standards Catalogue'!$A:$A,'Standards Catalogue'!$F:$F,""),""))),"")</f>
        <v/>
      </c>
      <c r="O455" t="str">
        <f>IF(M455,IF(B455="Fe",_xludf.XLOOKUP(A455,'Standards Catalogue'!$A:$A,'Standards Catalogue'!$C:$C,""),IF(B455="P",_xludf.XLOOKUP(A455,'Standards Catalogue'!$A:$A,'Standards Catalogue'!$E:$E,""),IF(B455="S",_xludf.XLOOKUP(A455,'Standards Catalogue'!$A:$A,'Standards Catalogue'!$G:$G,""),""))),"")</f>
        <v/>
      </c>
      <c r="P455" t="str">
        <f t="shared" si="37"/>
        <v/>
      </c>
      <c r="Q455" t="str">
        <f t="shared" si="38"/>
        <v/>
      </c>
      <c r="R455" t="str">
        <f t="shared" si="39"/>
        <v/>
      </c>
    </row>
    <row r="456" spans="12:18" x14ac:dyDescent="0.25">
      <c r="L456" t="str">
        <f t="shared" si="35"/>
        <v/>
      </c>
      <c r="M456" t="b">
        <f t="shared" si="36"/>
        <v>0</v>
      </c>
      <c r="N456" t="str">
        <f>IF(M456,IF(B456="Fe",_xludf.XLOOKUP(A456,'Standards Catalogue'!$A:$A,'Standards Catalogue'!$B:$B,""),IF(B456="P",_xludf.XLOOKUP(A456,'Standards Catalogue'!$A:$A,'Standards Catalogue'!$D:$D,""),IF(B456="S",_xludf.XLOOKUP(A456,'Standards Catalogue'!$A:$A,'Standards Catalogue'!$F:$F,""),""))),"")</f>
        <v/>
      </c>
      <c r="O456" t="str">
        <f>IF(M456,IF(B456="Fe",_xludf.XLOOKUP(A456,'Standards Catalogue'!$A:$A,'Standards Catalogue'!$C:$C,""),IF(B456="P",_xludf.XLOOKUP(A456,'Standards Catalogue'!$A:$A,'Standards Catalogue'!$E:$E,""),IF(B456="S",_xludf.XLOOKUP(A456,'Standards Catalogue'!$A:$A,'Standards Catalogue'!$G:$G,""),""))),"")</f>
        <v/>
      </c>
      <c r="P456" t="str">
        <f t="shared" si="37"/>
        <v/>
      </c>
      <c r="Q456" t="str">
        <f t="shared" si="38"/>
        <v/>
      </c>
      <c r="R456" t="str">
        <f t="shared" si="39"/>
        <v/>
      </c>
    </row>
    <row r="457" spans="12:18" x14ac:dyDescent="0.25">
      <c r="L457" t="str">
        <f t="shared" si="35"/>
        <v/>
      </c>
      <c r="M457" t="b">
        <f t="shared" si="36"/>
        <v>0</v>
      </c>
      <c r="N457" t="str">
        <f>IF(M457,IF(B457="Fe",_xludf.XLOOKUP(A457,'Standards Catalogue'!$A:$A,'Standards Catalogue'!$B:$B,""),IF(B457="P",_xludf.XLOOKUP(A457,'Standards Catalogue'!$A:$A,'Standards Catalogue'!$D:$D,""),IF(B457="S",_xludf.XLOOKUP(A457,'Standards Catalogue'!$A:$A,'Standards Catalogue'!$F:$F,""),""))),"")</f>
        <v/>
      </c>
      <c r="O457" t="str">
        <f>IF(M457,IF(B457="Fe",_xludf.XLOOKUP(A457,'Standards Catalogue'!$A:$A,'Standards Catalogue'!$C:$C,""),IF(B457="P",_xludf.XLOOKUP(A457,'Standards Catalogue'!$A:$A,'Standards Catalogue'!$E:$E,""),IF(B457="S",_xludf.XLOOKUP(A457,'Standards Catalogue'!$A:$A,'Standards Catalogue'!$G:$G,""),""))),"")</f>
        <v/>
      </c>
      <c r="P457" t="str">
        <f t="shared" si="37"/>
        <v/>
      </c>
      <c r="Q457" t="str">
        <f t="shared" si="38"/>
        <v/>
      </c>
      <c r="R457" t="str">
        <f t="shared" si="39"/>
        <v/>
      </c>
    </row>
    <row r="458" spans="12:18" x14ac:dyDescent="0.25">
      <c r="L458" t="str">
        <f t="shared" si="35"/>
        <v/>
      </c>
      <c r="M458" t="b">
        <f t="shared" si="36"/>
        <v>0</v>
      </c>
      <c r="N458" t="str">
        <f>IF(M458,IF(B458="Fe",_xludf.XLOOKUP(A458,'Standards Catalogue'!$A:$A,'Standards Catalogue'!$B:$B,""),IF(B458="P",_xludf.XLOOKUP(A458,'Standards Catalogue'!$A:$A,'Standards Catalogue'!$D:$D,""),IF(B458="S",_xludf.XLOOKUP(A458,'Standards Catalogue'!$A:$A,'Standards Catalogue'!$F:$F,""),""))),"")</f>
        <v/>
      </c>
      <c r="O458" t="str">
        <f>IF(M458,IF(B458="Fe",_xludf.XLOOKUP(A458,'Standards Catalogue'!$A:$A,'Standards Catalogue'!$C:$C,""),IF(B458="P",_xludf.XLOOKUP(A458,'Standards Catalogue'!$A:$A,'Standards Catalogue'!$E:$E,""),IF(B458="S",_xludf.XLOOKUP(A458,'Standards Catalogue'!$A:$A,'Standards Catalogue'!$G:$G,""),""))),"")</f>
        <v/>
      </c>
      <c r="P458" t="str">
        <f t="shared" si="37"/>
        <v/>
      </c>
      <c r="Q458" t="str">
        <f t="shared" si="38"/>
        <v/>
      </c>
      <c r="R458" t="str">
        <f t="shared" si="39"/>
        <v/>
      </c>
    </row>
    <row r="459" spans="12:18" x14ac:dyDescent="0.25">
      <c r="L459" t="str">
        <f t="shared" si="35"/>
        <v/>
      </c>
      <c r="M459" t="b">
        <f t="shared" si="36"/>
        <v>0</v>
      </c>
      <c r="N459" t="str">
        <f>IF(M459,IF(B459="Fe",_xludf.XLOOKUP(A459,'Standards Catalogue'!$A:$A,'Standards Catalogue'!$B:$B,""),IF(B459="P",_xludf.XLOOKUP(A459,'Standards Catalogue'!$A:$A,'Standards Catalogue'!$D:$D,""),IF(B459="S",_xludf.XLOOKUP(A459,'Standards Catalogue'!$A:$A,'Standards Catalogue'!$F:$F,""),""))),"")</f>
        <v/>
      </c>
      <c r="O459" t="str">
        <f>IF(M459,IF(B459="Fe",_xludf.XLOOKUP(A459,'Standards Catalogue'!$A:$A,'Standards Catalogue'!$C:$C,""),IF(B459="P",_xludf.XLOOKUP(A459,'Standards Catalogue'!$A:$A,'Standards Catalogue'!$E:$E,""),IF(B459="S",_xludf.XLOOKUP(A459,'Standards Catalogue'!$A:$A,'Standards Catalogue'!$G:$G,""),""))),"")</f>
        <v/>
      </c>
      <c r="P459" t="str">
        <f t="shared" si="37"/>
        <v/>
      </c>
      <c r="Q459" t="str">
        <f t="shared" si="38"/>
        <v/>
      </c>
      <c r="R459" t="str">
        <f t="shared" si="39"/>
        <v/>
      </c>
    </row>
    <row r="460" spans="12:18" x14ac:dyDescent="0.25">
      <c r="L460" t="str">
        <f t="shared" si="35"/>
        <v/>
      </c>
      <c r="M460" t="b">
        <f t="shared" si="36"/>
        <v>0</v>
      </c>
      <c r="N460" t="str">
        <f>IF(M460,IF(B460="Fe",_xludf.XLOOKUP(A460,'Standards Catalogue'!$A:$A,'Standards Catalogue'!$B:$B,""),IF(B460="P",_xludf.XLOOKUP(A460,'Standards Catalogue'!$A:$A,'Standards Catalogue'!$D:$D,""),IF(B460="S",_xludf.XLOOKUP(A460,'Standards Catalogue'!$A:$A,'Standards Catalogue'!$F:$F,""),""))),"")</f>
        <v/>
      </c>
      <c r="O460" t="str">
        <f>IF(M460,IF(B460="Fe",_xludf.XLOOKUP(A460,'Standards Catalogue'!$A:$A,'Standards Catalogue'!$C:$C,""),IF(B460="P",_xludf.XLOOKUP(A460,'Standards Catalogue'!$A:$A,'Standards Catalogue'!$E:$E,""),IF(B460="S",_xludf.XLOOKUP(A460,'Standards Catalogue'!$A:$A,'Standards Catalogue'!$G:$G,""),""))),"")</f>
        <v/>
      </c>
      <c r="P460" t="str">
        <f t="shared" si="37"/>
        <v/>
      </c>
      <c r="Q460" t="str">
        <f t="shared" si="38"/>
        <v/>
      </c>
      <c r="R460" t="str">
        <f t="shared" si="39"/>
        <v/>
      </c>
    </row>
    <row r="461" spans="12:18" x14ac:dyDescent="0.25">
      <c r="L461" t="str">
        <f t="shared" si="35"/>
        <v/>
      </c>
      <c r="M461" t="b">
        <f t="shared" si="36"/>
        <v>0</v>
      </c>
      <c r="N461" t="str">
        <f>IF(M461,IF(B461="Fe",_xludf.XLOOKUP(A461,'Standards Catalogue'!$A:$A,'Standards Catalogue'!$B:$B,""),IF(B461="P",_xludf.XLOOKUP(A461,'Standards Catalogue'!$A:$A,'Standards Catalogue'!$D:$D,""),IF(B461="S",_xludf.XLOOKUP(A461,'Standards Catalogue'!$A:$A,'Standards Catalogue'!$F:$F,""),""))),"")</f>
        <v/>
      </c>
      <c r="O461" t="str">
        <f>IF(M461,IF(B461="Fe",_xludf.XLOOKUP(A461,'Standards Catalogue'!$A:$A,'Standards Catalogue'!$C:$C,""),IF(B461="P",_xludf.XLOOKUP(A461,'Standards Catalogue'!$A:$A,'Standards Catalogue'!$E:$E,""),IF(B461="S",_xludf.XLOOKUP(A461,'Standards Catalogue'!$A:$A,'Standards Catalogue'!$G:$G,""),""))),"")</f>
        <v/>
      </c>
      <c r="P461" t="str">
        <f t="shared" si="37"/>
        <v/>
      </c>
      <c r="Q461" t="str">
        <f t="shared" si="38"/>
        <v/>
      </c>
      <c r="R461" t="str">
        <f t="shared" si="39"/>
        <v/>
      </c>
    </row>
    <row r="462" spans="12:18" x14ac:dyDescent="0.25">
      <c r="L462" t="str">
        <f t="shared" si="35"/>
        <v/>
      </c>
      <c r="M462" t="b">
        <f t="shared" si="36"/>
        <v>0</v>
      </c>
      <c r="N462" t="str">
        <f>IF(M462,IF(B462="Fe",_xludf.XLOOKUP(A462,'Standards Catalogue'!$A:$A,'Standards Catalogue'!$B:$B,""),IF(B462="P",_xludf.XLOOKUP(A462,'Standards Catalogue'!$A:$A,'Standards Catalogue'!$D:$D,""),IF(B462="S",_xludf.XLOOKUP(A462,'Standards Catalogue'!$A:$A,'Standards Catalogue'!$F:$F,""),""))),"")</f>
        <v/>
      </c>
      <c r="O462" t="str">
        <f>IF(M462,IF(B462="Fe",_xludf.XLOOKUP(A462,'Standards Catalogue'!$A:$A,'Standards Catalogue'!$C:$C,""),IF(B462="P",_xludf.XLOOKUP(A462,'Standards Catalogue'!$A:$A,'Standards Catalogue'!$E:$E,""),IF(B462="S",_xludf.XLOOKUP(A462,'Standards Catalogue'!$A:$A,'Standards Catalogue'!$G:$G,""),""))),"")</f>
        <v/>
      </c>
      <c r="P462" t="str">
        <f t="shared" si="37"/>
        <v/>
      </c>
      <c r="Q462" t="str">
        <f t="shared" si="38"/>
        <v/>
      </c>
      <c r="R462" t="str">
        <f t="shared" si="39"/>
        <v/>
      </c>
    </row>
    <row r="463" spans="12:18" x14ac:dyDescent="0.25">
      <c r="L463" t="str">
        <f t="shared" si="35"/>
        <v/>
      </c>
      <c r="M463" t="b">
        <f t="shared" si="36"/>
        <v>0</v>
      </c>
      <c r="N463" t="str">
        <f>IF(M463,IF(B463="Fe",_xludf.XLOOKUP(A463,'Standards Catalogue'!$A:$A,'Standards Catalogue'!$B:$B,""),IF(B463="P",_xludf.XLOOKUP(A463,'Standards Catalogue'!$A:$A,'Standards Catalogue'!$D:$D,""),IF(B463="S",_xludf.XLOOKUP(A463,'Standards Catalogue'!$A:$A,'Standards Catalogue'!$F:$F,""),""))),"")</f>
        <v/>
      </c>
      <c r="O463" t="str">
        <f>IF(M463,IF(B463="Fe",_xludf.XLOOKUP(A463,'Standards Catalogue'!$A:$A,'Standards Catalogue'!$C:$C,""),IF(B463="P",_xludf.XLOOKUP(A463,'Standards Catalogue'!$A:$A,'Standards Catalogue'!$E:$E,""),IF(B463="S",_xludf.XLOOKUP(A463,'Standards Catalogue'!$A:$A,'Standards Catalogue'!$G:$G,""),""))),"")</f>
        <v/>
      </c>
      <c r="P463" t="str">
        <f t="shared" si="37"/>
        <v/>
      </c>
      <c r="Q463" t="str">
        <f t="shared" si="38"/>
        <v/>
      </c>
      <c r="R463" t="str">
        <f t="shared" si="39"/>
        <v/>
      </c>
    </row>
    <row r="464" spans="12:18" x14ac:dyDescent="0.25">
      <c r="L464" t="str">
        <f t="shared" si="35"/>
        <v/>
      </c>
      <c r="M464" t="b">
        <f t="shared" si="36"/>
        <v>0</v>
      </c>
      <c r="N464" t="str">
        <f>IF(M464,IF(B464="Fe",_xludf.XLOOKUP(A464,'Standards Catalogue'!$A:$A,'Standards Catalogue'!$B:$B,""),IF(B464="P",_xludf.XLOOKUP(A464,'Standards Catalogue'!$A:$A,'Standards Catalogue'!$D:$D,""),IF(B464="S",_xludf.XLOOKUP(A464,'Standards Catalogue'!$A:$A,'Standards Catalogue'!$F:$F,""),""))),"")</f>
        <v/>
      </c>
      <c r="O464" t="str">
        <f>IF(M464,IF(B464="Fe",_xludf.XLOOKUP(A464,'Standards Catalogue'!$A:$A,'Standards Catalogue'!$C:$C,""),IF(B464="P",_xludf.XLOOKUP(A464,'Standards Catalogue'!$A:$A,'Standards Catalogue'!$E:$E,""),IF(B464="S",_xludf.XLOOKUP(A464,'Standards Catalogue'!$A:$A,'Standards Catalogue'!$G:$G,""),""))),"")</f>
        <v/>
      </c>
      <c r="P464" t="str">
        <f t="shared" si="37"/>
        <v/>
      </c>
      <c r="Q464" t="str">
        <f t="shared" si="38"/>
        <v/>
      </c>
      <c r="R464" t="str">
        <f t="shared" si="39"/>
        <v/>
      </c>
    </row>
    <row r="465" spans="12:18" x14ac:dyDescent="0.25">
      <c r="L465" t="str">
        <f t="shared" si="35"/>
        <v/>
      </c>
      <c r="M465" t="b">
        <f t="shared" si="36"/>
        <v>0</v>
      </c>
      <c r="N465" t="str">
        <f>IF(M465,IF(B465="Fe",_xludf.XLOOKUP(A465,'Standards Catalogue'!$A:$A,'Standards Catalogue'!$B:$B,""),IF(B465="P",_xludf.XLOOKUP(A465,'Standards Catalogue'!$A:$A,'Standards Catalogue'!$D:$D,""),IF(B465="S",_xludf.XLOOKUP(A465,'Standards Catalogue'!$A:$A,'Standards Catalogue'!$F:$F,""),""))),"")</f>
        <v/>
      </c>
      <c r="O465" t="str">
        <f>IF(M465,IF(B465="Fe",_xludf.XLOOKUP(A465,'Standards Catalogue'!$A:$A,'Standards Catalogue'!$C:$C,""),IF(B465="P",_xludf.XLOOKUP(A465,'Standards Catalogue'!$A:$A,'Standards Catalogue'!$E:$E,""),IF(B465="S",_xludf.XLOOKUP(A465,'Standards Catalogue'!$A:$A,'Standards Catalogue'!$G:$G,""),""))),"")</f>
        <v/>
      </c>
      <c r="P465" t="str">
        <f t="shared" si="37"/>
        <v/>
      </c>
      <c r="Q465" t="str">
        <f t="shared" si="38"/>
        <v/>
      </c>
      <c r="R465" t="str">
        <f t="shared" si="39"/>
        <v/>
      </c>
    </row>
    <row r="466" spans="12:18" x14ac:dyDescent="0.25">
      <c r="L466" t="str">
        <f t="shared" si="35"/>
        <v/>
      </c>
      <c r="M466" t="b">
        <f t="shared" si="36"/>
        <v>0</v>
      </c>
      <c r="N466" t="str">
        <f>IF(M466,IF(B466="Fe",_xludf.XLOOKUP(A466,'Standards Catalogue'!$A:$A,'Standards Catalogue'!$B:$B,""),IF(B466="P",_xludf.XLOOKUP(A466,'Standards Catalogue'!$A:$A,'Standards Catalogue'!$D:$D,""),IF(B466="S",_xludf.XLOOKUP(A466,'Standards Catalogue'!$A:$A,'Standards Catalogue'!$F:$F,""),""))),"")</f>
        <v/>
      </c>
      <c r="O466" t="str">
        <f>IF(M466,IF(B466="Fe",_xludf.XLOOKUP(A466,'Standards Catalogue'!$A:$A,'Standards Catalogue'!$C:$C,""),IF(B466="P",_xludf.XLOOKUP(A466,'Standards Catalogue'!$A:$A,'Standards Catalogue'!$E:$E,""),IF(B466="S",_xludf.XLOOKUP(A466,'Standards Catalogue'!$A:$A,'Standards Catalogue'!$G:$G,""),""))),"")</f>
        <v/>
      </c>
      <c r="P466" t="str">
        <f t="shared" si="37"/>
        <v/>
      </c>
      <c r="Q466" t="str">
        <f t="shared" si="38"/>
        <v/>
      </c>
      <c r="R466" t="str">
        <f t="shared" si="39"/>
        <v/>
      </c>
    </row>
    <row r="467" spans="12:18" x14ac:dyDescent="0.25">
      <c r="L467" t="str">
        <f t="shared" si="35"/>
        <v/>
      </c>
      <c r="M467" t="b">
        <f t="shared" si="36"/>
        <v>0</v>
      </c>
      <c r="N467" t="str">
        <f>IF(M467,IF(B467="Fe",_xludf.XLOOKUP(A467,'Standards Catalogue'!$A:$A,'Standards Catalogue'!$B:$B,""),IF(B467="P",_xludf.XLOOKUP(A467,'Standards Catalogue'!$A:$A,'Standards Catalogue'!$D:$D,""),IF(B467="S",_xludf.XLOOKUP(A467,'Standards Catalogue'!$A:$A,'Standards Catalogue'!$F:$F,""),""))),"")</f>
        <v/>
      </c>
      <c r="O467" t="str">
        <f>IF(M467,IF(B467="Fe",_xludf.XLOOKUP(A467,'Standards Catalogue'!$A:$A,'Standards Catalogue'!$C:$C,""),IF(B467="P",_xludf.XLOOKUP(A467,'Standards Catalogue'!$A:$A,'Standards Catalogue'!$E:$E,""),IF(B467="S",_xludf.XLOOKUP(A467,'Standards Catalogue'!$A:$A,'Standards Catalogue'!$G:$G,""),""))),"")</f>
        <v/>
      </c>
      <c r="P467" t="str">
        <f t="shared" si="37"/>
        <v/>
      </c>
      <c r="Q467" t="str">
        <f t="shared" si="38"/>
        <v/>
      </c>
      <c r="R467" t="str">
        <f t="shared" si="39"/>
        <v/>
      </c>
    </row>
    <row r="468" spans="12:18" x14ac:dyDescent="0.25">
      <c r="L468" t="str">
        <f t="shared" si="35"/>
        <v/>
      </c>
      <c r="M468" t="b">
        <f t="shared" si="36"/>
        <v>0</v>
      </c>
      <c r="N468" t="str">
        <f>IF(M468,IF(B468="Fe",_xludf.XLOOKUP(A468,'Standards Catalogue'!$A:$A,'Standards Catalogue'!$B:$B,""),IF(B468="P",_xludf.XLOOKUP(A468,'Standards Catalogue'!$A:$A,'Standards Catalogue'!$D:$D,""),IF(B468="S",_xludf.XLOOKUP(A468,'Standards Catalogue'!$A:$A,'Standards Catalogue'!$F:$F,""),""))),"")</f>
        <v/>
      </c>
      <c r="O468" t="str">
        <f>IF(M468,IF(B468="Fe",_xludf.XLOOKUP(A468,'Standards Catalogue'!$A:$A,'Standards Catalogue'!$C:$C,""),IF(B468="P",_xludf.XLOOKUP(A468,'Standards Catalogue'!$A:$A,'Standards Catalogue'!$E:$E,""),IF(B468="S",_xludf.XLOOKUP(A468,'Standards Catalogue'!$A:$A,'Standards Catalogue'!$G:$G,""),""))),"")</f>
        <v/>
      </c>
      <c r="P468" t="str">
        <f t="shared" si="37"/>
        <v/>
      </c>
      <c r="Q468" t="str">
        <f t="shared" si="38"/>
        <v/>
      </c>
      <c r="R468" t="str">
        <f t="shared" si="39"/>
        <v/>
      </c>
    </row>
    <row r="469" spans="12:18" x14ac:dyDescent="0.25">
      <c r="L469" t="str">
        <f t="shared" si="35"/>
        <v/>
      </c>
      <c r="M469" t="b">
        <f t="shared" si="36"/>
        <v>0</v>
      </c>
      <c r="N469" t="str">
        <f>IF(M469,IF(B469="Fe",_xludf.XLOOKUP(A469,'Standards Catalogue'!$A:$A,'Standards Catalogue'!$B:$B,""),IF(B469="P",_xludf.XLOOKUP(A469,'Standards Catalogue'!$A:$A,'Standards Catalogue'!$D:$D,""),IF(B469="S",_xludf.XLOOKUP(A469,'Standards Catalogue'!$A:$A,'Standards Catalogue'!$F:$F,""),""))),"")</f>
        <v/>
      </c>
      <c r="O469" t="str">
        <f>IF(M469,IF(B469="Fe",_xludf.XLOOKUP(A469,'Standards Catalogue'!$A:$A,'Standards Catalogue'!$C:$C,""),IF(B469="P",_xludf.XLOOKUP(A469,'Standards Catalogue'!$A:$A,'Standards Catalogue'!$E:$E,""),IF(B469="S",_xludf.XLOOKUP(A469,'Standards Catalogue'!$A:$A,'Standards Catalogue'!$G:$G,""),""))),"")</f>
        <v/>
      </c>
      <c r="P469" t="str">
        <f t="shared" si="37"/>
        <v/>
      </c>
      <c r="Q469" t="str">
        <f t="shared" si="38"/>
        <v/>
      </c>
      <c r="R469" t="str">
        <f t="shared" si="39"/>
        <v/>
      </c>
    </row>
    <row r="470" spans="12:18" x14ac:dyDescent="0.25">
      <c r="L470" t="str">
        <f t="shared" si="35"/>
        <v/>
      </c>
      <c r="M470" t="b">
        <f t="shared" si="36"/>
        <v>0</v>
      </c>
      <c r="N470" t="str">
        <f>IF(M470,IF(B470="Fe",_xludf.XLOOKUP(A470,'Standards Catalogue'!$A:$A,'Standards Catalogue'!$B:$B,""),IF(B470="P",_xludf.XLOOKUP(A470,'Standards Catalogue'!$A:$A,'Standards Catalogue'!$D:$D,""),IF(B470="S",_xludf.XLOOKUP(A470,'Standards Catalogue'!$A:$A,'Standards Catalogue'!$F:$F,""),""))),"")</f>
        <v/>
      </c>
      <c r="O470" t="str">
        <f>IF(M470,IF(B470="Fe",_xludf.XLOOKUP(A470,'Standards Catalogue'!$A:$A,'Standards Catalogue'!$C:$C,""),IF(B470="P",_xludf.XLOOKUP(A470,'Standards Catalogue'!$A:$A,'Standards Catalogue'!$E:$E,""),IF(B470="S",_xludf.XLOOKUP(A470,'Standards Catalogue'!$A:$A,'Standards Catalogue'!$G:$G,""),""))),"")</f>
        <v/>
      </c>
      <c r="P470" t="str">
        <f t="shared" si="37"/>
        <v/>
      </c>
      <c r="Q470" t="str">
        <f t="shared" si="38"/>
        <v/>
      </c>
      <c r="R470" t="str">
        <f t="shared" si="39"/>
        <v/>
      </c>
    </row>
    <row r="471" spans="12:18" x14ac:dyDescent="0.25">
      <c r="L471" t="str">
        <f t="shared" si="35"/>
        <v/>
      </c>
      <c r="M471" t="b">
        <f t="shared" si="36"/>
        <v>0</v>
      </c>
      <c r="N471" t="str">
        <f>IF(M471,IF(B471="Fe",_xludf.XLOOKUP(A471,'Standards Catalogue'!$A:$A,'Standards Catalogue'!$B:$B,""),IF(B471="P",_xludf.XLOOKUP(A471,'Standards Catalogue'!$A:$A,'Standards Catalogue'!$D:$D,""),IF(B471="S",_xludf.XLOOKUP(A471,'Standards Catalogue'!$A:$A,'Standards Catalogue'!$F:$F,""),""))),"")</f>
        <v/>
      </c>
      <c r="O471" t="str">
        <f>IF(M471,IF(B471="Fe",_xludf.XLOOKUP(A471,'Standards Catalogue'!$A:$A,'Standards Catalogue'!$C:$C,""),IF(B471="P",_xludf.XLOOKUP(A471,'Standards Catalogue'!$A:$A,'Standards Catalogue'!$E:$E,""),IF(B471="S",_xludf.XLOOKUP(A471,'Standards Catalogue'!$A:$A,'Standards Catalogue'!$G:$G,""),""))),"")</f>
        <v/>
      </c>
      <c r="P471" t="str">
        <f t="shared" si="37"/>
        <v/>
      </c>
      <c r="Q471" t="str">
        <f t="shared" si="38"/>
        <v/>
      </c>
      <c r="R471" t="str">
        <f t="shared" si="39"/>
        <v/>
      </c>
    </row>
    <row r="472" spans="12:18" x14ac:dyDescent="0.25">
      <c r="L472" t="str">
        <f t="shared" si="35"/>
        <v/>
      </c>
      <c r="M472" t="b">
        <f t="shared" si="36"/>
        <v>0</v>
      </c>
      <c r="N472" t="str">
        <f>IF(M472,IF(B472="Fe",_xludf.XLOOKUP(A472,'Standards Catalogue'!$A:$A,'Standards Catalogue'!$B:$B,""),IF(B472="P",_xludf.XLOOKUP(A472,'Standards Catalogue'!$A:$A,'Standards Catalogue'!$D:$D,""),IF(B472="S",_xludf.XLOOKUP(A472,'Standards Catalogue'!$A:$A,'Standards Catalogue'!$F:$F,""),""))),"")</f>
        <v/>
      </c>
      <c r="O472" t="str">
        <f>IF(M472,IF(B472="Fe",_xludf.XLOOKUP(A472,'Standards Catalogue'!$A:$A,'Standards Catalogue'!$C:$C,""),IF(B472="P",_xludf.XLOOKUP(A472,'Standards Catalogue'!$A:$A,'Standards Catalogue'!$E:$E,""),IF(B472="S",_xludf.XLOOKUP(A472,'Standards Catalogue'!$A:$A,'Standards Catalogue'!$G:$G,""),""))),"")</f>
        <v/>
      </c>
      <c r="P472" t="str">
        <f t="shared" si="37"/>
        <v/>
      </c>
      <c r="Q472" t="str">
        <f t="shared" si="38"/>
        <v/>
      </c>
      <c r="R472" t="str">
        <f t="shared" si="39"/>
        <v/>
      </c>
    </row>
    <row r="473" spans="12:18" x14ac:dyDescent="0.25">
      <c r="L473" t="str">
        <f t="shared" si="35"/>
        <v/>
      </c>
      <c r="M473" t="b">
        <f t="shared" si="36"/>
        <v>0</v>
      </c>
      <c r="N473" t="str">
        <f>IF(M473,IF(B473="Fe",_xludf.XLOOKUP(A473,'Standards Catalogue'!$A:$A,'Standards Catalogue'!$B:$B,""),IF(B473="P",_xludf.XLOOKUP(A473,'Standards Catalogue'!$A:$A,'Standards Catalogue'!$D:$D,""),IF(B473="S",_xludf.XLOOKUP(A473,'Standards Catalogue'!$A:$A,'Standards Catalogue'!$F:$F,""),""))),"")</f>
        <v/>
      </c>
      <c r="O473" t="str">
        <f>IF(M473,IF(B473="Fe",_xludf.XLOOKUP(A473,'Standards Catalogue'!$A:$A,'Standards Catalogue'!$C:$C,""),IF(B473="P",_xludf.XLOOKUP(A473,'Standards Catalogue'!$A:$A,'Standards Catalogue'!$E:$E,""),IF(B473="S",_xludf.XLOOKUP(A473,'Standards Catalogue'!$A:$A,'Standards Catalogue'!$G:$G,""),""))),"")</f>
        <v/>
      </c>
      <c r="P473" t="str">
        <f t="shared" si="37"/>
        <v/>
      </c>
      <c r="Q473" t="str">
        <f t="shared" si="38"/>
        <v/>
      </c>
      <c r="R473" t="str">
        <f t="shared" si="39"/>
        <v/>
      </c>
    </row>
    <row r="474" spans="12:18" x14ac:dyDescent="0.25">
      <c r="L474" t="str">
        <f t="shared" si="35"/>
        <v/>
      </c>
      <c r="M474" t="b">
        <f t="shared" si="36"/>
        <v>0</v>
      </c>
      <c r="N474" t="str">
        <f>IF(M474,IF(B474="Fe",_xludf.XLOOKUP(A474,'Standards Catalogue'!$A:$A,'Standards Catalogue'!$B:$B,""),IF(B474="P",_xludf.XLOOKUP(A474,'Standards Catalogue'!$A:$A,'Standards Catalogue'!$D:$D,""),IF(B474="S",_xludf.XLOOKUP(A474,'Standards Catalogue'!$A:$A,'Standards Catalogue'!$F:$F,""),""))),"")</f>
        <v/>
      </c>
      <c r="O474" t="str">
        <f>IF(M474,IF(B474="Fe",_xludf.XLOOKUP(A474,'Standards Catalogue'!$A:$A,'Standards Catalogue'!$C:$C,""),IF(B474="P",_xludf.XLOOKUP(A474,'Standards Catalogue'!$A:$A,'Standards Catalogue'!$E:$E,""),IF(B474="S",_xludf.XLOOKUP(A474,'Standards Catalogue'!$A:$A,'Standards Catalogue'!$G:$G,""),""))),"")</f>
        <v/>
      </c>
      <c r="P474" t="str">
        <f t="shared" si="37"/>
        <v/>
      </c>
      <c r="Q474" t="str">
        <f t="shared" si="38"/>
        <v/>
      </c>
      <c r="R474" t="str">
        <f t="shared" si="39"/>
        <v/>
      </c>
    </row>
    <row r="475" spans="12:18" x14ac:dyDescent="0.25">
      <c r="L475" t="str">
        <f t="shared" si="35"/>
        <v/>
      </c>
      <c r="M475" t="b">
        <f t="shared" si="36"/>
        <v>0</v>
      </c>
      <c r="N475" t="str">
        <f>IF(M475,IF(B475="Fe",_xludf.XLOOKUP(A475,'Standards Catalogue'!$A:$A,'Standards Catalogue'!$B:$B,""),IF(B475="P",_xludf.XLOOKUP(A475,'Standards Catalogue'!$A:$A,'Standards Catalogue'!$D:$D,""),IF(B475="S",_xludf.XLOOKUP(A475,'Standards Catalogue'!$A:$A,'Standards Catalogue'!$F:$F,""),""))),"")</f>
        <v/>
      </c>
      <c r="O475" t="str">
        <f>IF(M475,IF(B475="Fe",_xludf.XLOOKUP(A475,'Standards Catalogue'!$A:$A,'Standards Catalogue'!$C:$C,""),IF(B475="P",_xludf.XLOOKUP(A475,'Standards Catalogue'!$A:$A,'Standards Catalogue'!$E:$E,""),IF(B475="S",_xludf.XLOOKUP(A475,'Standards Catalogue'!$A:$A,'Standards Catalogue'!$G:$G,""),""))),"")</f>
        <v/>
      </c>
      <c r="P475" t="str">
        <f t="shared" si="37"/>
        <v/>
      </c>
      <c r="Q475" t="str">
        <f t="shared" si="38"/>
        <v/>
      </c>
      <c r="R475" t="str">
        <f t="shared" si="39"/>
        <v/>
      </c>
    </row>
    <row r="476" spans="12:18" x14ac:dyDescent="0.25">
      <c r="L476" t="str">
        <f t="shared" si="35"/>
        <v/>
      </c>
      <c r="M476" t="b">
        <f t="shared" si="36"/>
        <v>0</v>
      </c>
      <c r="N476" t="str">
        <f>IF(M476,IF(B476="Fe",_xludf.XLOOKUP(A476,'Standards Catalogue'!$A:$A,'Standards Catalogue'!$B:$B,""),IF(B476="P",_xludf.XLOOKUP(A476,'Standards Catalogue'!$A:$A,'Standards Catalogue'!$D:$D,""),IF(B476="S",_xludf.XLOOKUP(A476,'Standards Catalogue'!$A:$A,'Standards Catalogue'!$F:$F,""),""))),"")</f>
        <v/>
      </c>
      <c r="O476" t="str">
        <f>IF(M476,IF(B476="Fe",_xludf.XLOOKUP(A476,'Standards Catalogue'!$A:$A,'Standards Catalogue'!$C:$C,""),IF(B476="P",_xludf.XLOOKUP(A476,'Standards Catalogue'!$A:$A,'Standards Catalogue'!$E:$E,""),IF(B476="S",_xludf.XLOOKUP(A476,'Standards Catalogue'!$A:$A,'Standards Catalogue'!$G:$G,""),""))),"")</f>
        <v/>
      </c>
      <c r="P476" t="str">
        <f t="shared" si="37"/>
        <v/>
      </c>
      <c r="Q476" t="str">
        <f t="shared" si="38"/>
        <v/>
      </c>
      <c r="R476" t="str">
        <f t="shared" si="39"/>
        <v/>
      </c>
    </row>
    <row r="477" spans="12:18" x14ac:dyDescent="0.25">
      <c r="L477" t="str">
        <f t="shared" si="35"/>
        <v/>
      </c>
      <c r="M477" t="b">
        <f t="shared" si="36"/>
        <v>0</v>
      </c>
      <c r="N477" t="str">
        <f>IF(M477,IF(B477="Fe",_xludf.XLOOKUP(A477,'Standards Catalogue'!$A:$A,'Standards Catalogue'!$B:$B,""),IF(B477="P",_xludf.XLOOKUP(A477,'Standards Catalogue'!$A:$A,'Standards Catalogue'!$D:$D,""),IF(B477="S",_xludf.XLOOKUP(A477,'Standards Catalogue'!$A:$A,'Standards Catalogue'!$F:$F,""),""))),"")</f>
        <v/>
      </c>
      <c r="O477" t="str">
        <f>IF(M477,IF(B477="Fe",_xludf.XLOOKUP(A477,'Standards Catalogue'!$A:$A,'Standards Catalogue'!$C:$C,""),IF(B477="P",_xludf.XLOOKUP(A477,'Standards Catalogue'!$A:$A,'Standards Catalogue'!$E:$E,""),IF(B477="S",_xludf.XLOOKUP(A477,'Standards Catalogue'!$A:$A,'Standards Catalogue'!$G:$G,""),""))),"")</f>
        <v/>
      </c>
      <c r="P477" t="str">
        <f t="shared" si="37"/>
        <v/>
      </c>
      <c r="Q477" t="str">
        <f t="shared" si="38"/>
        <v/>
      </c>
      <c r="R477" t="str">
        <f t="shared" si="39"/>
        <v/>
      </c>
    </row>
    <row r="478" spans="12:18" x14ac:dyDescent="0.25">
      <c r="L478" t="str">
        <f t="shared" si="35"/>
        <v/>
      </c>
      <c r="M478" t="b">
        <f t="shared" si="36"/>
        <v>0</v>
      </c>
      <c r="N478" t="str">
        <f>IF(M478,IF(B478="Fe",_xludf.XLOOKUP(A478,'Standards Catalogue'!$A:$A,'Standards Catalogue'!$B:$B,""),IF(B478="P",_xludf.XLOOKUP(A478,'Standards Catalogue'!$A:$A,'Standards Catalogue'!$D:$D,""),IF(B478="S",_xludf.XLOOKUP(A478,'Standards Catalogue'!$A:$A,'Standards Catalogue'!$F:$F,""),""))),"")</f>
        <v/>
      </c>
      <c r="O478" t="str">
        <f>IF(M478,IF(B478="Fe",_xludf.XLOOKUP(A478,'Standards Catalogue'!$A:$A,'Standards Catalogue'!$C:$C,""),IF(B478="P",_xludf.XLOOKUP(A478,'Standards Catalogue'!$A:$A,'Standards Catalogue'!$E:$E,""),IF(B478="S",_xludf.XLOOKUP(A478,'Standards Catalogue'!$A:$A,'Standards Catalogue'!$G:$G,""),""))),"")</f>
        <v/>
      </c>
      <c r="P478" t="str">
        <f t="shared" si="37"/>
        <v/>
      </c>
      <c r="Q478" t="str">
        <f t="shared" si="38"/>
        <v/>
      </c>
      <c r="R478" t="str">
        <f t="shared" si="39"/>
        <v/>
      </c>
    </row>
    <row r="479" spans="12:18" x14ac:dyDescent="0.25">
      <c r="L479" t="str">
        <f t="shared" si="35"/>
        <v/>
      </c>
      <c r="M479" t="b">
        <f t="shared" si="36"/>
        <v>0</v>
      </c>
      <c r="N479" t="str">
        <f>IF(M479,IF(B479="Fe",_xludf.XLOOKUP(A479,'Standards Catalogue'!$A:$A,'Standards Catalogue'!$B:$B,""),IF(B479="P",_xludf.XLOOKUP(A479,'Standards Catalogue'!$A:$A,'Standards Catalogue'!$D:$D,""),IF(B479="S",_xludf.XLOOKUP(A479,'Standards Catalogue'!$A:$A,'Standards Catalogue'!$F:$F,""),""))),"")</f>
        <v/>
      </c>
      <c r="O479" t="str">
        <f>IF(M479,IF(B479="Fe",_xludf.XLOOKUP(A479,'Standards Catalogue'!$A:$A,'Standards Catalogue'!$C:$C,""),IF(B479="P",_xludf.XLOOKUP(A479,'Standards Catalogue'!$A:$A,'Standards Catalogue'!$E:$E,""),IF(B479="S",_xludf.XLOOKUP(A479,'Standards Catalogue'!$A:$A,'Standards Catalogue'!$G:$G,""),""))),"")</f>
        <v/>
      </c>
      <c r="P479" t="str">
        <f t="shared" si="37"/>
        <v/>
      </c>
      <c r="Q479" t="str">
        <f t="shared" si="38"/>
        <v/>
      </c>
      <c r="R479" t="str">
        <f t="shared" si="39"/>
        <v/>
      </c>
    </row>
    <row r="480" spans="12:18" x14ac:dyDescent="0.25">
      <c r="L480" t="str">
        <f t="shared" si="35"/>
        <v/>
      </c>
      <c r="M480" t="b">
        <f t="shared" si="36"/>
        <v>0</v>
      </c>
      <c r="N480" t="str">
        <f>IF(M480,IF(B480="Fe",_xludf.XLOOKUP(A480,'Standards Catalogue'!$A:$A,'Standards Catalogue'!$B:$B,""),IF(B480="P",_xludf.XLOOKUP(A480,'Standards Catalogue'!$A:$A,'Standards Catalogue'!$D:$D,""),IF(B480="S",_xludf.XLOOKUP(A480,'Standards Catalogue'!$A:$A,'Standards Catalogue'!$F:$F,""),""))),"")</f>
        <v/>
      </c>
      <c r="O480" t="str">
        <f>IF(M480,IF(B480="Fe",_xludf.XLOOKUP(A480,'Standards Catalogue'!$A:$A,'Standards Catalogue'!$C:$C,""),IF(B480="P",_xludf.XLOOKUP(A480,'Standards Catalogue'!$A:$A,'Standards Catalogue'!$E:$E,""),IF(B480="S",_xludf.XLOOKUP(A480,'Standards Catalogue'!$A:$A,'Standards Catalogue'!$G:$G,""),""))),"")</f>
        <v/>
      </c>
      <c r="P480" t="str">
        <f t="shared" si="37"/>
        <v/>
      </c>
      <c r="Q480" t="str">
        <f t="shared" si="38"/>
        <v/>
      </c>
      <c r="R480" t="str">
        <f t="shared" si="39"/>
        <v/>
      </c>
    </row>
    <row r="481" spans="12:18" x14ac:dyDescent="0.25">
      <c r="L481" t="str">
        <f t="shared" si="35"/>
        <v/>
      </c>
      <c r="M481" t="b">
        <f t="shared" si="36"/>
        <v>0</v>
      </c>
      <c r="N481" t="str">
        <f>IF(M481,IF(B481="Fe",_xludf.XLOOKUP(A481,'Standards Catalogue'!$A:$A,'Standards Catalogue'!$B:$B,""),IF(B481="P",_xludf.XLOOKUP(A481,'Standards Catalogue'!$A:$A,'Standards Catalogue'!$D:$D,""),IF(B481="S",_xludf.XLOOKUP(A481,'Standards Catalogue'!$A:$A,'Standards Catalogue'!$F:$F,""),""))),"")</f>
        <v/>
      </c>
      <c r="O481" t="str">
        <f>IF(M481,IF(B481="Fe",_xludf.XLOOKUP(A481,'Standards Catalogue'!$A:$A,'Standards Catalogue'!$C:$C,""),IF(B481="P",_xludf.XLOOKUP(A481,'Standards Catalogue'!$A:$A,'Standards Catalogue'!$E:$E,""),IF(B481="S",_xludf.XLOOKUP(A481,'Standards Catalogue'!$A:$A,'Standards Catalogue'!$G:$G,""),""))),"")</f>
        <v/>
      </c>
      <c r="P481" t="str">
        <f t="shared" si="37"/>
        <v/>
      </c>
      <c r="Q481" t="str">
        <f t="shared" si="38"/>
        <v/>
      </c>
      <c r="R481" t="str">
        <f t="shared" si="39"/>
        <v/>
      </c>
    </row>
    <row r="482" spans="12:18" x14ac:dyDescent="0.25">
      <c r="L482" t="str">
        <f t="shared" si="35"/>
        <v/>
      </c>
      <c r="M482" t="b">
        <f t="shared" si="36"/>
        <v>0</v>
      </c>
      <c r="N482" t="str">
        <f>IF(M482,IF(B482="Fe",_xludf.XLOOKUP(A482,'Standards Catalogue'!$A:$A,'Standards Catalogue'!$B:$B,""),IF(B482="P",_xludf.XLOOKUP(A482,'Standards Catalogue'!$A:$A,'Standards Catalogue'!$D:$D,""),IF(B482="S",_xludf.XLOOKUP(A482,'Standards Catalogue'!$A:$A,'Standards Catalogue'!$F:$F,""),""))),"")</f>
        <v/>
      </c>
      <c r="O482" t="str">
        <f>IF(M482,IF(B482="Fe",_xludf.XLOOKUP(A482,'Standards Catalogue'!$A:$A,'Standards Catalogue'!$C:$C,""),IF(B482="P",_xludf.XLOOKUP(A482,'Standards Catalogue'!$A:$A,'Standards Catalogue'!$E:$E,""),IF(B482="S",_xludf.XLOOKUP(A482,'Standards Catalogue'!$A:$A,'Standards Catalogue'!$G:$G,""),""))),"")</f>
        <v/>
      </c>
      <c r="P482" t="str">
        <f t="shared" si="37"/>
        <v/>
      </c>
      <c r="Q482" t="str">
        <f t="shared" si="38"/>
        <v/>
      </c>
      <c r="R482" t="str">
        <f t="shared" si="39"/>
        <v/>
      </c>
    </row>
    <row r="483" spans="12:18" x14ac:dyDescent="0.25">
      <c r="L483" t="str">
        <f t="shared" si="35"/>
        <v/>
      </c>
      <c r="M483" t="b">
        <f t="shared" si="36"/>
        <v>0</v>
      </c>
      <c r="N483" t="str">
        <f>IF(M483,IF(B483="Fe",_xludf.XLOOKUP(A483,'Standards Catalogue'!$A:$A,'Standards Catalogue'!$B:$B,""),IF(B483="P",_xludf.XLOOKUP(A483,'Standards Catalogue'!$A:$A,'Standards Catalogue'!$D:$D,""),IF(B483="S",_xludf.XLOOKUP(A483,'Standards Catalogue'!$A:$A,'Standards Catalogue'!$F:$F,""),""))),"")</f>
        <v/>
      </c>
      <c r="O483" t="str">
        <f>IF(M483,IF(B483="Fe",_xludf.XLOOKUP(A483,'Standards Catalogue'!$A:$A,'Standards Catalogue'!$C:$C,""),IF(B483="P",_xludf.XLOOKUP(A483,'Standards Catalogue'!$A:$A,'Standards Catalogue'!$E:$E,""),IF(B483="S",_xludf.XLOOKUP(A483,'Standards Catalogue'!$A:$A,'Standards Catalogue'!$G:$G,""),""))),"")</f>
        <v/>
      </c>
      <c r="P483" t="str">
        <f t="shared" si="37"/>
        <v/>
      </c>
      <c r="Q483" t="str">
        <f t="shared" si="38"/>
        <v/>
      </c>
      <c r="R483" t="str">
        <f t="shared" si="39"/>
        <v/>
      </c>
    </row>
    <row r="484" spans="12:18" x14ac:dyDescent="0.25">
      <c r="L484" t="str">
        <f t="shared" si="35"/>
        <v/>
      </c>
      <c r="M484" t="b">
        <f t="shared" si="36"/>
        <v>0</v>
      </c>
      <c r="N484" t="str">
        <f>IF(M484,IF(B484="Fe",_xludf.XLOOKUP(A484,'Standards Catalogue'!$A:$A,'Standards Catalogue'!$B:$B,""),IF(B484="P",_xludf.XLOOKUP(A484,'Standards Catalogue'!$A:$A,'Standards Catalogue'!$D:$D,""),IF(B484="S",_xludf.XLOOKUP(A484,'Standards Catalogue'!$A:$A,'Standards Catalogue'!$F:$F,""),""))),"")</f>
        <v/>
      </c>
      <c r="O484" t="str">
        <f>IF(M484,IF(B484="Fe",_xludf.XLOOKUP(A484,'Standards Catalogue'!$A:$A,'Standards Catalogue'!$C:$C,""),IF(B484="P",_xludf.XLOOKUP(A484,'Standards Catalogue'!$A:$A,'Standards Catalogue'!$E:$E,""),IF(B484="S",_xludf.XLOOKUP(A484,'Standards Catalogue'!$A:$A,'Standards Catalogue'!$G:$G,""),""))),"")</f>
        <v/>
      </c>
      <c r="P484" t="str">
        <f t="shared" si="37"/>
        <v/>
      </c>
      <c r="Q484" t="str">
        <f t="shared" si="38"/>
        <v/>
      </c>
      <c r="R484" t="str">
        <f t="shared" si="39"/>
        <v/>
      </c>
    </row>
    <row r="485" spans="12:18" x14ac:dyDescent="0.25">
      <c r="L485" t="str">
        <f t="shared" si="35"/>
        <v/>
      </c>
      <c r="M485" t="b">
        <f t="shared" si="36"/>
        <v>0</v>
      </c>
      <c r="N485" t="str">
        <f>IF(M485,IF(B485="Fe",_xludf.XLOOKUP(A485,'Standards Catalogue'!$A:$A,'Standards Catalogue'!$B:$B,""),IF(B485="P",_xludf.XLOOKUP(A485,'Standards Catalogue'!$A:$A,'Standards Catalogue'!$D:$D,""),IF(B485="S",_xludf.XLOOKUP(A485,'Standards Catalogue'!$A:$A,'Standards Catalogue'!$F:$F,""),""))),"")</f>
        <v/>
      </c>
      <c r="O485" t="str">
        <f>IF(M485,IF(B485="Fe",_xludf.XLOOKUP(A485,'Standards Catalogue'!$A:$A,'Standards Catalogue'!$C:$C,""),IF(B485="P",_xludf.XLOOKUP(A485,'Standards Catalogue'!$A:$A,'Standards Catalogue'!$E:$E,""),IF(B485="S",_xludf.XLOOKUP(A485,'Standards Catalogue'!$A:$A,'Standards Catalogue'!$G:$G,""),""))),"")</f>
        <v/>
      </c>
      <c r="P485" t="str">
        <f t="shared" si="37"/>
        <v/>
      </c>
      <c r="Q485" t="str">
        <f t="shared" si="38"/>
        <v/>
      </c>
      <c r="R485" t="str">
        <f t="shared" si="39"/>
        <v/>
      </c>
    </row>
    <row r="486" spans="12:18" x14ac:dyDescent="0.25">
      <c r="L486" t="str">
        <f t="shared" si="35"/>
        <v/>
      </c>
      <c r="M486" t="b">
        <f t="shared" si="36"/>
        <v>0</v>
      </c>
      <c r="N486" t="str">
        <f>IF(M486,IF(B486="Fe",_xludf.XLOOKUP(A486,'Standards Catalogue'!$A:$A,'Standards Catalogue'!$B:$B,""),IF(B486="P",_xludf.XLOOKUP(A486,'Standards Catalogue'!$A:$A,'Standards Catalogue'!$D:$D,""),IF(B486="S",_xludf.XLOOKUP(A486,'Standards Catalogue'!$A:$A,'Standards Catalogue'!$F:$F,""),""))),"")</f>
        <v/>
      </c>
      <c r="O486" t="str">
        <f>IF(M486,IF(B486="Fe",_xludf.XLOOKUP(A486,'Standards Catalogue'!$A:$A,'Standards Catalogue'!$C:$C,""),IF(B486="P",_xludf.XLOOKUP(A486,'Standards Catalogue'!$A:$A,'Standards Catalogue'!$E:$E,""),IF(B486="S",_xludf.XLOOKUP(A486,'Standards Catalogue'!$A:$A,'Standards Catalogue'!$G:$G,""),""))),"")</f>
        <v/>
      </c>
      <c r="P486" t="str">
        <f t="shared" si="37"/>
        <v/>
      </c>
      <c r="Q486" t="str">
        <f t="shared" si="38"/>
        <v/>
      </c>
      <c r="R486" t="str">
        <f t="shared" si="39"/>
        <v/>
      </c>
    </row>
    <row r="487" spans="12:18" x14ac:dyDescent="0.25">
      <c r="L487" t="str">
        <f t="shared" si="35"/>
        <v/>
      </c>
      <c r="M487" t="b">
        <f t="shared" si="36"/>
        <v>0</v>
      </c>
      <c r="N487" t="str">
        <f>IF(M487,IF(B487="Fe",_xludf.XLOOKUP(A487,'Standards Catalogue'!$A:$A,'Standards Catalogue'!$B:$B,""),IF(B487="P",_xludf.XLOOKUP(A487,'Standards Catalogue'!$A:$A,'Standards Catalogue'!$D:$D,""),IF(B487="S",_xludf.XLOOKUP(A487,'Standards Catalogue'!$A:$A,'Standards Catalogue'!$F:$F,""),""))),"")</f>
        <v/>
      </c>
      <c r="O487" t="str">
        <f>IF(M487,IF(B487="Fe",_xludf.XLOOKUP(A487,'Standards Catalogue'!$A:$A,'Standards Catalogue'!$C:$C,""),IF(B487="P",_xludf.XLOOKUP(A487,'Standards Catalogue'!$A:$A,'Standards Catalogue'!$E:$E,""),IF(B487="S",_xludf.XLOOKUP(A487,'Standards Catalogue'!$A:$A,'Standards Catalogue'!$G:$G,""),""))),"")</f>
        <v/>
      </c>
      <c r="P487" t="str">
        <f t="shared" si="37"/>
        <v/>
      </c>
      <c r="Q487" t="str">
        <f t="shared" si="38"/>
        <v/>
      </c>
      <c r="R487" t="str">
        <f t="shared" si="39"/>
        <v/>
      </c>
    </row>
    <row r="488" spans="12:18" x14ac:dyDescent="0.25">
      <c r="L488" t="str">
        <f t="shared" si="35"/>
        <v/>
      </c>
      <c r="M488" t="b">
        <f t="shared" si="36"/>
        <v>0</v>
      </c>
      <c r="N488" t="str">
        <f>IF(M488,IF(B488="Fe",_xludf.XLOOKUP(A488,'Standards Catalogue'!$A:$A,'Standards Catalogue'!$B:$B,""),IF(B488="P",_xludf.XLOOKUP(A488,'Standards Catalogue'!$A:$A,'Standards Catalogue'!$D:$D,""),IF(B488="S",_xludf.XLOOKUP(A488,'Standards Catalogue'!$A:$A,'Standards Catalogue'!$F:$F,""),""))),"")</f>
        <v/>
      </c>
      <c r="O488" t="str">
        <f>IF(M488,IF(B488="Fe",_xludf.XLOOKUP(A488,'Standards Catalogue'!$A:$A,'Standards Catalogue'!$C:$C,""),IF(B488="P",_xludf.XLOOKUP(A488,'Standards Catalogue'!$A:$A,'Standards Catalogue'!$E:$E,""),IF(B488="S",_xludf.XLOOKUP(A488,'Standards Catalogue'!$A:$A,'Standards Catalogue'!$G:$G,""),""))),"")</f>
        <v/>
      </c>
      <c r="P488" t="str">
        <f t="shared" si="37"/>
        <v/>
      </c>
      <c r="Q488" t="str">
        <f t="shared" si="38"/>
        <v/>
      </c>
      <c r="R488" t="str">
        <f t="shared" si="39"/>
        <v/>
      </c>
    </row>
    <row r="489" spans="12:18" x14ac:dyDescent="0.25">
      <c r="L489" t="str">
        <f t="shared" si="35"/>
        <v/>
      </c>
      <c r="M489" t="b">
        <f t="shared" si="36"/>
        <v>0</v>
      </c>
      <c r="N489" t="str">
        <f>IF(M489,IF(B489="Fe",_xludf.XLOOKUP(A489,'Standards Catalogue'!$A:$A,'Standards Catalogue'!$B:$B,""),IF(B489="P",_xludf.XLOOKUP(A489,'Standards Catalogue'!$A:$A,'Standards Catalogue'!$D:$D,""),IF(B489="S",_xludf.XLOOKUP(A489,'Standards Catalogue'!$A:$A,'Standards Catalogue'!$F:$F,""),""))),"")</f>
        <v/>
      </c>
      <c r="O489" t="str">
        <f>IF(M489,IF(B489="Fe",_xludf.XLOOKUP(A489,'Standards Catalogue'!$A:$A,'Standards Catalogue'!$C:$C,""),IF(B489="P",_xludf.XLOOKUP(A489,'Standards Catalogue'!$A:$A,'Standards Catalogue'!$E:$E,""),IF(B489="S",_xludf.XLOOKUP(A489,'Standards Catalogue'!$A:$A,'Standards Catalogue'!$G:$G,""),""))),"")</f>
        <v/>
      </c>
      <c r="P489" t="str">
        <f t="shared" si="37"/>
        <v/>
      </c>
      <c r="Q489" t="str">
        <f t="shared" si="38"/>
        <v/>
      </c>
      <c r="R489" t="str">
        <f t="shared" si="39"/>
        <v/>
      </c>
    </row>
    <row r="490" spans="12:18" x14ac:dyDescent="0.25">
      <c r="L490" t="str">
        <f t="shared" si="35"/>
        <v/>
      </c>
      <c r="M490" t="b">
        <f t="shared" si="36"/>
        <v>0</v>
      </c>
      <c r="N490" t="str">
        <f>IF(M490,IF(B490="Fe",_xludf.XLOOKUP(A490,'Standards Catalogue'!$A:$A,'Standards Catalogue'!$B:$B,""),IF(B490="P",_xludf.XLOOKUP(A490,'Standards Catalogue'!$A:$A,'Standards Catalogue'!$D:$D,""),IF(B490="S",_xludf.XLOOKUP(A490,'Standards Catalogue'!$A:$A,'Standards Catalogue'!$F:$F,""),""))),"")</f>
        <v/>
      </c>
      <c r="O490" t="str">
        <f>IF(M490,IF(B490="Fe",_xludf.XLOOKUP(A490,'Standards Catalogue'!$A:$A,'Standards Catalogue'!$C:$C,""),IF(B490="P",_xludf.XLOOKUP(A490,'Standards Catalogue'!$A:$A,'Standards Catalogue'!$E:$E,""),IF(B490="S",_xludf.XLOOKUP(A490,'Standards Catalogue'!$A:$A,'Standards Catalogue'!$G:$G,""),""))),"")</f>
        <v/>
      </c>
      <c r="P490" t="str">
        <f t="shared" si="37"/>
        <v/>
      </c>
      <c r="Q490" t="str">
        <f t="shared" si="38"/>
        <v/>
      </c>
      <c r="R490" t="str">
        <f t="shared" si="39"/>
        <v/>
      </c>
    </row>
    <row r="491" spans="12:18" x14ac:dyDescent="0.25">
      <c r="L491" t="str">
        <f t="shared" si="35"/>
        <v/>
      </c>
      <c r="M491" t="b">
        <f t="shared" si="36"/>
        <v>0</v>
      </c>
      <c r="N491" t="str">
        <f>IF(M491,IF(B491="Fe",_xludf.XLOOKUP(A491,'Standards Catalogue'!$A:$A,'Standards Catalogue'!$B:$B,""),IF(B491="P",_xludf.XLOOKUP(A491,'Standards Catalogue'!$A:$A,'Standards Catalogue'!$D:$D,""),IF(B491="S",_xludf.XLOOKUP(A491,'Standards Catalogue'!$A:$A,'Standards Catalogue'!$F:$F,""),""))),"")</f>
        <v/>
      </c>
      <c r="O491" t="str">
        <f>IF(M491,IF(B491="Fe",_xludf.XLOOKUP(A491,'Standards Catalogue'!$A:$A,'Standards Catalogue'!$C:$C,""),IF(B491="P",_xludf.XLOOKUP(A491,'Standards Catalogue'!$A:$A,'Standards Catalogue'!$E:$E,""),IF(B491="S",_xludf.XLOOKUP(A491,'Standards Catalogue'!$A:$A,'Standards Catalogue'!$G:$G,""),""))),"")</f>
        <v/>
      </c>
      <c r="P491" t="str">
        <f t="shared" si="37"/>
        <v/>
      </c>
      <c r="Q491" t="str">
        <f t="shared" si="38"/>
        <v/>
      </c>
      <c r="R491" t="str">
        <f t="shared" si="39"/>
        <v/>
      </c>
    </row>
    <row r="492" spans="12:18" x14ac:dyDescent="0.25">
      <c r="L492" t="str">
        <f t="shared" si="35"/>
        <v/>
      </c>
      <c r="M492" t="b">
        <f t="shared" si="36"/>
        <v>0</v>
      </c>
      <c r="N492" t="str">
        <f>IF(M492,IF(B492="Fe",_xludf.XLOOKUP(A492,'Standards Catalogue'!$A:$A,'Standards Catalogue'!$B:$B,""),IF(B492="P",_xludf.XLOOKUP(A492,'Standards Catalogue'!$A:$A,'Standards Catalogue'!$D:$D,""),IF(B492="S",_xludf.XLOOKUP(A492,'Standards Catalogue'!$A:$A,'Standards Catalogue'!$F:$F,""),""))),"")</f>
        <v/>
      </c>
      <c r="O492" t="str">
        <f>IF(M492,IF(B492="Fe",_xludf.XLOOKUP(A492,'Standards Catalogue'!$A:$A,'Standards Catalogue'!$C:$C,""),IF(B492="P",_xludf.XLOOKUP(A492,'Standards Catalogue'!$A:$A,'Standards Catalogue'!$E:$E,""),IF(B492="S",_xludf.XLOOKUP(A492,'Standards Catalogue'!$A:$A,'Standards Catalogue'!$G:$G,""),""))),"")</f>
        <v/>
      </c>
      <c r="P492" t="str">
        <f t="shared" si="37"/>
        <v/>
      </c>
      <c r="Q492" t="str">
        <f t="shared" si="38"/>
        <v/>
      </c>
      <c r="R492" t="str">
        <f t="shared" si="39"/>
        <v/>
      </c>
    </row>
    <row r="493" spans="12:18" x14ac:dyDescent="0.25">
      <c r="L493" t="str">
        <f t="shared" si="35"/>
        <v/>
      </c>
      <c r="M493" t="b">
        <f t="shared" si="36"/>
        <v>0</v>
      </c>
      <c r="N493" t="str">
        <f>IF(M493,IF(B493="Fe",_xludf.XLOOKUP(A493,'Standards Catalogue'!$A:$A,'Standards Catalogue'!$B:$B,""),IF(B493="P",_xludf.XLOOKUP(A493,'Standards Catalogue'!$A:$A,'Standards Catalogue'!$D:$D,""),IF(B493="S",_xludf.XLOOKUP(A493,'Standards Catalogue'!$A:$A,'Standards Catalogue'!$F:$F,""),""))),"")</f>
        <v/>
      </c>
      <c r="O493" t="str">
        <f>IF(M493,IF(B493="Fe",_xludf.XLOOKUP(A493,'Standards Catalogue'!$A:$A,'Standards Catalogue'!$C:$C,""),IF(B493="P",_xludf.XLOOKUP(A493,'Standards Catalogue'!$A:$A,'Standards Catalogue'!$E:$E,""),IF(B493="S",_xludf.XLOOKUP(A493,'Standards Catalogue'!$A:$A,'Standards Catalogue'!$G:$G,""),""))),"")</f>
        <v/>
      </c>
      <c r="P493" t="str">
        <f t="shared" si="37"/>
        <v/>
      </c>
      <c r="Q493" t="str">
        <f t="shared" si="38"/>
        <v/>
      </c>
      <c r="R493" t="str">
        <f t="shared" si="39"/>
        <v/>
      </c>
    </row>
    <row r="494" spans="12:18" x14ac:dyDescent="0.25">
      <c r="L494" t="str">
        <f t="shared" si="35"/>
        <v/>
      </c>
      <c r="M494" t="b">
        <f t="shared" si="36"/>
        <v>0</v>
      </c>
      <c r="N494" t="str">
        <f>IF(M494,IF(B494="Fe",_xludf.XLOOKUP(A494,'Standards Catalogue'!$A:$A,'Standards Catalogue'!$B:$B,""),IF(B494="P",_xludf.XLOOKUP(A494,'Standards Catalogue'!$A:$A,'Standards Catalogue'!$D:$D,""),IF(B494="S",_xludf.XLOOKUP(A494,'Standards Catalogue'!$A:$A,'Standards Catalogue'!$F:$F,""),""))),"")</f>
        <v/>
      </c>
      <c r="O494" t="str">
        <f>IF(M494,IF(B494="Fe",_xludf.XLOOKUP(A494,'Standards Catalogue'!$A:$A,'Standards Catalogue'!$C:$C,""),IF(B494="P",_xludf.XLOOKUP(A494,'Standards Catalogue'!$A:$A,'Standards Catalogue'!$E:$E,""),IF(B494="S",_xludf.XLOOKUP(A494,'Standards Catalogue'!$A:$A,'Standards Catalogue'!$G:$G,""),""))),"")</f>
        <v/>
      </c>
      <c r="P494" t="str">
        <f t="shared" si="37"/>
        <v/>
      </c>
      <c r="Q494" t="str">
        <f t="shared" si="38"/>
        <v/>
      </c>
      <c r="R494" t="str">
        <f t="shared" si="39"/>
        <v/>
      </c>
    </row>
    <row r="495" spans="12:18" x14ac:dyDescent="0.25">
      <c r="L495" t="str">
        <f t="shared" si="35"/>
        <v/>
      </c>
      <c r="M495" t="b">
        <f t="shared" si="36"/>
        <v>0</v>
      </c>
      <c r="N495" t="str">
        <f>IF(M495,IF(B495="Fe",_xludf.XLOOKUP(A495,'Standards Catalogue'!$A:$A,'Standards Catalogue'!$B:$B,""),IF(B495="P",_xludf.XLOOKUP(A495,'Standards Catalogue'!$A:$A,'Standards Catalogue'!$D:$D,""),IF(B495="S",_xludf.XLOOKUP(A495,'Standards Catalogue'!$A:$A,'Standards Catalogue'!$F:$F,""),""))),"")</f>
        <v/>
      </c>
      <c r="O495" t="str">
        <f>IF(M495,IF(B495="Fe",_xludf.XLOOKUP(A495,'Standards Catalogue'!$A:$A,'Standards Catalogue'!$C:$C,""),IF(B495="P",_xludf.XLOOKUP(A495,'Standards Catalogue'!$A:$A,'Standards Catalogue'!$E:$E,""),IF(B495="S",_xludf.XLOOKUP(A495,'Standards Catalogue'!$A:$A,'Standards Catalogue'!$G:$G,""),""))),"")</f>
        <v/>
      </c>
      <c r="P495" t="str">
        <f t="shared" si="37"/>
        <v/>
      </c>
      <c r="Q495" t="str">
        <f t="shared" si="38"/>
        <v/>
      </c>
      <c r="R495" t="str">
        <f t="shared" si="39"/>
        <v/>
      </c>
    </row>
    <row r="496" spans="12:18" x14ac:dyDescent="0.25">
      <c r="L496" t="str">
        <f t="shared" si="35"/>
        <v/>
      </c>
      <c r="M496" t="b">
        <f t="shared" si="36"/>
        <v>0</v>
      </c>
      <c r="N496" t="str">
        <f>IF(M496,IF(B496="Fe",_xludf.XLOOKUP(A496,'Standards Catalogue'!$A:$A,'Standards Catalogue'!$B:$B,""),IF(B496="P",_xludf.XLOOKUP(A496,'Standards Catalogue'!$A:$A,'Standards Catalogue'!$D:$D,""),IF(B496="S",_xludf.XLOOKUP(A496,'Standards Catalogue'!$A:$A,'Standards Catalogue'!$F:$F,""),""))),"")</f>
        <v/>
      </c>
      <c r="O496" t="str">
        <f>IF(M496,IF(B496="Fe",_xludf.XLOOKUP(A496,'Standards Catalogue'!$A:$A,'Standards Catalogue'!$C:$C,""),IF(B496="P",_xludf.XLOOKUP(A496,'Standards Catalogue'!$A:$A,'Standards Catalogue'!$E:$E,""),IF(B496="S",_xludf.XLOOKUP(A496,'Standards Catalogue'!$A:$A,'Standards Catalogue'!$G:$G,""),""))),"")</f>
        <v/>
      </c>
      <c r="P496" t="str">
        <f t="shared" si="37"/>
        <v/>
      </c>
      <c r="Q496" t="str">
        <f t="shared" si="38"/>
        <v/>
      </c>
      <c r="R496" t="str">
        <f t="shared" si="39"/>
        <v/>
      </c>
    </row>
    <row r="497" spans="12:18" x14ac:dyDescent="0.25">
      <c r="L497" t="str">
        <f t="shared" si="35"/>
        <v/>
      </c>
      <c r="M497" t="b">
        <f t="shared" si="36"/>
        <v>0</v>
      </c>
      <c r="N497" t="str">
        <f>IF(M497,IF(B497="Fe",_xludf.XLOOKUP(A497,'Standards Catalogue'!$A:$A,'Standards Catalogue'!$B:$B,""),IF(B497="P",_xludf.XLOOKUP(A497,'Standards Catalogue'!$A:$A,'Standards Catalogue'!$D:$D,""),IF(B497="S",_xludf.XLOOKUP(A497,'Standards Catalogue'!$A:$A,'Standards Catalogue'!$F:$F,""),""))),"")</f>
        <v/>
      </c>
      <c r="O497" t="str">
        <f>IF(M497,IF(B497="Fe",_xludf.XLOOKUP(A497,'Standards Catalogue'!$A:$A,'Standards Catalogue'!$C:$C,""),IF(B497="P",_xludf.XLOOKUP(A497,'Standards Catalogue'!$A:$A,'Standards Catalogue'!$E:$E,""),IF(B497="S",_xludf.XLOOKUP(A497,'Standards Catalogue'!$A:$A,'Standards Catalogue'!$G:$G,""),""))),"")</f>
        <v/>
      </c>
      <c r="P497" t="str">
        <f t="shared" si="37"/>
        <v/>
      </c>
      <c r="Q497" t="str">
        <f t="shared" si="38"/>
        <v/>
      </c>
      <c r="R497" t="str">
        <f t="shared" si="39"/>
        <v/>
      </c>
    </row>
    <row r="498" spans="12:18" x14ac:dyDescent="0.25">
      <c r="L498" t="str">
        <f t="shared" si="35"/>
        <v/>
      </c>
      <c r="M498" t="b">
        <f t="shared" si="36"/>
        <v>0</v>
      </c>
      <c r="N498" t="str">
        <f>IF(M498,IF(B498="Fe",_xludf.XLOOKUP(A498,'Standards Catalogue'!$A:$A,'Standards Catalogue'!$B:$B,""),IF(B498="P",_xludf.XLOOKUP(A498,'Standards Catalogue'!$A:$A,'Standards Catalogue'!$D:$D,""),IF(B498="S",_xludf.XLOOKUP(A498,'Standards Catalogue'!$A:$A,'Standards Catalogue'!$F:$F,""),""))),"")</f>
        <v/>
      </c>
      <c r="O498" t="str">
        <f>IF(M498,IF(B498="Fe",_xludf.XLOOKUP(A498,'Standards Catalogue'!$A:$A,'Standards Catalogue'!$C:$C,""),IF(B498="P",_xludf.XLOOKUP(A498,'Standards Catalogue'!$A:$A,'Standards Catalogue'!$E:$E,""),IF(B498="S",_xludf.XLOOKUP(A498,'Standards Catalogue'!$A:$A,'Standards Catalogue'!$G:$G,""),""))),"")</f>
        <v/>
      </c>
      <c r="P498" t="str">
        <f t="shared" si="37"/>
        <v/>
      </c>
      <c r="Q498" t="str">
        <f t="shared" si="38"/>
        <v/>
      </c>
      <c r="R498" t="str">
        <f t="shared" si="39"/>
        <v/>
      </c>
    </row>
    <row r="499" spans="12:18" x14ac:dyDescent="0.25">
      <c r="L499" t="str">
        <f t="shared" si="35"/>
        <v/>
      </c>
      <c r="M499" t="b">
        <f t="shared" si="36"/>
        <v>0</v>
      </c>
      <c r="N499" t="str">
        <f>IF(M499,IF(B499="Fe",_xludf.XLOOKUP(A499,'Standards Catalogue'!$A:$A,'Standards Catalogue'!$B:$B,""),IF(B499="P",_xludf.XLOOKUP(A499,'Standards Catalogue'!$A:$A,'Standards Catalogue'!$D:$D,""),IF(B499="S",_xludf.XLOOKUP(A499,'Standards Catalogue'!$A:$A,'Standards Catalogue'!$F:$F,""),""))),"")</f>
        <v/>
      </c>
      <c r="O499" t="str">
        <f>IF(M499,IF(B499="Fe",_xludf.XLOOKUP(A499,'Standards Catalogue'!$A:$A,'Standards Catalogue'!$C:$C,""),IF(B499="P",_xludf.XLOOKUP(A499,'Standards Catalogue'!$A:$A,'Standards Catalogue'!$E:$E,""),IF(B499="S",_xludf.XLOOKUP(A499,'Standards Catalogue'!$A:$A,'Standards Catalogue'!$G:$G,""),""))),"")</f>
        <v/>
      </c>
      <c r="P499" t="str">
        <f t="shared" si="37"/>
        <v/>
      </c>
      <c r="Q499" t="str">
        <f t="shared" si="38"/>
        <v/>
      </c>
      <c r="R499" t="str">
        <f t="shared" si="39"/>
        <v/>
      </c>
    </row>
    <row r="500" spans="12:18" x14ac:dyDescent="0.25">
      <c r="L500" t="str">
        <f t="shared" si="35"/>
        <v/>
      </c>
      <c r="M500" t="b">
        <f t="shared" si="36"/>
        <v>0</v>
      </c>
      <c r="N500" t="str">
        <f>IF(M500,IF(B500="Fe",_xludf.XLOOKUP(A500,'Standards Catalogue'!$A:$A,'Standards Catalogue'!$B:$B,""),IF(B500="P",_xludf.XLOOKUP(A500,'Standards Catalogue'!$A:$A,'Standards Catalogue'!$D:$D,""),IF(B500="S",_xludf.XLOOKUP(A500,'Standards Catalogue'!$A:$A,'Standards Catalogue'!$F:$F,""),""))),"")</f>
        <v/>
      </c>
      <c r="O500" t="str">
        <f>IF(M500,IF(B500="Fe",_xludf.XLOOKUP(A500,'Standards Catalogue'!$A:$A,'Standards Catalogue'!$C:$C,""),IF(B500="P",_xludf.XLOOKUP(A500,'Standards Catalogue'!$A:$A,'Standards Catalogue'!$E:$E,""),IF(B500="S",_xludf.XLOOKUP(A500,'Standards Catalogue'!$A:$A,'Standards Catalogue'!$G:$G,""),""))),"")</f>
        <v/>
      </c>
      <c r="P500" t="str">
        <f t="shared" si="37"/>
        <v/>
      </c>
      <c r="Q500" t="str">
        <f t="shared" si="38"/>
        <v/>
      </c>
      <c r="R500" t="str">
        <f t="shared" si="39"/>
        <v/>
      </c>
    </row>
    <row r="501" spans="12:18" x14ac:dyDescent="0.25">
      <c r="L501" t="str">
        <f t="shared" si="35"/>
        <v/>
      </c>
      <c r="M501" t="b">
        <f t="shared" si="36"/>
        <v>0</v>
      </c>
      <c r="N501" t="str">
        <f>IF(M501,IF(B501="Fe",_xludf.XLOOKUP(A501,'Standards Catalogue'!$A:$A,'Standards Catalogue'!$B:$B,""),IF(B501="P",_xludf.XLOOKUP(A501,'Standards Catalogue'!$A:$A,'Standards Catalogue'!$D:$D,""),IF(B501="S",_xludf.XLOOKUP(A501,'Standards Catalogue'!$A:$A,'Standards Catalogue'!$F:$F,""),""))),"")</f>
        <v/>
      </c>
      <c r="O501" t="str">
        <f>IF(M501,IF(B501="Fe",_xludf.XLOOKUP(A501,'Standards Catalogue'!$A:$A,'Standards Catalogue'!$C:$C,""),IF(B501="P",_xludf.XLOOKUP(A501,'Standards Catalogue'!$A:$A,'Standards Catalogue'!$E:$E,""),IF(B501="S",_xludf.XLOOKUP(A501,'Standards Catalogue'!$A:$A,'Standards Catalogue'!$G:$G,""),""))),"")</f>
        <v/>
      </c>
      <c r="P501" t="str">
        <f t="shared" si="37"/>
        <v/>
      </c>
      <c r="Q501" t="str">
        <f t="shared" si="38"/>
        <v/>
      </c>
      <c r="R501" t="str">
        <f t="shared" si="39"/>
        <v/>
      </c>
    </row>
    <row r="502" spans="12:18" x14ac:dyDescent="0.25">
      <c r="L502" t="str">
        <f t="shared" si="35"/>
        <v/>
      </c>
      <c r="M502" t="b">
        <f t="shared" si="36"/>
        <v>0</v>
      </c>
      <c r="N502" t="str">
        <f>IF(M502,IF(B502="Fe",_xludf.XLOOKUP(A502,'Standards Catalogue'!$A:$A,'Standards Catalogue'!$B:$B,""),IF(B502="P",_xludf.XLOOKUP(A502,'Standards Catalogue'!$A:$A,'Standards Catalogue'!$D:$D,""),IF(B502="S",_xludf.XLOOKUP(A502,'Standards Catalogue'!$A:$A,'Standards Catalogue'!$F:$F,""),""))),"")</f>
        <v/>
      </c>
      <c r="O502" t="str">
        <f>IF(M502,IF(B502="Fe",_xludf.XLOOKUP(A502,'Standards Catalogue'!$A:$A,'Standards Catalogue'!$C:$C,""),IF(B502="P",_xludf.XLOOKUP(A502,'Standards Catalogue'!$A:$A,'Standards Catalogue'!$E:$E,""),IF(B502="S",_xludf.XLOOKUP(A502,'Standards Catalogue'!$A:$A,'Standards Catalogue'!$G:$G,""),""))),"")</f>
        <v/>
      </c>
      <c r="P502" t="str">
        <f t="shared" si="37"/>
        <v/>
      </c>
      <c r="Q502" t="str">
        <f t="shared" si="38"/>
        <v/>
      </c>
      <c r="R502" t="str">
        <f t="shared" si="39"/>
        <v/>
      </c>
    </row>
    <row r="503" spans="12:18" x14ac:dyDescent="0.25">
      <c r="L503" t="str">
        <f t="shared" si="35"/>
        <v/>
      </c>
      <c r="M503" t="b">
        <f t="shared" si="36"/>
        <v>0</v>
      </c>
      <c r="N503" t="str">
        <f>IF(M503,IF(B503="Fe",_xludf.XLOOKUP(A503,'Standards Catalogue'!$A:$A,'Standards Catalogue'!$B:$B,""),IF(B503="P",_xludf.XLOOKUP(A503,'Standards Catalogue'!$A:$A,'Standards Catalogue'!$D:$D,""),IF(B503="S",_xludf.XLOOKUP(A503,'Standards Catalogue'!$A:$A,'Standards Catalogue'!$F:$F,""),""))),"")</f>
        <v/>
      </c>
      <c r="O503" t="str">
        <f>IF(M503,IF(B503="Fe",_xludf.XLOOKUP(A503,'Standards Catalogue'!$A:$A,'Standards Catalogue'!$C:$C,""),IF(B503="P",_xludf.XLOOKUP(A503,'Standards Catalogue'!$A:$A,'Standards Catalogue'!$E:$E,""),IF(B503="S",_xludf.XLOOKUP(A503,'Standards Catalogue'!$A:$A,'Standards Catalogue'!$G:$G,""),""))),"")</f>
        <v/>
      </c>
      <c r="P503" t="str">
        <f t="shared" si="37"/>
        <v/>
      </c>
      <c r="Q503" t="str">
        <f t="shared" si="38"/>
        <v/>
      </c>
      <c r="R503" t="str">
        <f t="shared" si="39"/>
        <v/>
      </c>
    </row>
    <row r="504" spans="12:18" x14ac:dyDescent="0.25">
      <c r="L504" t="str">
        <f t="shared" si="35"/>
        <v/>
      </c>
      <c r="M504" t="b">
        <f t="shared" si="36"/>
        <v>0</v>
      </c>
      <c r="N504" t="str">
        <f>IF(M504,IF(B504="Fe",_xludf.XLOOKUP(A504,'Standards Catalogue'!$A:$A,'Standards Catalogue'!$B:$B,""),IF(B504="P",_xludf.XLOOKUP(A504,'Standards Catalogue'!$A:$A,'Standards Catalogue'!$D:$D,""),IF(B504="S",_xludf.XLOOKUP(A504,'Standards Catalogue'!$A:$A,'Standards Catalogue'!$F:$F,""),""))),"")</f>
        <v/>
      </c>
      <c r="O504" t="str">
        <f>IF(M504,IF(B504="Fe",_xludf.XLOOKUP(A504,'Standards Catalogue'!$A:$A,'Standards Catalogue'!$C:$C,""),IF(B504="P",_xludf.XLOOKUP(A504,'Standards Catalogue'!$A:$A,'Standards Catalogue'!$E:$E,""),IF(B504="S",_xludf.XLOOKUP(A504,'Standards Catalogue'!$A:$A,'Standards Catalogue'!$G:$G,""),""))),"")</f>
        <v/>
      </c>
      <c r="P504" t="str">
        <f t="shared" si="37"/>
        <v/>
      </c>
      <c r="Q504" t="str">
        <f t="shared" si="38"/>
        <v/>
      </c>
      <c r="R504" t="str">
        <f t="shared" si="39"/>
        <v/>
      </c>
    </row>
    <row r="505" spans="12:18" x14ac:dyDescent="0.25">
      <c r="L505" t="str">
        <f t="shared" si="35"/>
        <v/>
      </c>
      <c r="M505" t="b">
        <f t="shared" si="36"/>
        <v>0</v>
      </c>
      <c r="N505" t="str">
        <f>IF(M505,IF(B505="Fe",_xludf.XLOOKUP(A505,'Standards Catalogue'!$A:$A,'Standards Catalogue'!$B:$B,""),IF(B505="P",_xludf.XLOOKUP(A505,'Standards Catalogue'!$A:$A,'Standards Catalogue'!$D:$D,""),IF(B505="S",_xludf.XLOOKUP(A505,'Standards Catalogue'!$A:$A,'Standards Catalogue'!$F:$F,""),""))),"")</f>
        <v/>
      </c>
      <c r="O505" t="str">
        <f>IF(M505,IF(B505="Fe",_xludf.XLOOKUP(A505,'Standards Catalogue'!$A:$A,'Standards Catalogue'!$C:$C,""),IF(B505="P",_xludf.XLOOKUP(A505,'Standards Catalogue'!$A:$A,'Standards Catalogue'!$E:$E,""),IF(B505="S",_xludf.XLOOKUP(A505,'Standards Catalogue'!$A:$A,'Standards Catalogue'!$G:$G,""),""))),"")</f>
        <v/>
      </c>
      <c r="P505" t="str">
        <f t="shared" si="37"/>
        <v/>
      </c>
      <c r="Q505" t="str">
        <f t="shared" si="38"/>
        <v/>
      </c>
      <c r="R505" t="str">
        <f t="shared" si="39"/>
        <v/>
      </c>
    </row>
    <row r="506" spans="12:18" x14ac:dyDescent="0.25">
      <c r="L506" t="str">
        <f t="shared" si="35"/>
        <v/>
      </c>
      <c r="M506" t="b">
        <f t="shared" si="36"/>
        <v>0</v>
      </c>
      <c r="N506" t="str">
        <f>IF(M506,IF(B506="Fe",_xludf.XLOOKUP(A506,'Standards Catalogue'!$A:$A,'Standards Catalogue'!$B:$B,""),IF(B506="P",_xludf.XLOOKUP(A506,'Standards Catalogue'!$A:$A,'Standards Catalogue'!$D:$D,""),IF(B506="S",_xludf.XLOOKUP(A506,'Standards Catalogue'!$A:$A,'Standards Catalogue'!$F:$F,""),""))),"")</f>
        <v/>
      </c>
      <c r="O506" t="str">
        <f>IF(M506,IF(B506="Fe",_xludf.XLOOKUP(A506,'Standards Catalogue'!$A:$A,'Standards Catalogue'!$C:$C,""),IF(B506="P",_xludf.XLOOKUP(A506,'Standards Catalogue'!$A:$A,'Standards Catalogue'!$E:$E,""),IF(B506="S",_xludf.XLOOKUP(A506,'Standards Catalogue'!$A:$A,'Standards Catalogue'!$G:$G,""),""))),"")</f>
        <v/>
      </c>
      <c r="P506" t="str">
        <f t="shared" si="37"/>
        <v/>
      </c>
      <c r="Q506" t="str">
        <f t="shared" si="38"/>
        <v/>
      </c>
      <c r="R506" t="str">
        <f t="shared" si="39"/>
        <v/>
      </c>
    </row>
    <row r="507" spans="12:18" x14ac:dyDescent="0.25">
      <c r="L507" t="str">
        <f t="shared" si="35"/>
        <v/>
      </c>
      <c r="M507" t="b">
        <f t="shared" si="36"/>
        <v>0</v>
      </c>
      <c r="N507" t="str">
        <f>IF(M507,IF(B507="Fe",_xludf.XLOOKUP(A507,'Standards Catalogue'!$A:$A,'Standards Catalogue'!$B:$B,""),IF(B507="P",_xludf.XLOOKUP(A507,'Standards Catalogue'!$A:$A,'Standards Catalogue'!$D:$D,""),IF(B507="S",_xludf.XLOOKUP(A507,'Standards Catalogue'!$A:$A,'Standards Catalogue'!$F:$F,""),""))),"")</f>
        <v/>
      </c>
      <c r="O507" t="str">
        <f>IF(M507,IF(B507="Fe",_xludf.XLOOKUP(A507,'Standards Catalogue'!$A:$A,'Standards Catalogue'!$C:$C,""),IF(B507="P",_xludf.XLOOKUP(A507,'Standards Catalogue'!$A:$A,'Standards Catalogue'!$E:$E,""),IF(B507="S",_xludf.XLOOKUP(A507,'Standards Catalogue'!$A:$A,'Standards Catalogue'!$G:$G,""),""))),"")</f>
        <v/>
      </c>
      <c r="P507" t="str">
        <f t="shared" si="37"/>
        <v/>
      </c>
      <c r="Q507" t="str">
        <f t="shared" si="38"/>
        <v/>
      </c>
      <c r="R507" t="str">
        <f t="shared" si="39"/>
        <v/>
      </c>
    </row>
    <row r="508" spans="12:18" x14ac:dyDescent="0.25">
      <c r="L508" t="str">
        <f t="shared" si="35"/>
        <v/>
      </c>
      <c r="M508" t="b">
        <f t="shared" si="36"/>
        <v>0</v>
      </c>
      <c r="N508" t="str">
        <f>IF(M508,IF(B508="Fe",_xludf.XLOOKUP(A508,'Standards Catalogue'!$A:$A,'Standards Catalogue'!$B:$B,""),IF(B508="P",_xludf.XLOOKUP(A508,'Standards Catalogue'!$A:$A,'Standards Catalogue'!$D:$D,""),IF(B508="S",_xludf.XLOOKUP(A508,'Standards Catalogue'!$A:$A,'Standards Catalogue'!$F:$F,""),""))),"")</f>
        <v/>
      </c>
      <c r="O508" t="str">
        <f>IF(M508,IF(B508="Fe",_xludf.XLOOKUP(A508,'Standards Catalogue'!$A:$A,'Standards Catalogue'!$C:$C,""),IF(B508="P",_xludf.XLOOKUP(A508,'Standards Catalogue'!$A:$A,'Standards Catalogue'!$E:$E,""),IF(B508="S",_xludf.XLOOKUP(A508,'Standards Catalogue'!$A:$A,'Standards Catalogue'!$G:$G,""),""))),"")</f>
        <v/>
      </c>
      <c r="P508" t="str">
        <f t="shared" si="37"/>
        <v/>
      </c>
      <c r="Q508" t="str">
        <f t="shared" si="38"/>
        <v/>
      </c>
      <c r="R508" t="str">
        <f t="shared" si="39"/>
        <v/>
      </c>
    </row>
    <row r="509" spans="12:18" x14ac:dyDescent="0.25">
      <c r="L509" t="str">
        <f t="shared" si="35"/>
        <v/>
      </c>
      <c r="M509" t="b">
        <f t="shared" si="36"/>
        <v>0</v>
      </c>
      <c r="N509" t="str">
        <f>IF(M509,IF(B509="Fe",_xludf.XLOOKUP(A509,'Standards Catalogue'!$A:$A,'Standards Catalogue'!$B:$B,""),IF(B509="P",_xludf.XLOOKUP(A509,'Standards Catalogue'!$A:$A,'Standards Catalogue'!$D:$D,""),IF(B509="S",_xludf.XLOOKUP(A509,'Standards Catalogue'!$A:$A,'Standards Catalogue'!$F:$F,""),""))),"")</f>
        <v/>
      </c>
      <c r="O509" t="str">
        <f>IF(M509,IF(B509="Fe",_xludf.XLOOKUP(A509,'Standards Catalogue'!$A:$A,'Standards Catalogue'!$C:$C,""),IF(B509="P",_xludf.XLOOKUP(A509,'Standards Catalogue'!$A:$A,'Standards Catalogue'!$E:$E,""),IF(B509="S",_xludf.XLOOKUP(A509,'Standards Catalogue'!$A:$A,'Standards Catalogue'!$G:$G,""),""))),"")</f>
        <v/>
      </c>
      <c r="P509" t="str">
        <f t="shared" si="37"/>
        <v/>
      </c>
      <c r="Q509" t="str">
        <f t="shared" si="38"/>
        <v/>
      </c>
      <c r="R509" t="str">
        <f t="shared" si="39"/>
        <v/>
      </c>
    </row>
    <row r="510" spans="12:18" x14ac:dyDescent="0.25">
      <c r="L510" t="str">
        <f t="shared" si="35"/>
        <v/>
      </c>
      <c r="M510" t="b">
        <f t="shared" si="36"/>
        <v>0</v>
      </c>
      <c r="N510" t="str">
        <f>IF(M510,IF(B510="Fe",_xludf.XLOOKUP(A510,'Standards Catalogue'!$A:$A,'Standards Catalogue'!$B:$B,""),IF(B510="P",_xludf.XLOOKUP(A510,'Standards Catalogue'!$A:$A,'Standards Catalogue'!$D:$D,""),IF(B510="S",_xludf.XLOOKUP(A510,'Standards Catalogue'!$A:$A,'Standards Catalogue'!$F:$F,""),""))),"")</f>
        <v/>
      </c>
      <c r="O510" t="str">
        <f>IF(M510,IF(B510="Fe",_xludf.XLOOKUP(A510,'Standards Catalogue'!$A:$A,'Standards Catalogue'!$C:$C,""),IF(B510="P",_xludf.XLOOKUP(A510,'Standards Catalogue'!$A:$A,'Standards Catalogue'!$E:$E,""),IF(B510="S",_xludf.XLOOKUP(A510,'Standards Catalogue'!$A:$A,'Standards Catalogue'!$G:$G,""),""))),"")</f>
        <v/>
      </c>
      <c r="P510" t="str">
        <f t="shared" si="37"/>
        <v/>
      </c>
      <c r="Q510" t="str">
        <f t="shared" si="38"/>
        <v/>
      </c>
      <c r="R510" t="str">
        <f t="shared" si="39"/>
        <v/>
      </c>
    </row>
    <row r="511" spans="12:18" x14ac:dyDescent="0.25">
      <c r="L511" t="str">
        <f t="shared" si="35"/>
        <v/>
      </c>
      <c r="M511" t="b">
        <f t="shared" si="36"/>
        <v>0</v>
      </c>
      <c r="N511" t="str">
        <f>IF(M511,IF(B511="Fe",_xludf.XLOOKUP(A511,'Standards Catalogue'!$A:$A,'Standards Catalogue'!$B:$B,""),IF(B511="P",_xludf.XLOOKUP(A511,'Standards Catalogue'!$A:$A,'Standards Catalogue'!$D:$D,""),IF(B511="S",_xludf.XLOOKUP(A511,'Standards Catalogue'!$A:$A,'Standards Catalogue'!$F:$F,""),""))),"")</f>
        <v/>
      </c>
      <c r="O511" t="str">
        <f>IF(M511,IF(B511="Fe",_xludf.XLOOKUP(A511,'Standards Catalogue'!$A:$A,'Standards Catalogue'!$C:$C,""),IF(B511="P",_xludf.XLOOKUP(A511,'Standards Catalogue'!$A:$A,'Standards Catalogue'!$E:$E,""),IF(B511="S",_xludf.XLOOKUP(A511,'Standards Catalogue'!$A:$A,'Standards Catalogue'!$G:$G,""),""))),"")</f>
        <v/>
      </c>
      <c r="P511" t="str">
        <f t="shared" si="37"/>
        <v/>
      </c>
      <c r="Q511" t="str">
        <f t="shared" si="38"/>
        <v/>
      </c>
      <c r="R511" t="str">
        <f t="shared" si="39"/>
        <v/>
      </c>
    </row>
    <row r="512" spans="12:18" x14ac:dyDescent="0.25">
      <c r="L512" t="str">
        <f t="shared" si="35"/>
        <v/>
      </c>
      <c r="M512" t="b">
        <f t="shared" si="36"/>
        <v>0</v>
      </c>
      <c r="N512" t="str">
        <f>IF(M512,IF(B512="Fe",_xludf.XLOOKUP(A512,'Standards Catalogue'!$A:$A,'Standards Catalogue'!$B:$B,""),IF(B512="P",_xludf.XLOOKUP(A512,'Standards Catalogue'!$A:$A,'Standards Catalogue'!$D:$D,""),IF(B512="S",_xludf.XLOOKUP(A512,'Standards Catalogue'!$A:$A,'Standards Catalogue'!$F:$F,""),""))),"")</f>
        <v/>
      </c>
      <c r="O512" t="str">
        <f>IF(M512,IF(B512="Fe",_xludf.XLOOKUP(A512,'Standards Catalogue'!$A:$A,'Standards Catalogue'!$C:$C,""),IF(B512="P",_xludf.XLOOKUP(A512,'Standards Catalogue'!$A:$A,'Standards Catalogue'!$E:$E,""),IF(B512="S",_xludf.XLOOKUP(A512,'Standards Catalogue'!$A:$A,'Standards Catalogue'!$G:$G,""),""))),"")</f>
        <v/>
      </c>
      <c r="P512" t="str">
        <f t="shared" si="37"/>
        <v/>
      </c>
      <c r="Q512" t="str">
        <f t="shared" si="38"/>
        <v/>
      </c>
      <c r="R512" t="str">
        <f t="shared" si="39"/>
        <v/>
      </c>
    </row>
    <row r="513" spans="12:18" x14ac:dyDescent="0.25">
      <c r="L513" t="str">
        <f t="shared" si="35"/>
        <v/>
      </c>
      <c r="M513" t="b">
        <f t="shared" si="36"/>
        <v>0</v>
      </c>
      <c r="N513" t="str">
        <f>IF(M513,IF(B513="Fe",_xludf.XLOOKUP(A513,'Standards Catalogue'!$A:$A,'Standards Catalogue'!$B:$B,""),IF(B513="P",_xludf.XLOOKUP(A513,'Standards Catalogue'!$A:$A,'Standards Catalogue'!$D:$D,""),IF(B513="S",_xludf.XLOOKUP(A513,'Standards Catalogue'!$A:$A,'Standards Catalogue'!$F:$F,""),""))),"")</f>
        <v/>
      </c>
      <c r="O513" t="str">
        <f>IF(M513,IF(B513="Fe",_xludf.XLOOKUP(A513,'Standards Catalogue'!$A:$A,'Standards Catalogue'!$C:$C,""),IF(B513="P",_xludf.XLOOKUP(A513,'Standards Catalogue'!$A:$A,'Standards Catalogue'!$E:$E,""),IF(B513="S",_xludf.XLOOKUP(A513,'Standards Catalogue'!$A:$A,'Standards Catalogue'!$G:$G,""),""))),"")</f>
        <v/>
      </c>
      <c r="P513" t="str">
        <f t="shared" si="37"/>
        <v/>
      </c>
      <c r="Q513" t="str">
        <f t="shared" si="38"/>
        <v/>
      </c>
      <c r="R513" t="str">
        <f t="shared" si="39"/>
        <v/>
      </c>
    </row>
    <row r="514" spans="12:18" x14ac:dyDescent="0.25">
      <c r="L514" t="str">
        <f t="shared" ref="L514:L577" si="40">IF(AND(A514&lt;&gt;"",B514&lt;&gt;""),A514&amp;"|"&amp;B514,"")</f>
        <v/>
      </c>
      <c r="M514" t="b">
        <f t="shared" ref="M514:M577" si="41">IF(COUNTIF(STANDARDS_IDS,A514)&gt;0,TRUE,FALSE)</f>
        <v>0</v>
      </c>
      <c r="N514" t="str">
        <f>IF(M514,IF(B514="Fe",_xludf.XLOOKUP(A514,'Standards Catalogue'!$A:$A,'Standards Catalogue'!$B:$B,""),IF(B514="P",_xludf.XLOOKUP(A514,'Standards Catalogue'!$A:$A,'Standards Catalogue'!$D:$D,""),IF(B514="S",_xludf.XLOOKUP(A514,'Standards Catalogue'!$A:$A,'Standards Catalogue'!$F:$F,""),""))),"")</f>
        <v/>
      </c>
      <c r="O514" t="str">
        <f>IF(M514,IF(B514="Fe",_xludf.XLOOKUP(A514,'Standards Catalogue'!$A:$A,'Standards Catalogue'!$C:$C,""),IF(B514="P",_xludf.XLOOKUP(A514,'Standards Catalogue'!$A:$A,'Standards Catalogue'!$E:$E,""),IF(B514="S",_xludf.XLOOKUP(A514,'Standards Catalogue'!$A:$A,'Standards Catalogue'!$G:$G,""),""))),"")</f>
        <v/>
      </c>
      <c r="P514" t="str">
        <f t="shared" ref="P514:P577" si="42">IF(M514,N514-2*O514,"")</f>
        <v/>
      </c>
      <c r="Q514" t="str">
        <f t="shared" ref="Q514:Q577" si="43">IF(M514,N514+2*O514,"")</f>
        <v/>
      </c>
      <c r="R514" t="str">
        <f t="shared" ref="R514:R577" si="44">IF(M514,IF(OR(C514="",N514="",O514=""),"",IF(AND(C514&gt;=P514,C514&lt;=Q514),"PASS","FAIL")),"")</f>
        <v/>
      </c>
    </row>
    <row r="515" spans="12:18" x14ac:dyDescent="0.25">
      <c r="L515" t="str">
        <f t="shared" si="40"/>
        <v/>
      </c>
      <c r="M515" t="b">
        <f t="shared" si="41"/>
        <v>0</v>
      </c>
      <c r="N515" t="str">
        <f>IF(M515,IF(B515="Fe",_xludf.XLOOKUP(A515,'Standards Catalogue'!$A:$A,'Standards Catalogue'!$B:$B,""),IF(B515="P",_xludf.XLOOKUP(A515,'Standards Catalogue'!$A:$A,'Standards Catalogue'!$D:$D,""),IF(B515="S",_xludf.XLOOKUP(A515,'Standards Catalogue'!$A:$A,'Standards Catalogue'!$F:$F,""),""))),"")</f>
        <v/>
      </c>
      <c r="O515" t="str">
        <f>IF(M515,IF(B515="Fe",_xludf.XLOOKUP(A515,'Standards Catalogue'!$A:$A,'Standards Catalogue'!$C:$C,""),IF(B515="P",_xludf.XLOOKUP(A515,'Standards Catalogue'!$A:$A,'Standards Catalogue'!$E:$E,""),IF(B515="S",_xludf.XLOOKUP(A515,'Standards Catalogue'!$A:$A,'Standards Catalogue'!$G:$G,""),""))),"")</f>
        <v/>
      </c>
      <c r="P515" t="str">
        <f t="shared" si="42"/>
        <v/>
      </c>
      <c r="Q515" t="str">
        <f t="shared" si="43"/>
        <v/>
      </c>
      <c r="R515" t="str">
        <f t="shared" si="44"/>
        <v/>
      </c>
    </row>
    <row r="516" spans="12:18" x14ac:dyDescent="0.25">
      <c r="L516" t="str">
        <f t="shared" si="40"/>
        <v/>
      </c>
      <c r="M516" t="b">
        <f t="shared" si="41"/>
        <v>0</v>
      </c>
      <c r="N516" t="str">
        <f>IF(M516,IF(B516="Fe",_xludf.XLOOKUP(A516,'Standards Catalogue'!$A:$A,'Standards Catalogue'!$B:$B,""),IF(B516="P",_xludf.XLOOKUP(A516,'Standards Catalogue'!$A:$A,'Standards Catalogue'!$D:$D,""),IF(B516="S",_xludf.XLOOKUP(A516,'Standards Catalogue'!$A:$A,'Standards Catalogue'!$F:$F,""),""))),"")</f>
        <v/>
      </c>
      <c r="O516" t="str">
        <f>IF(M516,IF(B516="Fe",_xludf.XLOOKUP(A516,'Standards Catalogue'!$A:$A,'Standards Catalogue'!$C:$C,""),IF(B516="P",_xludf.XLOOKUP(A516,'Standards Catalogue'!$A:$A,'Standards Catalogue'!$E:$E,""),IF(B516="S",_xludf.XLOOKUP(A516,'Standards Catalogue'!$A:$A,'Standards Catalogue'!$G:$G,""),""))),"")</f>
        <v/>
      </c>
      <c r="P516" t="str">
        <f t="shared" si="42"/>
        <v/>
      </c>
      <c r="Q516" t="str">
        <f t="shared" si="43"/>
        <v/>
      </c>
      <c r="R516" t="str">
        <f t="shared" si="44"/>
        <v/>
      </c>
    </row>
    <row r="517" spans="12:18" x14ac:dyDescent="0.25">
      <c r="L517" t="str">
        <f t="shared" si="40"/>
        <v/>
      </c>
      <c r="M517" t="b">
        <f t="shared" si="41"/>
        <v>0</v>
      </c>
      <c r="N517" t="str">
        <f>IF(M517,IF(B517="Fe",_xludf.XLOOKUP(A517,'Standards Catalogue'!$A:$A,'Standards Catalogue'!$B:$B,""),IF(B517="P",_xludf.XLOOKUP(A517,'Standards Catalogue'!$A:$A,'Standards Catalogue'!$D:$D,""),IF(B517="S",_xludf.XLOOKUP(A517,'Standards Catalogue'!$A:$A,'Standards Catalogue'!$F:$F,""),""))),"")</f>
        <v/>
      </c>
      <c r="O517" t="str">
        <f>IF(M517,IF(B517="Fe",_xludf.XLOOKUP(A517,'Standards Catalogue'!$A:$A,'Standards Catalogue'!$C:$C,""),IF(B517="P",_xludf.XLOOKUP(A517,'Standards Catalogue'!$A:$A,'Standards Catalogue'!$E:$E,""),IF(B517="S",_xludf.XLOOKUP(A517,'Standards Catalogue'!$A:$A,'Standards Catalogue'!$G:$G,""),""))),"")</f>
        <v/>
      </c>
      <c r="P517" t="str">
        <f t="shared" si="42"/>
        <v/>
      </c>
      <c r="Q517" t="str">
        <f t="shared" si="43"/>
        <v/>
      </c>
      <c r="R517" t="str">
        <f t="shared" si="44"/>
        <v/>
      </c>
    </row>
    <row r="518" spans="12:18" x14ac:dyDescent="0.25">
      <c r="L518" t="str">
        <f t="shared" si="40"/>
        <v/>
      </c>
      <c r="M518" t="b">
        <f t="shared" si="41"/>
        <v>0</v>
      </c>
      <c r="N518" t="str">
        <f>IF(M518,IF(B518="Fe",_xludf.XLOOKUP(A518,'Standards Catalogue'!$A:$A,'Standards Catalogue'!$B:$B,""),IF(B518="P",_xludf.XLOOKUP(A518,'Standards Catalogue'!$A:$A,'Standards Catalogue'!$D:$D,""),IF(B518="S",_xludf.XLOOKUP(A518,'Standards Catalogue'!$A:$A,'Standards Catalogue'!$F:$F,""),""))),"")</f>
        <v/>
      </c>
      <c r="O518" t="str">
        <f>IF(M518,IF(B518="Fe",_xludf.XLOOKUP(A518,'Standards Catalogue'!$A:$A,'Standards Catalogue'!$C:$C,""),IF(B518="P",_xludf.XLOOKUP(A518,'Standards Catalogue'!$A:$A,'Standards Catalogue'!$E:$E,""),IF(B518="S",_xludf.XLOOKUP(A518,'Standards Catalogue'!$A:$A,'Standards Catalogue'!$G:$G,""),""))),"")</f>
        <v/>
      </c>
      <c r="P518" t="str">
        <f t="shared" si="42"/>
        <v/>
      </c>
      <c r="Q518" t="str">
        <f t="shared" si="43"/>
        <v/>
      </c>
      <c r="R518" t="str">
        <f t="shared" si="44"/>
        <v/>
      </c>
    </row>
    <row r="519" spans="12:18" x14ac:dyDescent="0.25">
      <c r="L519" t="str">
        <f t="shared" si="40"/>
        <v/>
      </c>
      <c r="M519" t="b">
        <f t="shared" si="41"/>
        <v>0</v>
      </c>
      <c r="N519" t="str">
        <f>IF(M519,IF(B519="Fe",_xludf.XLOOKUP(A519,'Standards Catalogue'!$A:$A,'Standards Catalogue'!$B:$B,""),IF(B519="P",_xludf.XLOOKUP(A519,'Standards Catalogue'!$A:$A,'Standards Catalogue'!$D:$D,""),IF(B519="S",_xludf.XLOOKUP(A519,'Standards Catalogue'!$A:$A,'Standards Catalogue'!$F:$F,""),""))),"")</f>
        <v/>
      </c>
      <c r="O519" t="str">
        <f>IF(M519,IF(B519="Fe",_xludf.XLOOKUP(A519,'Standards Catalogue'!$A:$A,'Standards Catalogue'!$C:$C,""),IF(B519="P",_xludf.XLOOKUP(A519,'Standards Catalogue'!$A:$A,'Standards Catalogue'!$E:$E,""),IF(B519="S",_xludf.XLOOKUP(A519,'Standards Catalogue'!$A:$A,'Standards Catalogue'!$G:$G,""),""))),"")</f>
        <v/>
      </c>
      <c r="P519" t="str">
        <f t="shared" si="42"/>
        <v/>
      </c>
      <c r="Q519" t="str">
        <f t="shared" si="43"/>
        <v/>
      </c>
      <c r="R519" t="str">
        <f t="shared" si="44"/>
        <v/>
      </c>
    </row>
    <row r="520" spans="12:18" x14ac:dyDescent="0.25">
      <c r="L520" t="str">
        <f t="shared" si="40"/>
        <v/>
      </c>
      <c r="M520" t="b">
        <f t="shared" si="41"/>
        <v>0</v>
      </c>
      <c r="N520" t="str">
        <f>IF(M520,IF(B520="Fe",_xludf.XLOOKUP(A520,'Standards Catalogue'!$A:$A,'Standards Catalogue'!$B:$B,""),IF(B520="P",_xludf.XLOOKUP(A520,'Standards Catalogue'!$A:$A,'Standards Catalogue'!$D:$D,""),IF(B520="S",_xludf.XLOOKUP(A520,'Standards Catalogue'!$A:$A,'Standards Catalogue'!$F:$F,""),""))),"")</f>
        <v/>
      </c>
      <c r="O520" t="str">
        <f>IF(M520,IF(B520="Fe",_xludf.XLOOKUP(A520,'Standards Catalogue'!$A:$A,'Standards Catalogue'!$C:$C,""),IF(B520="P",_xludf.XLOOKUP(A520,'Standards Catalogue'!$A:$A,'Standards Catalogue'!$E:$E,""),IF(B520="S",_xludf.XLOOKUP(A520,'Standards Catalogue'!$A:$A,'Standards Catalogue'!$G:$G,""),""))),"")</f>
        <v/>
      </c>
      <c r="P520" t="str">
        <f t="shared" si="42"/>
        <v/>
      </c>
      <c r="Q520" t="str">
        <f t="shared" si="43"/>
        <v/>
      </c>
      <c r="R520" t="str">
        <f t="shared" si="44"/>
        <v/>
      </c>
    </row>
    <row r="521" spans="12:18" x14ac:dyDescent="0.25">
      <c r="L521" t="str">
        <f t="shared" si="40"/>
        <v/>
      </c>
      <c r="M521" t="b">
        <f t="shared" si="41"/>
        <v>0</v>
      </c>
      <c r="N521" t="str">
        <f>IF(M521,IF(B521="Fe",_xludf.XLOOKUP(A521,'Standards Catalogue'!$A:$A,'Standards Catalogue'!$B:$B,""),IF(B521="P",_xludf.XLOOKUP(A521,'Standards Catalogue'!$A:$A,'Standards Catalogue'!$D:$D,""),IF(B521="S",_xludf.XLOOKUP(A521,'Standards Catalogue'!$A:$A,'Standards Catalogue'!$F:$F,""),""))),"")</f>
        <v/>
      </c>
      <c r="O521" t="str">
        <f>IF(M521,IF(B521="Fe",_xludf.XLOOKUP(A521,'Standards Catalogue'!$A:$A,'Standards Catalogue'!$C:$C,""),IF(B521="P",_xludf.XLOOKUP(A521,'Standards Catalogue'!$A:$A,'Standards Catalogue'!$E:$E,""),IF(B521="S",_xludf.XLOOKUP(A521,'Standards Catalogue'!$A:$A,'Standards Catalogue'!$G:$G,""),""))),"")</f>
        <v/>
      </c>
      <c r="P521" t="str">
        <f t="shared" si="42"/>
        <v/>
      </c>
      <c r="Q521" t="str">
        <f t="shared" si="43"/>
        <v/>
      </c>
      <c r="R521" t="str">
        <f t="shared" si="44"/>
        <v/>
      </c>
    </row>
    <row r="522" spans="12:18" x14ac:dyDescent="0.25">
      <c r="L522" t="str">
        <f t="shared" si="40"/>
        <v/>
      </c>
      <c r="M522" t="b">
        <f t="shared" si="41"/>
        <v>0</v>
      </c>
      <c r="N522" t="str">
        <f>IF(M522,IF(B522="Fe",_xludf.XLOOKUP(A522,'Standards Catalogue'!$A:$A,'Standards Catalogue'!$B:$B,""),IF(B522="P",_xludf.XLOOKUP(A522,'Standards Catalogue'!$A:$A,'Standards Catalogue'!$D:$D,""),IF(B522="S",_xludf.XLOOKUP(A522,'Standards Catalogue'!$A:$A,'Standards Catalogue'!$F:$F,""),""))),"")</f>
        <v/>
      </c>
      <c r="O522" t="str">
        <f>IF(M522,IF(B522="Fe",_xludf.XLOOKUP(A522,'Standards Catalogue'!$A:$A,'Standards Catalogue'!$C:$C,""),IF(B522="P",_xludf.XLOOKUP(A522,'Standards Catalogue'!$A:$A,'Standards Catalogue'!$E:$E,""),IF(B522="S",_xludf.XLOOKUP(A522,'Standards Catalogue'!$A:$A,'Standards Catalogue'!$G:$G,""),""))),"")</f>
        <v/>
      </c>
      <c r="P522" t="str">
        <f t="shared" si="42"/>
        <v/>
      </c>
      <c r="Q522" t="str">
        <f t="shared" si="43"/>
        <v/>
      </c>
      <c r="R522" t="str">
        <f t="shared" si="44"/>
        <v/>
      </c>
    </row>
    <row r="523" spans="12:18" x14ac:dyDescent="0.25">
      <c r="L523" t="str">
        <f t="shared" si="40"/>
        <v/>
      </c>
      <c r="M523" t="b">
        <f t="shared" si="41"/>
        <v>0</v>
      </c>
      <c r="N523" t="str">
        <f>IF(M523,IF(B523="Fe",_xludf.XLOOKUP(A523,'Standards Catalogue'!$A:$A,'Standards Catalogue'!$B:$B,""),IF(B523="P",_xludf.XLOOKUP(A523,'Standards Catalogue'!$A:$A,'Standards Catalogue'!$D:$D,""),IF(B523="S",_xludf.XLOOKUP(A523,'Standards Catalogue'!$A:$A,'Standards Catalogue'!$F:$F,""),""))),"")</f>
        <v/>
      </c>
      <c r="O523" t="str">
        <f>IF(M523,IF(B523="Fe",_xludf.XLOOKUP(A523,'Standards Catalogue'!$A:$A,'Standards Catalogue'!$C:$C,""),IF(B523="P",_xludf.XLOOKUP(A523,'Standards Catalogue'!$A:$A,'Standards Catalogue'!$E:$E,""),IF(B523="S",_xludf.XLOOKUP(A523,'Standards Catalogue'!$A:$A,'Standards Catalogue'!$G:$G,""),""))),"")</f>
        <v/>
      </c>
      <c r="P523" t="str">
        <f t="shared" si="42"/>
        <v/>
      </c>
      <c r="Q523" t="str">
        <f t="shared" si="43"/>
        <v/>
      </c>
      <c r="R523" t="str">
        <f t="shared" si="44"/>
        <v/>
      </c>
    </row>
    <row r="524" spans="12:18" x14ac:dyDescent="0.25">
      <c r="L524" t="str">
        <f t="shared" si="40"/>
        <v/>
      </c>
      <c r="M524" t="b">
        <f t="shared" si="41"/>
        <v>0</v>
      </c>
      <c r="N524" t="str">
        <f>IF(M524,IF(B524="Fe",_xludf.XLOOKUP(A524,'Standards Catalogue'!$A:$A,'Standards Catalogue'!$B:$B,""),IF(B524="P",_xludf.XLOOKUP(A524,'Standards Catalogue'!$A:$A,'Standards Catalogue'!$D:$D,""),IF(B524="S",_xludf.XLOOKUP(A524,'Standards Catalogue'!$A:$A,'Standards Catalogue'!$F:$F,""),""))),"")</f>
        <v/>
      </c>
      <c r="O524" t="str">
        <f>IF(M524,IF(B524="Fe",_xludf.XLOOKUP(A524,'Standards Catalogue'!$A:$A,'Standards Catalogue'!$C:$C,""),IF(B524="P",_xludf.XLOOKUP(A524,'Standards Catalogue'!$A:$A,'Standards Catalogue'!$E:$E,""),IF(B524="S",_xludf.XLOOKUP(A524,'Standards Catalogue'!$A:$A,'Standards Catalogue'!$G:$G,""),""))),"")</f>
        <v/>
      </c>
      <c r="P524" t="str">
        <f t="shared" si="42"/>
        <v/>
      </c>
      <c r="Q524" t="str">
        <f t="shared" si="43"/>
        <v/>
      </c>
      <c r="R524" t="str">
        <f t="shared" si="44"/>
        <v/>
      </c>
    </row>
    <row r="525" spans="12:18" x14ac:dyDescent="0.25">
      <c r="L525" t="str">
        <f t="shared" si="40"/>
        <v/>
      </c>
      <c r="M525" t="b">
        <f t="shared" si="41"/>
        <v>0</v>
      </c>
      <c r="N525" t="str">
        <f>IF(M525,IF(B525="Fe",_xludf.XLOOKUP(A525,'Standards Catalogue'!$A:$A,'Standards Catalogue'!$B:$B,""),IF(B525="P",_xludf.XLOOKUP(A525,'Standards Catalogue'!$A:$A,'Standards Catalogue'!$D:$D,""),IF(B525="S",_xludf.XLOOKUP(A525,'Standards Catalogue'!$A:$A,'Standards Catalogue'!$F:$F,""),""))),"")</f>
        <v/>
      </c>
      <c r="O525" t="str">
        <f>IF(M525,IF(B525="Fe",_xludf.XLOOKUP(A525,'Standards Catalogue'!$A:$A,'Standards Catalogue'!$C:$C,""),IF(B525="P",_xludf.XLOOKUP(A525,'Standards Catalogue'!$A:$A,'Standards Catalogue'!$E:$E,""),IF(B525="S",_xludf.XLOOKUP(A525,'Standards Catalogue'!$A:$A,'Standards Catalogue'!$G:$G,""),""))),"")</f>
        <v/>
      </c>
      <c r="P525" t="str">
        <f t="shared" si="42"/>
        <v/>
      </c>
      <c r="Q525" t="str">
        <f t="shared" si="43"/>
        <v/>
      </c>
      <c r="R525" t="str">
        <f t="shared" si="44"/>
        <v/>
      </c>
    </row>
    <row r="526" spans="12:18" x14ac:dyDescent="0.25">
      <c r="L526" t="str">
        <f t="shared" si="40"/>
        <v/>
      </c>
      <c r="M526" t="b">
        <f t="shared" si="41"/>
        <v>0</v>
      </c>
      <c r="N526" t="str">
        <f>IF(M526,IF(B526="Fe",_xludf.XLOOKUP(A526,'Standards Catalogue'!$A:$A,'Standards Catalogue'!$B:$B,""),IF(B526="P",_xludf.XLOOKUP(A526,'Standards Catalogue'!$A:$A,'Standards Catalogue'!$D:$D,""),IF(B526="S",_xludf.XLOOKUP(A526,'Standards Catalogue'!$A:$A,'Standards Catalogue'!$F:$F,""),""))),"")</f>
        <v/>
      </c>
      <c r="O526" t="str">
        <f>IF(M526,IF(B526="Fe",_xludf.XLOOKUP(A526,'Standards Catalogue'!$A:$A,'Standards Catalogue'!$C:$C,""),IF(B526="P",_xludf.XLOOKUP(A526,'Standards Catalogue'!$A:$A,'Standards Catalogue'!$E:$E,""),IF(B526="S",_xludf.XLOOKUP(A526,'Standards Catalogue'!$A:$A,'Standards Catalogue'!$G:$G,""),""))),"")</f>
        <v/>
      </c>
      <c r="P526" t="str">
        <f t="shared" si="42"/>
        <v/>
      </c>
      <c r="Q526" t="str">
        <f t="shared" si="43"/>
        <v/>
      </c>
      <c r="R526" t="str">
        <f t="shared" si="44"/>
        <v/>
      </c>
    </row>
    <row r="527" spans="12:18" x14ac:dyDescent="0.25">
      <c r="L527" t="str">
        <f t="shared" si="40"/>
        <v/>
      </c>
      <c r="M527" t="b">
        <f t="shared" si="41"/>
        <v>0</v>
      </c>
      <c r="N527" t="str">
        <f>IF(M527,IF(B527="Fe",_xludf.XLOOKUP(A527,'Standards Catalogue'!$A:$A,'Standards Catalogue'!$B:$B,""),IF(B527="P",_xludf.XLOOKUP(A527,'Standards Catalogue'!$A:$A,'Standards Catalogue'!$D:$D,""),IF(B527="S",_xludf.XLOOKUP(A527,'Standards Catalogue'!$A:$A,'Standards Catalogue'!$F:$F,""),""))),"")</f>
        <v/>
      </c>
      <c r="O527" t="str">
        <f>IF(M527,IF(B527="Fe",_xludf.XLOOKUP(A527,'Standards Catalogue'!$A:$A,'Standards Catalogue'!$C:$C,""),IF(B527="P",_xludf.XLOOKUP(A527,'Standards Catalogue'!$A:$A,'Standards Catalogue'!$E:$E,""),IF(B527="S",_xludf.XLOOKUP(A527,'Standards Catalogue'!$A:$A,'Standards Catalogue'!$G:$G,""),""))),"")</f>
        <v/>
      </c>
      <c r="P527" t="str">
        <f t="shared" si="42"/>
        <v/>
      </c>
      <c r="Q527" t="str">
        <f t="shared" si="43"/>
        <v/>
      </c>
      <c r="R527" t="str">
        <f t="shared" si="44"/>
        <v/>
      </c>
    </row>
    <row r="528" spans="12:18" x14ac:dyDescent="0.25">
      <c r="L528" t="str">
        <f t="shared" si="40"/>
        <v/>
      </c>
      <c r="M528" t="b">
        <f t="shared" si="41"/>
        <v>0</v>
      </c>
      <c r="N528" t="str">
        <f>IF(M528,IF(B528="Fe",_xludf.XLOOKUP(A528,'Standards Catalogue'!$A:$A,'Standards Catalogue'!$B:$B,""),IF(B528="P",_xludf.XLOOKUP(A528,'Standards Catalogue'!$A:$A,'Standards Catalogue'!$D:$D,""),IF(B528="S",_xludf.XLOOKUP(A528,'Standards Catalogue'!$A:$A,'Standards Catalogue'!$F:$F,""),""))),"")</f>
        <v/>
      </c>
      <c r="O528" t="str">
        <f>IF(M528,IF(B528="Fe",_xludf.XLOOKUP(A528,'Standards Catalogue'!$A:$A,'Standards Catalogue'!$C:$C,""),IF(B528="P",_xludf.XLOOKUP(A528,'Standards Catalogue'!$A:$A,'Standards Catalogue'!$E:$E,""),IF(B528="S",_xludf.XLOOKUP(A528,'Standards Catalogue'!$A:$A,'Standards Catalogue'!$G:$G,""),""))),"")</f>
        <v/>
      </c>
      <c r="P528" t="str">
        <f t="shared" si="42"/>
        <v/>
      </c>
      <c r="Q528" t="str">
        <f t="shared" si="43"/>
        <v/>
      </c>
      <c r="R528" t="str">
        <f t="shared" si="44"/>
        <v/>
      </c>
    </row>
    <row r="529" spans="12:18" x14ac:dyDescent="0.25">
      <c r="L529" t="str">
        <f t="shared" si="40"/>
        <v/>
      </c>
      <c r="M529" t="b">
        <f t="shared" si="41"/>
        <v>0</v>
      </c>
      <c r="N529" t="str">
        <f>IF(M529,IF(B529="Fe",_xludf.XLOOKUP(A529,'Standards Catalogue'!$A:$A,'Standards Catalogue'!$B:$B,""),IF(B529="P",_xludf.XLOOKUP(A529,'Standards Catalogue'!$A:$A,'Standards Catalogue'!$D:$D,""),IF(B529="S",_xludf.XLOOKUP(A529,'Standards Catalogue'!$A:$A,'Standards Catalogue'!$F:$F,""),""))),"")</f>
        <v/>
      </c>
      <c r="O529" t="str">
        <f>IF(M529,IF(B529="Fe",_xludf.XLOOKUP(A529,'Standards Catalogue'!$A:$A,'Standards Catalogue'!$C:$C,""),IF(B529="P",_xludf.XLOOKUP(A529,'Standards Catalogue'!$A:$A,'Standards Catalogue'!$E:$E,""),IF(B529="S",_xludf.XLOOKUP(A529,'Standards Catalogue'!$A:$A,'Standards Catalogue'!$G:$G,""),""))),"")</f>
        <v/>
      </c>
      <c r="P529" t="str">
        <f t="shared" si="42"/>
        <v/>
      </c>
      <c r="Q529" t="str">
        <f t="shared" si="43"/>
        <v/>
      </c>
      <c r="R529" t="str">
        <f t="shared" si="44"/>
        <v/>
      </c>
    </row>
    <row r="530" spans="12:18" x14ac:dyDescent="0.25">
      <c r="L530" t="str">
        <f t="shared" si="40"/>
        <v/>
      </c>
      <c r="M530" t="b">
        <f t="shared" si="41"/>
        <v>0</v>
      </c>
      <c r="N530" t="str">
        <f>IF(M530,IF(B530="Fe",_xludf.XLOOKUP(A530,'Standards Catalogue'!$A:$A,'Standards Catalogue'!$B:$B,""),IF(B530="P",_xludf.XLOOKUP(A530,'Standards Catalogue'!$A:$A,'Standards Catalogue'!$D:$D,""),IF(B530="S",_xludf.XLOOKUP(A530,'Standards Catalogue'!$A:$A,'Standards Catalogue'!$F:$F,""),""))),"")</f>
        <v/>
      </c>
      <c r="O530" t="str">
        <f>IF(M530,IF(B530="Fe",_xludf.XLOOKUP(A530,'Standards Catalogue'!$A:$A,'Standards Catalogue'!$C:$C,""),IF(B530="P",_xludf.XLOOKUP(A530,'Standards Catalogue'!$A:$A,'Standards Catalogue'!$E:$E,""),IF(B530="S",_xludf.XLOOKUP(A530,'Standards Catalogue'!$A:$A,'Standards Catalogue'!$G:$G,""),""))),"")</f>
        <v/>
      </c>
      <c r="P530" t="str">
        <f t="shared" si="42"/>
        <v/>
      </c>
      <c r="Q530" t="str">
        <f t="shared" si="43"/>
        <v/>
      </c>
      <c r="R530" t="str">
        <f t="shared" si="44"/>
        <v/>
      </c>
    </row>
    <row r="531" spans="12:18" x14ac:dyDescent="0.25">
      <c r="L531" t="str">
        <f t="shared" si="40"/>
        <v/>
      </c>
      <c r="M531" t="b">
        <f t="shared" si="41"/>
        <v>0</v>
      </c>
      <c r="N531" t="str">
        <f>IF(M531,IF(B531="Fe",_xludf.XLOOKUP(A531,'Standards Catalogue'!$A:$A,'Standards Catalogue'!$B:$B,""),IF(B531="P",_xludf.XLOOKUP(A531,'Standards Catalogue'!$A:$A,'Standards Catalogue'!$D:$D,""),IF(B531="S",_xludf.XLOOKUP(A531,'Standards Catalogue'!$A:$A,'Standards Catalogue'!$F:$F,""),""))),"")</f>
        <v/>
      </c>
      <c r="O531" t="str">
        <f>IF(M531,IF(B531="Fe",_xludf.XLOOKUP(A531,'Standards Catalogue'!$A:$A,'Standards Catalogue'!$C:$C,""),IF(B531="P",_xludf.XLOOKUP(A531,'Standards Catalogue'!$A:$A,'Standards Catalogue'!$E:$E,""),IF(B531="S",_xludf.XLOOKUP(A531,'Standards Catalogue'!$A:$A,'Standards Catalogue'!$G:$G,""),""))),"")</f>
        <v/>
      </c>
      <c r="P531" t="str">
        <f t="shared" si="42"/>
        <v/>
      </c>
      <c r="Q531" t="str">
        <f t="shared" si="43"/>
        <v/>
      </c>
      <c r="R531" t="str">
        <f t="shared" si="44"/>
        <v/>
      </c>
    </row>
    <row r="532" spans="12:18" x14ac:dyDescent="0.25">
      <c r="L532" t="str">
        <f t="shared" si="40"/>
        <v/>
      </c>
      <c r="M532" t="b">
        <f t="shared" si="41"/>
        <v>0</v>
      </c>
      <c r="N532" t="str">
        <f>IF(M532,IF(B532="Fe",_xludf.XLOOKUP(A532,'Standards Catalogue'!$A:$A,'Standards Catalogue'!$B:$B,""),IF(B532="P",_xludf.XLOOKUP(A532,'Standards Catalogue'!$A:$A,'Standards Catalogue'!$D:$D,""),IF(B532="S",_xludf.XLOOKUP(A532,'Standards Catalogue'!$A:$A,'Standards Catalogue'!$F:$F,""),""))),"")</f>
        <v/>
      </c>
      <c r="O532" t="str">
        <f>IF(M532,IF(B532="Fe",_xludf.XLOOKUP(A532,'Standards Catalogue'!$A:$A,'Standards Catalogue'!$C:$C,""),IF(B532="P",_xludf.XLOOKUP(A532,'Standards Catalogue'!$A:$A,'Standards Catalogue'!$E:$E,""),IF(B532="S",_xludf.XLOOKUP(A532,'Standards Catalogue'!$A:$A,'Standards Catalogue'!$G:$G,""),""))),"")</f>
        <v/>
      </c>
      <c r="P532" t="str">
        <f t="shared" si="42"/>
        <v/>
      </c>
      <c r="Q532" t="str">
        <f t="shared" si="43"/>
        <v/>
      </c>
      <c r="R532" t="str">
        <f t="shared" si="44"/>
        <v/>
      </c>
    </row>
    <row r="533" spans="12:18" x14ac:dyDescent="0.25">
      <c r="L533" t="str">
        <f t="shared" si="40"/>
        <v/>
      </c>
      <c r="M533" t="b">
        <f t="shared" si="41"/>
        <v>0</v>
      </c>
      <c r="N533" t="str">
        <f>IF(M533,IF(B533="Fe",_xludf.XLOOKUP(A533,'Standards Catalogue'!$A:$A,'Standards Catalogue'!$B:$B,""),IF(B533="P",_xludf.XLOOKUP(A533,'Standards Catalogue'!$A:$A,'Standards Catalogue'!$D:$D,""),IF(B533="S",_xludf.XLOOKUP(A533,'Standards Catalogue'!$A:$A,'Standards Catalogue'!$F:$F,""),""))),"")</f>
        <v/>
      </c>
      <c r="O533" t="str">
        <f>IF(M533,IF(B533="Fe",_xludf.XLOOKUP(A533,'Standards Catalogue'!$A:$A,'Standards Catalogue'!$C:$C,""),IF(B533="P",_xludf.XLOOKUP(A533,'Standards Catalogue'!$A:$A,'Standards Catalogue'!$E:$E,""),IF(B533="S",_xludf.XLOOKUP(A533,'Standards Catalogue'!$A:$A,'Standards Catalogue'!$G:$G,""),""))),"")</f>
        <v/>
      </c>
      <c r="P533" t="str">
        <f t="shared" si="42"/>
        <v/>
      </c>
      <c r="Q533" t="str">
        <f t="shared" si="43"/>
        <v/>
      </c>
      <c r="R533" t="str">
        <f t="shared" si="44"/>
        <v/>
      </c>
    </row>
    <row r="534" spans="12:18" x14ac:dyDescent="0.25">
      <c r="L534" t="str">
        <f t="shared" si="40"/>
        <v/>
      </c>
      <c r="M534" t="b">
        <f t="shared" si="41"/>
        <v>0</v>
      </c>
      <c r="N534" t="str">
        <f>IF(M534,IF(B534="Fe",_xludf.XLOOKUP(A534,'Standards Catalogue'!$A:$A,'Standards Catalogue'!$B:$B,""),IF(B534="P",_xludf.XLOOKUP(A534,'Standards Catalogue'!$A:$A,'Standards Catalogue'!$D:$D,""),IF(B534="S",_xludf.XLOOKUP(A534,'Standards Catalogue'!$A:$A,'Standards Catalogue'!$F:$F,""),""))),"")</f>
        <v/>
      </c>
      <c r="O534" t="str">
        <f>IF(M534,IF(B534="Fe",_xludf.XLOOKUP(A534,'Standards Catalogue'!$A:$A,'Standards Catalogue'!$C:$C,""),IF(B534="P",_xludf.XLOOKUP(A534,'Standards Catalogue'!$A:$A,'Standards Catalogue'!$E:$E,""),IF(B534="S",_xludf.XLOOKUP(A534,'Standards Catalogue'!$A:$A,'Standards Catalogue'!$G:$G,""),""))),"")</f>
        <v/>
      </c>
      <c r="P534" t="str">
        <f t="shared" si="42"/>
        <v/>
      </c>
      <c r="Q534" t="str">
        <f t="shared" si="43"/>
        <v/>
      </c>
      <c r="R534" t="str">
        <f t="shared" si="44"/>
        <v/>
      </c>
    </row>
    <row r="535" spans="12:18" x14ac:dyDescent="0.25">
      <c r="L535" t="str">
        <f t="shared" si="40"/>
        <v/>
      </c>
      <c r="M535" t="b">
        <f t="shared" si="41"/>
        <v>0</v>
      </c>
      <c r="N535" t="str">
        <f>IF(M535,IF(B535="Fe",_xludf.XLOOKUP(A535,'Standards Catalogue'!$A:$A,'Standards Catalogue'!$B:$B,""),IF(B535="P",_xludf.XLOOKUP(A535,'Standards Catalogue'!$A:$A,'Standards Catalogue'!$D:$D,""),IF(B535="S",_xludf.XLOOKUP(A535,'Standards Catalogue'!$A:$A,'Standards Catalogue'!$F:$F,""),""))),"")</f>
        <v/>
      </c>
      <c r="O535" t="str">
        <f>IF(M535,IF(B535="Fe",_xludf.XLOOKUP(A535,'Standards Catalogue'!$A:$A,'Standards Catalogue'!$C:$C,""),IF(B535="P",_xludf.XLOOKUP(A535,'Standards Catalogue'!$A:$A,'Standards Catalogue'!$E:$E,""),IF(B535="S",_xludf.XLOOKUP(A535,'Standards Catalogue'!$A:$A,'Standards Catalogue'!$G:$G,""),""))),"")</f>
        <v/>
      </c>
      <c r="P535" t="str">
        <f t="shared" si="42"/>
        <v/>
      </c>
      <c r="Q535" t="str">
        <f t="shared" si="43"/>
        <v/>
      </c>
      <c r="R535" t="str">
        <f t="shared" si="44"/>
        <v/>
      </c>
    </row>
    <row r="536" spans="12:18" x14ac:dyDescent="0.25">
      <c r="L536" t="str">
        <f t="shared" si="40"/>
        <v/>
      </c>
      <c r="M536" t="b">
        <f t="shared" si="41"/>
        <v>0</v>
      </c>
      <c r="N536" t="str">
        <f>IF(M536,IF(B536="Fe",_xludf.XLOOKUP(A536,'Standards Catalogue'!$A:$A,'Standards Catalogue'!$B:$B,""),IF(B536="P",_xludf.XLOOKUP(A536,'Standards Catalogue'!$A:$A,'Standards Catalogue'!$D:$D,""),IF(B536="S",_xludf.XLOOKUP(A536,'Standards Catalogue'!$A:$A,'Standards Catalogue'!$F:$F,""),""))),"")</f>
        <v/>
      </c>
      <c r="O536" t="str">
        <f>IF(M536,IF(B536="Fe",_xludf.XLOOKUP(A536,'Standards Catalogue'!$A:$A,'Standards Catalogue'!$C:$C,""),IF(B536="P",_xludf.XLOOKUP(A536,'Standards Catalogue'!$A:$A,'Standards Catalogue'!$E:$E,""),IF(B536="S",_xludf.XLOOKUP(A536,'Standards Catalogue'!$A:$A,'Standards Catalogue'!$G:$G,""),""))),"")</f>
        <v/>
      </c>
      <c r="P536" t="str">
        <f t="shared" si="42"/>
        <v/>
      </c>
      <c r="Q536" t="str">
        <f t="shared" si="43"/>
        <v/>
      </c>
      <c r="R536" t="str">
        <f t="shared" si="44"/>
        <v/>
      </c>
    </row>
    <row r="537" spans="12:18" x14ac:dyDescent="0.25">
      <c r="L537" t="str">
        <f t="shared" si="40"/>
        <v/>
      </c>
      <c r="M537" t="b">
        <f t="shared" si="41"/>
        <v>0</v>
      </c>
      <c r="N537" t="str">
        <f>IF(M537,IF(B537="Fe",_xludf.XLOOKUP(A537,'Standards Catalogue'!$A:$A,'Standards Catalogue'!$B:$B,""),IF(B537="P",_xludf.XLOOKUP(A537,'Standards Catalogue'!$A:$A,'Standards Catalogue'!$D:$D,""),IF(B537="S",_xludf.XLOOKUP(A537,'Standards Catalogue'!$A:$A,'Standards Catalogue'!$F:$F,""),""))),"")</f>
        <v/>
      </c>
      <c r="O537" t="str">
        <f>IF(M537,IF(B537="Fe",_xludf.XLOOKUP(A537,'Standards Catalogue'!$A:$A,'Standards Catalogue'!$C:$C,""),IF(B537="P",_xludf.XLOOKUP(A537,'Standards Catalogue'!$A:$A,'Standards Catalogue'!$E:$E,""),IF(B537="S",_xludf.XLOOKUP(A537,'Standards Catalogue'!$A:$A,'Standards Catalogue'!$G:$G,""),""))),"")</f>
        <v/>
      </c>
      <c r="P537" t="str">
        <f t="shared" si="42"/>
        <v/>
      </c>
      <c r="Q537" t="str">
        <f t="shared" si="43"/>
        <v/>
      </c>
      <c r="R537" t="str">
        <f t="shared" si="44"/>
        <v/>
      </c>
    </row>
    <row r="538" spans="12:18" x14ac:dyDescent="0.25">
      <c r="L538" t="str">
        <f t="shared" si="40"/>
        <v/>
      </c>
      <c r="M538" t="b">
        <f t="shared" si="41"/>
        <v>0</v>
      </c>
      <c r="N538" t="str">
        <f>IF(M538,IF(B538="Fe",_xludf.XLOOKUP(A538,'Standards Catalogue'!$A:$A,'Standards Catalogue'!$B:$B,""),IF(B538="P",_xludf.XLOOKUP(A538,'Standards Catalogue'!$A:$A,'Standards Catalogue'!$D:$D,""),IF(B538="S",_xludf.XLOOKUP(A538,'Standards Catalogue'!$A:$A,'Standards Catalogue'!$F:$F,""),""))),"")</f>
        <v/>
      </c>
      <c r="O538" t="str">
        <f>IF(M538,IF(B538="Fe",_xludf.XLOOKUP(A538,'Standards Catalogue'!$A:$A,'Standards Catalogue'!$C:$C,""),IF(B538="P",_xludf.XLOOKUP(A538,'Standards Catalogue'!$A:$A,'Standards Catalogue'!$E:$E,""),IF(B538="S",_xludf.XLOOKUP(A538,'Standards Catalogue'!$A:$A,'Standards Catalogue'!$G:$G,""),""))),"")</f>
        <v/>
      </c>
      <c r="P538" t="str">
        <f t="shared" si="42"/>
        <v/>
      </c>
      <c r="Q538" t="str">
        <f t="shared" si="43"/>
        <v/>
      </c>
      <c r="R538" t="str">
        <f t="shared" si="44"/>
        <v/>
      </c>
    </row>
    <row r="539" spans="12:18" x14ac:dyDescent="0.25">
      <c r="L539" t="str">
        <f t="shared" si="40"/>
        <v/>
      </c>
      <c r="M539" t="b">
        <f t="shared" si="41"/>
        <v>0</v>
      </c>
      <c r="N539" t="str">
        <f>IF(M539,IF(B539="Fe",_xludf.XLOOKUP(A539,'Standards Catalogue'!$A:$A,'Standards Catalogue'!$B:$B,""),IF(B539="P",_xludf.XLOOKUP(A539,'Standards Catalogue'!$A:$A,'Standards Catalogue'!$D:$D,""),IF(B539="S",_xludf.XLOOKUP(A539,'Standards Catalogue'!$A:$A,'Standards Catalogue'!$F:$F,""),""))),"")</f>
        <v/>
      </c>
      <c r="O539" t="str">
        <f>IF(M539,IF(B539="Fe",_xludf.XLOOKUP(A539,'Standards Catalogue'!$A:$A,'Standards Catalogue'!$C:$C,""),IF(B539="P",_xludf.XLOOKUP(A539,'Standards Catalogue'!$A:$A,'Standards Catalogue'!$E:$E,""),IF(B539="S",_xludf.XLOOKUP(A539,'Standards Catalogue'!$A:$A,'Standards Catalogue'!$G:$G,""),""))),"")</f>
        <v/>
      </c>
      <c r="P539" t="str">
        <f t="shared" si="42"/>
        <v/>
      </c>
      <c r="Q539" t="str">
        <f t="shared" si="43"/>
        <v/>
      </c>
      <c r="R539" t="str">
        <f t="shared" si="44"/>
        <v/>
      </c>
    </row>
    <row r="540" spans="12:18" x14ac:dyDescent="0.25">
      <c r="L540" t="str">
        <f t="shared" si="40"/>
        <v/>
      </c>
      <c r="M540" t="b">
        <f t="shared" si="41"/>
        <v>0</v>
      </c>
      <c r="N540" t="str">
        <f>IF(M540,IF(B540="Fe",_xludf.XLOOKUP(A540,'Standards Catalogue'!$A:$A,'Standards Catalogue'!$B:$B,""),IF(B540="P",_xludf.XLOOKUP(A540,'Standards Catalogue'!$A:$A,'Standards Catalogue'!$D:$D,""),IF(B540="S",_xludf.XLOOKUP(A540,'Standards Catalogue'!$A:$A,'Standards Catalogue'!$F:$F,""),""))),"")</f>
        <v/>
      </c>
      <c r="O540" t="str">
        <f>IF(M540,IF(B540="Fe",_xludf.XLOOKUP(A540,'Standards Catalogue'!$A:$A,'Standards Catalogue'!$C:$C,""),IF(B540="P",_xludf.XLOOKUP(A540,'Standards Catalogue'!$A:$A,'Standards Catalogue'!$E:$E,""),IF(B540="S",_xludf.XLOOKUP(A540,'Standards Catalogue'!$A:$A,'Standards Catalogue'!$G:$G,""),""))),"")</f>
        <v/>
      </c>
      <c r="P540" t="str">
        <f t="shared" si="42"/>
        <v/>
      </c>
      <c r="Q540" t="str">
        <f t="shared" si="43"/>
        <v/>
      </c>
      <c r="R540" t="str">
        <f t="shared" si="44"/>
        <v/>
      </c>
    </row>
    <row r="541" spans="12:18" x14ac:dyDescent="0.25">
      <c r="L541" t="str">
        <f t="shared" si="40"/>
        <v/>
      </c>
      <c r="M541" t="b">
        <f t="shared" si="41"/>
        <v>0</v>
      </c>
      <c r="N541" t="str">
        <f>IF(M541,IF(B541="Fe",_xludf.XLOOKUP(A541,'Standards Catalogue'!$A:$A,'Standards Catalogue'!$B:$B,""),IF(B541="P",_xludf.XLOOKUP(A541,'Standards Catalogue'!$A:$A,'Standards Catalogue'!$D:$D,""),IF(B541="S",_xludf.XLOOKUP(A541,'Standards Catalogue'!$A:$A,'Standards Catalogue'!$F:$F,""),""))),"")</f>
        <v/>
      </c>
      <c r="O541" t="str">
        <f>IF(M541,IF(B541="Fe",_xludf.XLOOKUP(A541,'Standards Catalogue'!$A:$A,'Standards Catalogue'!$C:$C,""),IF(B541="P",_xludf.XLOOKUP(A541,'Standards Catalogue'!$A:$A,'Standards Catalogue'!$E:$E,""),IF(B541="S",_xludf.XLOOKUP(A541,'Standards Catalogue'!$A:$A,'Standards Catalogue'!$G:$G,""),""))),"")</f>
        <v/>
      </c>
      <c r="P541" t="str">
        <f t="shared" si="42"/>
        <v/>
      </c>
      <c r="Q541" t="str">
        <f t="shared" si="43"/>
        <v/>
      </c>
      <c r="R541" t="str">
        <f t="shared" si="44"/>
        <v/>
      </c>
    </row>
    <row r="542" spans="12:18" x14ac:dyDescent="0.25">
      <c r="L542" t="str">
        <f t="shared" si="40"/>
        <v/>
      </c>
      <c r="M542" t="b">
        <f t="shared" si="41"/>
        <v>0</v>
      </c>
      <c r="N542" t="str">
        <f>IF(M542,IF(B542="Fe",_xludf.XLOOKUP(A542,'Standards Catalogue'!$A:$A,'Standards Catalogue'!$B:$B,""),IF(B542="P",_xludf.XLOOKUP(A542,'Standards Catalogue'!$A:$A,'Standards Catalogue'!$D:$D,""),IF(B542="S",_xludf.XLOOKUP(A542,'Standards Catalogue'!$A:$A,'Standards Catalogue'!$F:$F,""),""))),"")</f>
        <v/>
      </c>
      <c r="O542" t="str">
        <f>IF(M542,IF(B542="Fe",_xludf.XLOOKUP(A542,'Standards Catalogue'!$A:$A,'Standards Catalogue'!$C:$C,""),IF(B542="P",_xludf.XLOOKUP(A542,'Standards Catalogue'!$A:$A,'Standards Catalogue'!$E:$E,""),IF(B542="S",_xludf.XLOOKUP(A542,'Standards Catalogue'!$A:$A,'Standards Catalogue'!$G:$G,""),""))),"")</f>
        <v/>
      </c>
      <c r="P542" t="str">
        <f t="shared" si="42"/>
        <v/>
      </c>
      <c r="Q542" t="str">
        <f t="shared" si="43"/>
        <v/>
      </c>
      <c r="R542" t="str">
        <f t="shared" si="44"/>
        <v/>
      </c>
    </row>
    <row r="543" spans="12:18" x14ac:dyDescent="0.25">
      <c r="L543" t="str">
        <f t="shared" si="40"/>
        <v/>
      </c>
      <c r="M543" t="b">
        <f t="shared" si="41"/>
        <v>0</v>
      </c>
      <c r="N543" t="str">
        <f>IF(M543,IF(B543="Fe",_xludf.XLOOKUP(A543,'Standards Catalogue'!$A:$A,'Standards Catalogue'!$B:$B,""),IF(B543="P",_xludf.XLOOKUP(A543,'Standards Catalogue'!$A:$A,'Standards Catalogue'!$D:$D,""),IF(B543="S",_xludf.XLOOKUP(A543,'Standards Catalogue'!$A:$A,'Standards Catalogue'!$F:$F,""),""))),"")</f>
        <v/>
      </c>
      <c r="O543" t="str">
        <f>IF(M543,IF(B543="Fe",_xludf.XLOOKUP(A543,'Standards Catalogue'!$A:$A,'Standards Catalogue'!$C:$C,""),IF(B543="P",_xludf.XLOOKUP(A543,'Standards Catalogue'!$A:$A,'Standards Catalogue'!$E:$E,""),IF(B543="S",_xludf.XLOOKUP(A543,'Standards Catalogue'!$A:$A,'Standards Catalogue'!$G:$G,""),""))),"")</f>
        <v/>
      </c>
      <c r="P543" t="str">
        <f t="shared" si="42"/>
        <v/>
      </c>
      <c r="Q543" t="str">
        <f t="shared" si="43"/>
        <v/>
      </c>
      <c r="R543" t="str">
        <f t="shared" si="44"/>
        <v/>
      </c>
    </row>
    <row r="544" spans="12:18" x14ac:dyDescent="0.25">
      <c r="L544" t="str">
        <f t="shared" si="40"/>
        <v/>
      </c>
      <c r="M544" t="b">
        <f t="shared" si="41"/>
        <v>0</v>
      </c>
      <c r="N544" t="str">
        <f>IF(M544,IF(B544="Fe",_xludf.XLOOKUP(A544,'Standards Catalogue'!$A:$A,'Standards Catalogue'!$B:$B,""),IF(B544="P",_xludf.XLOOKUP(A544,'Standards Catalogue'!$A:$A,'Standards Catalogue'!$D:$D,""),IF(B544="S",_xludf.XLOOKUP(A544,'Standards Catalogue'!$A:$A,'Standards Catalogue'!$F:$F,""),""))),"")</f>
        <v/>
      </c>
      <c r="O544" t="str">
        <f>IF(M544,IF(B544="Fe",_xludf.XLOOKUP(A544,'Standards Catalogue'!$A:$A,'Standards Catalogue'!$C:$C,""),IF(B544="P",_xludf.XLOOKUP(A544,'Standards Catalogue'!$A:$A,'Standards Catalogue'!$E:$E,""),IF(B544="S",_xludf.XLOOKUP(A544,'Standards Catalogue'!$A:$A,'Standards Catalogue'!$G:$G,""),""))),"")</f>
        <v/>
      </c>
      <c r="P544" t="str">
        <f t="shared" si="42"/>
        <v/>
      </c>
      <c r="Q544" t="str">
        <f t="shared" si="43"/>
        <v/>
      </c>
      <c r="R544" t="str">
        <f t="shared" si="44"/>
        <v/>
      </c>
    </row>
    <row r="545" spans="12:18" x14ac:dyDescent="0.25">
      <c r="L545" t="str">
        <f t="shared" si="40"/>
        <v/>
      </c>
      <c r="M545" t="b">
        <f t="shared" si="41"/>
        <v>0</v>
      </c>
      <c r="N545" t="str">
        <f>IF(M545,IF(B545="Fe",_xludf.XLOOKUP(A545,'Standards Catalogue'!$A:$A,'Standards Catalogue'!$B:$B,""),IF(B545="P",_xludf.XLOOKUP(A545,'Standards Catalogue'!$A:$A,'Standards Catalogue'!$D:$D,""),IF(B545="S",_xludf.XLOOKUP(A545,'Standards Catalogue'!$A:$A,'Standards Catalogue'!$F:$F,""),""))),"")</f>
        <v/>
      </c>
      <c r="O545" t="str">
        <f>IF(M545,IF(B545="Fe",_xludf.XLOOKUP(A545,'Standards Catalogue'!$A:$A,'Standards Catalogue'!$C:$C,""),IF(B545="P",_xludf.XLOOKUP(A545,'Standards Catalogue'!$A:$A,'Standards Catalogue'!$E:$E,""),IF(B545="S",_xludf.XLOOKUP(A545,'Standards Catalogue'!$A:$A,'Standards Catalogue'!$G:$G,""),""))),"")</f>
        <v/>
      </c>
      <c r="P545" t="str">
        <f t="shared" si="42"/>
        <v/>
      </c>
      <c r="Q545" t="str">
        <f t="shared" si="43"/>
        <v/>
      </c>
      <c r="R545" t="str">
        <f t="shared" si="44"/>
        <v/>
      </c>
    </row>
    <row r="546" spans="12:18" x14ac:dyDescent="0.25">
      <c r="L546" t="str">
        <f t="shared" si="40"/>
        <v/>
      </c>
      <c r="M546" t="b">
        <f t="shared" si="41"/>
        <v>0</v>
      </c>
      <c r="N546" t="str">
        <f>IF(M546,IF(B546="Fe",_xludf.XLOOKUP(A546,'Standards Catalogue'!$A:$A,'Standards Catalogue'!$B:$B,""),IF(B546="P",_xludf.XLOOKUP(A546,'Standards Catalogue'!$A:$A,'Standards Catalogue'!$D:$D,""),IF(B546="S",_xludf.XLOOKUP(A546,'Standards Catalogue'!$A:$A,'Standards Catalogue'!$F:$F,""),""))),"")</f>
        <v/>
      </c>
      <c r="O546" t="str">
        <f>IF(M546,IF(B546="Fe",_xludf.XLOOKUP(A546,'Standards Catalogue'!$A:$A,'Standards Catalogue'!$C:$C,""),IF(B546="P",_xludf.XLOOKUP(A546,'Standards Catalogue'!$A:$A,'Standards Catalogue'!$E:$E,""),IF(B546="S",_xludf.XLOOKUP(A546,'Standards Catalogue'!$A:$A,'Standards Catalogue'!$G:$G,""),""))),"")</f>
        <v/>
      </c>
      <c r="P546" t="str">
        <f t="shared" si="42"/>
        <v/>
      </c>
      <c r="Q546" t="str">
        <f t="shared" si="43"/>
        <v/>
      </c>
      <c r="R546" t="str">
        <f t="shared" si="44"/>
        <v/>
      </c>
    </row>
    <row r="547" spans="12:18" x14ac:dyDescent="0.25">
      <c r="L547" t="str">
        <f t="shared" si="40"/>
        <v/>
      </c>
      <c r="M547" t="b">
        <f t="shared" si="41"/>
        <v>0</v>
      </c>
      <c r="N547" t="str">
        <f>IF(M547,IF(B547="Fe",_xludf.XLOOKUP(A547,'Standards Catalogue'!$A:$A,'Standards Catalogue'!$B:$B,""),IF(B547="P",_xludf.XLOOKUP(A547,'Standards Catalogue'!$A:$A,'Standards Catalogue'!$D:$D,""),IF(B547="S",_xludf.XLOOKUP(A547,'Standards Catalogue'!$A:$A,'Standards Catalogue'!$F:$F,""),""))),"")</f>
        <v/>
      </c>
      <c r="O547" t="str">
        <f>IF(M547,IF(B547="Fe",_xludf.XLOOKUP(A547,'Standards Catalogue'!$A:$A,'Standards Catalogue'!$C:$C,""),IF(B547="P",_xludf.XLOOKUP(A547,'Standards Catalogue'!$A:$A,'Standards Catalogue'!$E:$E,""),IF(B547="S",_xludf.XLOOKUP(A547,'Standards Catalogue'!$A:$A,'Standards Catalogue'!$G:$G,""),""))),"")</f>
        <v/>
      </c>
      <c r="P547" t="str">
        <f t="shared" si="42"/>
        <v/>
      </c>
      <c r="Q547" t="str">
        <f t="shared" si="43"/>
        <v/>
      </c>
      <c r="R547" t="str">
        <f t="shared" si="44"/>
        <v/>
      </c>
    </row>
    <row r="548" spans="12:18" x14ac:dyDescent="0.25">
      <c r="L548" t="str">
        <f t="shared" si="40"/>
        <v/>
      </c>
      <c r="M548" t="b">
        <f t="shared" si="41"/>
        <v>0</v>
      </c>
      <c r="N548" t="str">
        <f>IF(M548,IF(B548="Fe",_xludf.XLOOKUP(A548,'Standards Catalogue'!$A:$A,'Standards Catalogue'!$B:$B,""),IF(B548="P",_xludf.XLOOKUP(A548,'Standards Catalogue'!$A:$A,'Standards Catalogue'!$D:$D,""),IF(B548="S",_xludf.XLOOKUP(A548,'Standards Catalogue'!$A:$A,'Standards Catalogue'!$F:$F,""),""))),"")</f>
        <v/>
      </c>
      <c r="O548" t="str">
        <f>IF(M548,IF(B548="Fe",_xludf.XLOOKUP(A548,'Standards Catalogue'!$A:$A,'Standards Catalogue'!$C:$C,""),IF(B548="P",_xludf.XLOOKUP(A548,'Standards Catalogue'!$A:$A,'Standards Catalogue'!$E:$E,""),IF(B548="S",_xludf.XLOOKUP(A548,'Standards Catalogue'!$A:$A,'Standards Catalogue'!$G:$G,""),""))),"")</f>
        <v/>
      </c>
      <c r="P548" t="str">
        <f t="shared" si="42"/>
        <v/>
      </c>
      <c r="Q548" t="str">
        <f t="shared" si="43"/>
        <v/>
      </c>
      <c r="R548" t="str">
        <f t="shared" si="44"/>
        <v/>
      </c>
    </row>
    <row r="549" spans="12:18" x14ac:dyDescent="0.25">
      <c r="L549" t="str">
        <f t="shared" si="40"/>
        <v/>
      </c>
      <c r="M549" t="b">
        <f t="shared" si="41"/>
        <v>0</v>
      </c>
      <c r="N549" t="str">
        <f>IF(M549,IF(B549="Fe",_xludf.XLOOKUP(A549,'Standards Catalogue'!$A:$A,'Standards Catalogue'!$B:$B,""),IF(B549="P",_xludf.XLOOKUP(A549,'Standards Catalogue'!$A:$A,'Standards Catalogue'!$D:$D,""),IF(B549="S",_xludf.XLOOKUP(A549,'Standards Catalogue'!$A:$A,'Standards Catalogue'!$F:$F,""),""))),"")</f>
        <v/>
      </c>
      <c r="O549" t="str">
        <f>IF(M549,IF(B549="Fe",_xludf.XLOOKUP(A549,'Standards Catalogue'!$A:$A,'Standards Catalogue'!$C:$C,""),IF(B549="P",_xludf.XLOOKUP(A549,'Standards Catalogue'!$A:$A,'Standards Catalogue'!$E:$E,""),IF(B549="S",_xludf.XLOOKUP(A549,'Standards Catalogue'!$A:$A,'Standards Catalogue'!$G:$G,""),""))),"")</f>
        <v/>
      </c>
      <c r="P549" t="str">
        <f t="shared" si="42"/>
        <v/>
      </c>
      <c r="Q549" t="str">
        <f t="shared" si="43"/>
        <v/>
      </c>
      <c r="R549" t="str">
        <f t="shared" si="44"/>
        <v/>
      </c>
    </row>
    <row r="550" spans="12:18" x14ac:dyDescent="0.25">
      <c r="L550" t="str">
        <f t="shared" si="40"/>
        <v/>
      </c>
      <c r="M550" t="b">
        <f t="shared" si="41"/>
        <v>0</v>
      </c>
      <c r="N550" t="str">
        <f>IF(M550,IF(B550="Fe",_xludf.XLOOKUP(A550,'Standards Catalogue'!$A:$A,'Standards Catalogue'!$B:$B,""),IF(B550="P",_xludf.XLOOKUP(A550,'Standards Catalogue'!$A:$A,'Standards Catalogue'!$D:$D,""),IF(B550="S",_xludf.XLOOKUP(A550,'Standards Catalogue'!$A:$A,'Standards Catalogue'!$F:$F,""),""))),"")</f>
        <v/>
      </c>
      <c r="O550" t="str">
        <f>IF(M550,IF(B550="Fe",_xludf.XLOOKUP(A550,'Standards Catalogue'!$A:$A,'Standards Catalogue'!$C:$C,""),IF(B550="P",_xludf.XLOOKUP(A550,'Standards Catalogue'!$A:$A,'Standards Catalogue'!$E:$E,""),IF(B550="S",_xludf.XLOOKUP(A550,'Standards Catalogue'!$A:$A,'Standards Catalogue'!$G:$G,""),""))),"")</f>
        <v/>
      </c>
      <c r="P550" t="str">
        <f t="shared" si="42"/>
        <v/>
      </c>
      <c r="Q550" t="str">
        <f t="shared" si="43"/>
        <v/>
      </c>
      <c r="R550" t="str">
        <f t="shared" si="44"/>
        <v/>
      </c>
    </row>
    <row r="551" spans="12:18" x14ac:dyDescent="0.25">
      <c r="L551" t="str">
        <f t="shared" si="40"/>
        <v/>
      </c>
      <c r="M551" t="b">
        <f t="shared" si="41"/>
        <v>0</v>
      </c>
      <c r="N551" t="str">
        <f>IF(M551,IF(B551="Fe",_xludf.XLOOKUP(A551,'Standards Catalogue'!$A:$A,'Standards Catalogue'!$B:$B,""),IF(B551="P",_xludf.XLOOKUP(A551,'Standards Catalogue'!$A:$A,'Standards Catalogue'!$D:$D,""),IF(B551="S",_xludf.XLOOKUP(A551,'Standards Catalogue'!$A:$A,'Standards Catalogue'!$F:$F,""),""))),"")</f>
        <v/>
      </c>
      <c r="O551" t="str">
        <f>IF(M551,IF(B551="Fe",_xludf.XLOOKUP(A551,'Standards Catalogue'!$A:$A,'Standards Catalogue'!$C:$C,""),IF(B551="P",_xludf.XLOOKUP(A551,'Standards Catalogue'!$A:$A,'Standards Catalogue'!$E:$E,""),IF(B551="S",_xludf.XLOOKUP(A551,'Standards Catalogue'!$A:$A,'Standards Catalogue'!$G:$G,""),""))),"")</f>
        <v/>
      </c>
      <c r="P551" t="str">
        <f t="shared" si="42"/>
        <v/>
      </c>
      <c r="Q551" t="str">
        <f t="shared" si="43"/>
        <v/>
      </c>
      <c r="R551" t="str">
        <f t="shared" si="44"/>
        <v/>
      </c>
    </row>
    <row r="552" spans="12:18" x14ac:dyDescent="0.25">
      <c r="L552" t="str">
        <f t="shared" si="40"/>
        <v/>
      </c>
      <c r="M552" t="b">
        <f t="shared" si="41"/>
        <v>0</v>
      </c>
      <c r="N552" t="str">
        <f>IF(M552,IF(B552="Fe",_xludf.XLOOKUP(A552,'Standards Catalogue'!$A:$A,'Standards Catalogue'!$B:$B,""),IF(B552="P",_xludf.XLOOKUP(A552,'Standards Catalogue'!$A:$A,'Standards Catalogue'!$D:$D,""),IF(B552="S",_xludf.XLOOKUP(A552,'Standards Catalogue'!$A:$A,'Standards Catalogue'!$F:$F,""),""))),"")</f>
        <v/>
      </c>
      <c r="O552" t="str">
        <f>IF(M552,IF(B552="Fe",_xludf.XLOOKUP(A552,'Standards Catalogue'!$A:$A,'Standards Catalogue'!$C:$C,""),IF(B552="P",_xludf.XLOOKUP(A552,'Standards Catalogue'!$A:$A,'Standards Catalogue'!$E:$E,""),IF(B552="S",_xludf.XLOOKUP(A552,'Standards Catalogue'!$A:$A,'Standards Catalogue'!$G:$G,""),""))),"")</f>
        <v/>
      </c>
      <c r="P552" t="str">
        <f t="shared" si="42"/>
        <v/>
      </c>
      <c r="Q552" t="str">
        <f t="shared" si="43"/>
        <v/>
      </c>
      <c r="R552" t="str">
        <f t="shared" si="44"/>
        <v/>
      </c>
    </row>
    <row r="553" spans="12:18" x14ac:dyDescent="0.25">
      <c r="L553" t="str">
        <f t="shared" si="40"/>
        <v/>
      </c>
      <c r="M553" t="b">
        <f t="shared" si="41"/>
        <v>0</v>
      </c>
      <c r="N553" t="str">
        <f>IF(M553,IF(B553="Fe",_xludf.XLOOKUP(A553,'Standards Catalogue'!$A:$A,'Standards Catalogue'!$B:$B,""),IF(B553="P",_xludf.XLOOKUP(A553,'Standards Catalogue'!$A:$A,'Standards Catalogue'!$D:$D,""),IF(B553="S",_xludf.XLOOKUP(A553,'Standards Catalogue'!$A:$A,'Standards Catalogue'!$F:$F,""),""))),"")</f>
        <v/>
      </c>
      <c r="O553" t="str">
        <f>IF(M553,IF(B553="Fe",_xludf.XLOOKUP(A553,'Standards Catalogue'!$A:$A,'Standards Catalogue'!$C:$C,""),IF(B553="P",_xludf.XLOOKUP(A553,'Standards Catalogue'!$A:$A,'Standards Catalogue'!$E:$E,""),IF(B553="S",_xludf.XLOOKUP(A553,'Standards Catalogue'!$A:$A,'Standards Catalogue'!$G:$G,""),""))),"")</f>
        <v/>
      </c>
      <c r="P553" t="str">
        <f t="shared" si="42"/>
        <v/>
      </c>
      <c r="Q553" t="str">
        <f t="shared" si="43"/>
        <v/>
      </c>
      <c r="R553" t="str">
        <f t="shared" si="44"/>
        <v/>
      </c>
    </row>
    <row r="554" spans="12:18" x14ac:dyDescent="0.25">
      <c r="L554" t="str">
        <f t="shared" si="40"/>
        <v/>
      </c>
      <c r="M554" t="b">
        <f t="shared" si="41"/>
        <v>0</v>
      </c>
      <c r="N554" t="str">
        <f>IF(M554,IF(B554="Fe",_xludf.XLOOKUP(A554,'Standards Catalogue'!$A:$A,'Standards Catalogue'!$B:$B,""),IF(B554="P",_xludf.XLOOKUP(A554,'Standards Catalogue'!$A:$A,'Standards Catalogue'!$D:$D,""),IF(B554="S",_xludf.XLOOKUP(A554,'Standards Catalogue'!$A:$A,'Standards Catalogue'!$F:$F,""),""))),"")</f>
        <v/>
      </c>
      <c r="O554" t="str">
        <f>IF(M554,IF(B554="Fe",_xludf.XLOOKUP(A554,'Standards Catalogue'!$A:$A,'Standards Catalogue'!$C:$C,""),IF(B554="P",_xludf.XLOOKUP(A554,'Standards Catalogue'!$A:$A,'Standards Catalogue'!$E:$E,""),IF(B554="S",_xludf.XLOOKUP(A554,'Standards Catalogue'!$A:$A,'Standards Catalogue'!$G:$G,""),""))),"")</f>
        <v/>
      </c>
      <c r="P554" t="str">
        <f t="shared" si="42"/>
        <v/>
      </c>
      <c r="Q554" t="str">
        <f t="shared" si="43"/>
        <v/>
      </c>
      <c r="R554" t="str">
        <f t="shared" si="44"/>
        <v/>
      </c>
    </row>
    <row r="555" spans="12:18" x14ac:dyDescent="0.25">
      <c r="L555" t="str">
        <f t="shared" si="40"/>
        <v/>
      </c>
      <c r="M555" t="b">
        <f t="shared" si="41"/>
        <v>0</v>
      </c>
      <c r="N555" t="str">
        <f>IF(M555,IF(B555="Fe",_xludf.XLOOKUP(A555,'Standards Catalogue'!$A:$A,'Standards Catalogue'!$B:$B,""),IF(B555="P",_xludf.XLOOKUP(A555,'Standards Catalogue'!$A:$A,'Standards Catalogue'!$D:$D,""),IF(B555="S",_xludf.XLOOKUP(A555,'Standards Catalogue'!$A:$A,'Standards Catalogue'!$F:$F,""),""))),"")</f>
        <v/>
      </c>
      <c r="O555" t="str">
        <f>IF(M555,IF(B555="Fe",_xludf.XLOOKUP(A555,'Standards Catalogue'!$A:$A,'Standards Catalogue'!$C:$C,""),IF(B555="P",_xludf.XLOOKUP(A555,'Standards Catalogue'!$A:$A,'Standards Catalogue'!$E:$E,""),IF(B555="S",_xludf.XLOOKUP(A555,'Standards Catalogue'!$A:$A,'Standards Catalogue'!$G:$G,""),""))),"")</f>
        <v/>
      </c>
      <c r="P555" t="str">
        <f t="shared" si="42"/>
        <v/>
      </c>
      <c r="Q555" t="str">
        <f t="shared" si="43"/>
        <v/>
      </c>
      <c r="R555" t="str">
        <f t="shared" si="44"/>
        <v/>
      </c>
    </row>
    <row r="556" spans="12:18" x14ac:dyDescent="0.25">
      <c r="L556" t="str">
        <f t="shared" si="40"/>
        <v/>
      </c>
      <c r="M556" t="b">
        <f t="shared" si="41"/>
        <v>0</v>
      </c>
      <c r="N556" t="str">
        <f>IF(M556,IF(B556="Fe",_xludf.XLOOKUP(A556,'Standards Catalogue'!$A:$A,'Standards Catalogue'!$B:$B,""),IF(B556="P",_xludf.XLOOKUP(A556,'Standards Catalogue'!$A:$A,'Standards Catalogue'!$D:$D,""),IF(B556="S",_xludf.XLOOKUP(A556,'Standards Catalogue'!$A:$A,'Standards Catalogue'!$F:$F,""),""))),"")</f>
        <v/>
      </c>
      <c r="O556" t="str">
        <f>IF(M556,IF(B556="Fe",_xludf.XLOOKUP(A556,'Standards Catalogue'!$A:$A,'Standards Catalogue'!$C:$C,""),IF(B556="P",_xludf.XLOOKUP(A556,'Standards Catalogue'!$A:$A,'Standards Catalogue'!$E:$E,""),IF(B556="S",_xludf.XLOOKUP(A556,'Standards Catalogue'!$A:$A,'Standards Catalogue'!$G:$G,""),""))),"")</f>
        <v/>
      </c>
      <c r="P556" t="str">
        <f t="shared" si="42"/>
        <v/>
      </c>
      <c r="Q556" t="str">
        <f t="shared" si="43"/>
        <v/>
      </c>
      <c r="R556" t="str">
        <f t="shared" si="44"/>
        <v/>
      </c>
    </row>
    <row r="557" spans="12:18" x14ac:dyDescent="0.25">
      <c r="L557" t="str">
        <f t="shared" si="40"/>
        <v/>
      </c>
      <c r="M557" t="b">
        <f t="shared" si="41"/>
        <v>0</v>
      </c>
      <c r="N557" t="str">
        <f>IF(M557,IF(B557="Fe",_xludf.XLOOKUP(A557,'Standards Catalogue'!$A:$A,'Standards Catalogue'!$B:$B,""),IF(B557="P",_xludf.XLOOKUP(A557,'Standards Catalogue'!$A:$A,'Standards Catalogue'!$D:$D,""),IF(B557="S",_xludf.XLOOKUP(A557,'Standards Catalogue'!$A:$A,'Standards Catalogue'!$F:$F,""),""))),"")</f>
        <v/>
      </c>
      <c r="O557" t="str">
        <f>IF(M557,IF(B557="Fe",_xludf.XLOOKUP(A557,'Standards Catalogue'!$A:$A,'Standards Catalogue'!$C:$C,""),IF(B557="P",_xludf.XLOOKUP(A557,'Standards Catalogue'!$A:$A,'Standards Catalogue'!$E:$E,""),IF(B557="S",_xludf.XLOOKUP(A557,'Standards Catalogue'!$A:$A,'Standards Catalogue'!$G:$G,""),""))),"")</f>
        <v/>
      </c>
      <c r="P557" t="str">
        <f t="shared" si="42"/>
        <v/>
      </c>
      <c r="Q557" t="str">
        <f t="shared" si="43"/>
        <v/>
      </c>
      <c r="R557" t="str">
        <f t="shared" si="44"/>
        <v/>
      </c>
    </row>
    <row r="558" spans="12:18" x14ac:dyDescent="0.25">
      <c r="L558" t="str">
        <f t="shared" si="40"/>
        <v/>
      </c>
      <c r="M558" t="b">
        <f t="shared" si="41"/>
        <v>0</v>
      </c>
      <c r="N558" t="str">
        <f>IF(M558,IF(B558="Fe",_xludf.XLOOKUP(A558,'Standards Catalogue'!$A:$A,'Standards Catalogue'!$B:$B,""),IF(B558="P",_xludf.XLOOKUP(A558,'Standards Catalogue'!$A:$A,'Standards Catalogue'!$D:$D,""),IF(B558="S",_xludf.XLOOKUP(A558,'Standards Catalogue'!$A:$A,'Standards Catalogue'!$F:$F,""),""))),"")</f>
        <v/>
      </c>
      <c r="O558" t="str">
        <f>IF(M558,IF(B558="Fe",_xludf.XLOOKUP(A558,'Standards Catalogue'!$A:$A,'Standards Catalogue'!$C:$C,""),IF(B558="P",_xludf.XLOOKUP(A558,'Standards Catalogue'!$A:$A,'Standards Catalogue'!$E:$E,""),IF(B558="S",_xludf.XLOOKUP(A558,'Standards Catalogue'!$A:$A,'Standards Catalogue'!$G:$G,""),""))),"")</f>
        <v/>
      </c>
      <c r="P558" t="str">
        <f t="shared" si="42"/>
        <v/>
      </c>
      <c r="Q558" t="str">
        <f t="shared" si="43"/>
        <v/>
      </c>
      <c r="R558" t="str">
        <f t="shared" si="44"/>
        <v/>
      </c>
    </row>
    <row r="559" spans="12:18" x14ac:dyDescent="0.25">
      <c r="L559" t="str">
        <f t="shared" si="40"/>
        <v/>
      </c>
      <c r="M559" t="b">
        <f t="shared" si="41"/>
        <v>0</v>
      </c>
      <c r="N559" t="str">
        <f>IF(M559,IF(B559="Fe",_xludf.XLOOKUP(A559,'Standards Catalogue'!$A:$A,'Standards Catalogue'!$B:$B,""),IF(B559="P",_xludf.XLOOKUP(A559,'Standards Catalogue'!$A:$A,'Standards Catalogue'!$D:$D,""),IF(B559="S",_xludf.XLOOKUP(A559,'Standards Catalogue'!$A:$A,'Standards Catalogue'!$F:$F,""),""))),"")</f>
        <v/>
      </c>
      <c r="O559" t="str">
        <f>IF(M559,IF(B559="Fe",_xludf.XLOOKUP(A559,'Standards Catalogue'!$A:$A,'Standards Catalogue'!$C:$C,""),IF(B559="P",_xludf.XLOOKUP(A559,'Standards Catalogue'!$A:$A,'Standards Catalogue'!$E:$E,""),IF(B559="S",_xludf.XLOOKUP(A559,'Standards Catalogue'!$A:$A,'Standards Catalogue'!$G:$G,""),""))),"")</f>
        <v/>
      </c>
      <c r="P559" t="str">
        <f t="shared" si="42"/>
        <v/>
      </c>
      <c r="Q559" t="str">
        <f t="shared" si="43"/>
        <v/>
      </c>
      <c r="R559" t="str">
        <f t="shared" si="44"/>
        <v/>
      </c>
    </row>
    <row r="560" spans="12:18" x14ac:dyDescent="0.25">
      <c r="L560" t="str">
        <f t="shared" si="40"/>
        <v/>
      </c>
      <c r="M560" t="b">
        <f t="shared" si="41"/>
        <v>0</v>
      </c>
      <c r="N560" t="str">
        <f>IF(M560,IF(B560="Fe",_xludf.XLOOKUP(A560,'Standards Catalogue'!$A:$A,'Standards Catalogue'!$B:$B,""),IF(B560="P",_xludf.XLOOKUP(A560,'Standards Catalogue'!$A:$A,'Standards Catalogue'!$D:$D,""),IF(B560="S",_xludf.XLOOKUP(A560,'Standards Catalogue'!$A:$A,'Standards Catalogue'!$F:$F,""),""))),"")</f>
        <v/>
      </c>
      <c r="O560" t="str">
        <f>IF(M560,IF(B560="Fe",_xludf.XLOOKUP(A560,'Standards Catalogue'!$A:$A,'Standards Catalogue'!$C:$C,""),IF(B560="P",_xludf.XLOOKUP(A560,'Standards Catalogue'!$A:$A,'Standards Catalogue'!$E:$E,""),IF(B560="S",_xludf.XLOOKUP(A560,'Standards Catalogue'!$A:$A,'Standards Catalogue'!$G:$G,""),""))),"")</f>
        <v/>
      </c>
      <c r="P560" t="str">
        <f t="shared" si="42"/>
        <v/>
      </c>
      <c r="Q560" t="str">
        <f t="shared" si="43"/>
        <v/>
      </c>
      <c r="R560" t="str">
        <f t="shared" si="44"/>
        <v/>
      </c>
    </row>
    <row r="561" spans="12:18" x14ac:dyDescent="0.25">
      <c r="L561" t="str">
        <f t="shared" si="40"/>
        <v/>
      </c>
      <c r="M561" t="b">
        <f t="shared" si="41"/>
        <v>0</v>
      </c>
      <c r="N561" t="str">
        <f>IF(M561,IF(B561="Fe",_xludf.XLOOKUP(A561,'Standards Catalogue'!$A:$A,'Standards Catalogue'!$B:$B,""),IF(B561="P",_xludf.XLOOKUP(A561,'Standards Catalogue'!$A:$A,'Standards Catalogue'!$D:$D,""),IF(B561="S",_xludf.XLOOKUP(A561,'Standards Catalogue'!$A:$A,'Standards Catalogue'!$F:$F,""),""))),"")</f>
        <v/>
      </c>
      <c r="O561" t="str">
        <f>IF(M561,IF(B561="Fe",_xludf.XLOOKUP(A561,'Standards Catalogue'!$A:$A,'Standards Catalogue'!$C:$C,""),IF(B561="P",_xludf.XLOOKUP(A561,'Standards Catalogue'!$A:$A,'Standards Catalogue'!$E:$E,""),IF(B561="S",_xludf.XLOOKUP(A561,'Standards Catalogue'!$A:$A,'Standards Catalogue'!$G:$G,""),""))),"")</f>
        <v/>
      </c>
      <c r="P561" t="str">
        <f t="shared" si="42"/>
        <v/>
      </c>
      <c r="Q561" t="str">
        <f t="shared" si="43"/>
        <v/>
      </c>
      <c r="R561" t="str">
        <f t="shared" si="44"/>
        <v/>
      </c>
    </row>
    <row r="562" spans="12:18" x14ac:dyDescent="0.25">
      <c r="L562" t="str">
        <f t="shared" si="40"/>
        <v/>
      </c>
      <c r="M562" t="b">
        <f t="shared" si="41"/>
        <v>0</v>
      </c>
      <c r="N562" t="str">
        <f>IF(M562,IF(B562="Fe",_xludf.XLOOKUP(A562,'Standards Catalogue'!$A:$A,'Standards Catalogue'!$B:$B,""),IF(B562="P",_xludf.XLOOKUP(A562,'Standards Catalogue'!$A:$A,'Standards Catalogue'!$D:$D,""),IF(B562="S",_xludf.XLOOKUP(A562,'Standards Catalogue'!$A:$A,'Standards Catalogue'!$F:$F,""),""))),"")</f>
        <v/>
      </c>
      <c r="O562" t="str">
        <f>IF(M562,IF(B562="Fe",_xludf.XLOOKUP(A562,'Standards Catalogue'!$A:$A,'Standards Catalogue'!$C:$C,""),IF(B562="P",_xludf.XLOOKUP(A562,'Standards Catalogue'!$A:$A,'Standards Catalogue'!$E:$E,""),IF(B562="S",_xludf.XLOOKUP(A562,'Standards Catalogue'!$A:$A,'Standards Catalogue'!$G:$G,""),""))),"")</f>
        <v/>
      </c>
      <c r="P562" t="str">
        <f t="shared" si="42"/>
        <v/>
      </c>
      <c r="Q562" t="str">
        <f t="shared" si="43"/>
        <v/>
      </c>
      <c r="R562" t="str">
        <f t="shared" si="44"/>
        <v/>
      </c>
    </row>
    <row r="563" spans="12:18" x14ac:dyDescent="0.25">
      <c r="L563" t="str">
        <f t="shared" si="40"/>
        <v/>
      </c>
      <c r="M563" t="b">
        <f t="shared" si="41"/>
        <v>0</v>
      </c>
      <c r="N563" t="str">
        <f>IF(M563,IF(B563="Fe",_xludf.XLOOKUP(A563,'Standards Catalogue'!$A:$A,'Standards Catalogue'!$B:$B,""),IF(B563="P",_xludf.XLOOKUP(A563,'Standards Catalogue'!$A:$A,'Standards Catalogue'!$D:$D,""),IF(B563="S",_xludf.XLOOKUP(A563,'Standards Catalogue'!$A:$A,'Standards Catalogue'!$F:$F,""),""))),"")</f>
        <v/>
      </c>
      <c r="O563" t="str">
        <f>IF(M563,IF(B563="Fe",_xludf.XLOOKUP(A563,'Standards Catalogue'!$A:$A,'Standards Catalogue'!$C:$C,""),IF(B563="P",_xludf.XLOOKUP(A563,'Standards Catalogue'!$A:$A,'Standards Catalogue'!$E:$E,""),IF(B563="S",_xludf.XLOOKUP(A563,'Standards Catalogue'!$A:$A,'Standards Catalogue'!$G:$G,""),""))),"")</f>
        <v/>
      </c>
      <c r="P563" t="str">
        <f t="shared" si="42"/>
        <v/>
      </c>
      <c r="Q563" t="str">
        <f t="shared" si="43"/>
        <v/>
      </c>
      <c r="R563" t="str">
        <f t="shared" si="44"/>
        <v/>
      </c>
    </row>
    <row r="564" spans="12:18" x14ac:dyDescent="0.25">
      <c r="L564" t="str">
        <f t="shared" si="40"/>
        <v/>
      </c>
      <c r="M564" t="b">
        <f t="shared" si="41"/>
        <v>0</v>
      </c>
      <c r="N564" t="str">
        <f>IF(M564,IF(B564="Fe",_xludf.XLOOKUP(A564,'Standards Catalogue'!$A:$A,'Standards Catalogue'!$B:$B,""),IF(B564="P",_xludf.XLOOKUP(A564,'Standards Catalogue'!$A:$A,'Standards Catalogue'!$D:$D,""),IF(B564="S",_xludf.XLOOKUP(A564,'Standards Catalogue'!$A:$A,'Standards Catalogue'!$F:$F,""),""))),"")</f>
        <v/>
      </c>
      <c r="O564" t="str">
        <f>IF(M564,IF(B564="Fe",_xludf.XLOOKUP(A564,'Standards Catalogue'!$A:$A,'Standards Catalogue'!$C:$C,""),IF(B564="P",_xludf.XLOOKUP(A564,'Standards Catalogue'!$A:$A,'Standards Catalogue'!$E:$E,""),IF(B564="S",_xludf.XLOOKUP(A564,'Standards Catalogue'!$A:$A,'Standards Catalogue'!$G:$G,""),""))),"")</f>
        <v/>
      </c>
      <c r="P564" t="str">
        <f t="shared" si="42"/>
        <v/>
      </c>
      <c r="Q564" t="str">
        <f t="shared" si="43"/>
        <v/>
      </c>
      <c r="R564" t="str">
        <f t="shared" si="44"/>
        <v/>
      </c>
    </row>
    <row r="565" spans="12:18" x14ac:dyDescent="0.25">
      <c r="L565" t="str">
        <f t="shared" si="40"/>
        <v/>
      </c>
      <c r="M565" t="b">
        <f t="shared" si="41"/>
        <v>0</v>
      </c>
      <c r="N565" t="str">
        <f>IF(M565,IF(B565="Fe",_xludf.XLOOKUP(A565,'Standards Catalogue'!$A:$A,'Standards Catalogue'!$B:$B,""),IF(B565="P",_xludf.XLOOKUP(A565,'Standards Catalogue'!$A:$A,'Standards Catalogue'!$D:$D,""),IF(B565="S",_xludf.XLOOKUP(A565,'Standards Catalogue'!$A:$A,'Standards Catalogue'!$F:$F,""),""))),"")</f>
        <v/>
      </c>
      <c r="O565" t="str">
        <f>IF(M565,IF(B565="Fe",_xludf.XLOOKUP(A565,'Standards Catalogue'!$A:$A,'Standards Catalogue'!$C:$C,""),IF(B565="P",_xludf.XLOOKUP(A565,'Standards Catalogue'!$A:$A,'Standards Catalogue'!$E:$E,""),IF(B565="S",_xludf.XLOOKUP(A565,'Standards Catalogue'!$A:$A,'Standards Catalogue'!$G:$G,""),""))),"")</f>
        <v/>
      </c>
      <c r="P565" t="str">
        <f t="shared" si="42"/>
        <v/>
      </c>
      <c r="Q565" t="str">
        <f t="shared" si="43"/>
        <v/>
      </c>
      <c r="R565" t="str">
        <f t="shared" si="44"/>
        <v/>
      </c>
    </row>
    <row r="566" spans="12:18" x14ac:dyDescent="0.25">
      <c r="L566" t="str">
        <f t="shared" si="40"/>
        <v/>
      </c>
      <c r="M566" t="b">
        <f t="shared" si="41"/>
        <v>0</v>
      </c>
      <c r="N566" t="str">
        <f>IF(M566,IF(B566="Fe",_xludf.XLOOKUP(A566,'Standards Catalogue'!$A:$A,'Standards Catalogue'!$B:$B,""),IF(B566="P",_xludf.XLOOKUP(A566,'Standards Catalogue'!$A:$A,'Standards Catalogue'!$D:$D,""),IF(B566="S",_xludf.XLOOKUP(A566,'Standards Catalogue'!$A:$A,'Standards Catalogue'!$F:$F,""),""))),"")</f>
        <v/>
      </c>
      <c r="O566" t="str">
        <f>IF(M566,IF(B566="Fe",_xludf.XLOOKUP(A566,'Standards Catalogue'!$A:$A,'Standards Catalogue'!$C:$C,""),IF(B566="P",_xludf.XLOOKUP(A566,'Standards Catalogue'!$A:$A,'Standards Catalogue'!$E:$E,""),IF(B566="S",_xludf.XLOOKUP(A566,'Standards Catalogue'!$A:$A,'Standards Catalogue'!$G:$G,""),""))),"")</f>
        <v/>
      </c>
      <c r="P566" t="str">
        <f t="shared" si="42"/>
        <v/>
      </c>
      <c r="Q566" t="str">
        <f t="shared" si="43"/>
        <v/>
      </c>
      <c r="R566" t="str">
        <f t="shared" si="44"/>
        <v/>
      </c>
    </row>
    <row r="567" spans="12:18" x14ac:dyDescent="0.25">
      <c r="L567" t="str">
        <f t="shared" si="40"/>
        <v/>
      </c>
      <c r="M567" t="b">
        <f t="shared" si="41"/>
        <v>0</v>
      </c>
      <c r="N567" t="str">
        <f>IF(M567,IF(B567="Fe",_xludf.XLOOKUP(A567,'Standards Catalogue'!$A:$A,'Standards Catalogue'!$B:$B,""),IF(B567="P",_xludf.XLOOKUP(A567,'Standards Catalogue'!$A:$A,'Standards Catalogue'!$D:$D,""),IF(B567="S",_xludf.XLOOKUP(A567,'Standards Catalogue'!$A:$A,'Standards Catalogue'!$F:$F,""),""))),"")</f>
        <v/>
      </c>
      <c r="O567" t="str">
        <f>IF(M567,IF(B567="Fe",_xludf.XLOOKUP(A567,'Standards Catalogue'!$A:$A,'Standards Catalogue'!$C:$C,""),IF(B567="P",_xludf.XLOOKUP(A567,'Standards Catalogue'!$A:$A,'Standards Catalogue'!$E:$E,""),IF(B567="S",_xludf.XLOOKUP(A567,'Standards Catalogue'!$A:$A,'Standards Catalogue'!$G:$G,""),""))),"")</f>
        <v/>
      </c>
      <c r="P567" t="str">
        <f t="shared" si="42"/>
        <v/>
      </c>
      <c r="Q567" t="str">
        <f t="shared" si="43"/>
        <v/>
      </c>
      <c r="R567" t="str">
        <f t="shared" si="44"/>
        <v/>
      </c>
    </row>
    <row r="568" spans="12:18" x14ac:dyDescent="0.25">
      <c r="L568" t="str">
        <f t="shared" si="40"/>
        <v/>
      </c>
      <c r="M568" t="b">
        <f t="shared" si="41"/>
        <v>0</v>
      </c>
      <c r="N568" t="str">
        <f>IF(M568,IF(B568="Fe",_xludf.XLOOKUP(A568,'Standards Catalogue'!$A:$A,'Standards Catalogue'!$B:$B,""),IF(B568="P",_xludf.XLOOKUP(A568,'Standards Catalogue'!$A:$A,'Standards Catalogue'!$D:$D,""),IF(B568="S",_xludf.XLOOKUP(A568,'Standards Catalogue'!$A:$A,'Standards Catalogue'!$F:$F,""),""))),"")</f>
        <v/>
      </c>
      <c r="O568" t="str">
        <f>IF(M568,IF(B568="Fe",_xludf.XLOOKUP(A568,'Standards Catalogue'!$A:$A,'Standards Catalogue'!$C:$C,""),IF(B568="P",_xludf.XLOOKUP(A568,'Standards Catalogue'!$A:$A,'Standards Catalogue'!$E:$E,""),IF(B568="S",_xludf.XLOOKUP(A568,'Standards Catalogue'!$A:$A,'Standards Catalogue'!$G:$G,""),""))),"")</f>
        <v/>
      </c>
      <c r="P568" t="str">
        <f t="shared" si="42"/>
        <v/>
      </c>
      <c r="Q568" t="str">
        <f t="shared" si="43"/>
        <v/>
      </c>
      <c r="R568" t="str">
        <f t="shared" si="44"/>
        <v/>
      </c>
    </row>
    <row r="569" spans="12:18" x14ac:dyDescent="0.25">
      <c r="L569" t="str">
        <f t="shared" si="40"/>
        <v/>
      </c>
      <c r="M569" t="b">
        <f t="shared" si="41"/>
        <v>0</v>
      </c>
      <c r="N569" t="str">
        <f>IF(M569,IF(B569="Fe",_xludf.XLOOKUP(A569,'Standards Catalogue'!$A:$A,'Standards Catalogue'!$B:$B,""),IF(B569="P",_xludf.XLOOKUP(A569,'Standards Catalogue'!$A:$A,'Standards Catalogue'!$D:$D,""),IF(B569="S",_xludf.XLOOKUP(A569,'Standards Catalogue'!$A:$A,'Standards Catalogue'!$F:$F,""),""))),"")</f>
        <v/>
      </c>
      <c r="O569" t="str">
        <f>IF(M569,IF(B569="Fe",_xludf.XLOOKUP(A569,'Standards Catalogue'!$A:$A,'Standards Catalogue'!$C:$C,""),IF(B569="P",_xludf.XLOOKUP(A569,'Standards Catalogue'!$A:$A,'Standards Catalogue'!$E:$E,""),IF(B569="S",_xludf.XLOOKUP(A569,'Standards Catalogue'!$A:$A,'Standards Catalogue'!$G:$G,""),""))),"")</f>
        <v/>
      </c>
      <c r="P569" t="str">
        <f t="shared" si="42"/>
        <v/>
      </c>
      <c r="Q569" t="str">
        <f t="shared" si="43"/>
        <v/>
      </c>
      <c r="R569" t="str">
        <f t="shared" si="44"/>
        <v/>
      </c>
    </row>
    <row r="570" spans="12:18" x14ac:dyDescent="0.25">
      <c r="L570" t="str">
        <f t="shared" si="40"/>
        <v/>
      </c>
      <c r="M570" t="b">
        <f t="shared" si="41"/>
        <v>0</v>
      </c>
      <c r="N570" t="str">
        <f>IF(M570,IF(B570="Fe",_xludf.XLOOKUP(A570,'Standards Catalogue'!$A:$A,'Standards Catalogue'!$B:$B,""),IF(B570="P",_xludf.XLOOKUP(A570,'Standards Catalogue'!$A:$A,'Standards Catalogue'!$D:$D,""),IF(B570="S",_xludf.XLOOKUP(A570,'Standards Catalogue'!$A:$A,'Standards Catalogue'!$F:$F,""),""))),"")</f>
        <v/>
      </c>
      <c r="O570" t="str">
        <f>IF(M570,IF(B570="Fe",_xludf.XLOOKUP(A570,'Standards Catalogue'!$A:$A,'Standards Catalogue'!$C:$C,""),IF(B570="P",_xludf.XLOOKUP(A570,'Standards Catalogue'!$A:$A,'Standards Catalogue'!$E:$E,""),IF(B570="S",_xludf.XLOOKUP(A570,'Standards Catalogue'!$A:$A,'Standards Catalogue'!$G:$G,""),""))),"")</f>
        <v/>
      </c>
      <c r="P570" t="str">
        <f t="shared" si="42"/>
        <v/>
      </c>
      <c r="Q570" t="str">
        <f t="shared" si="43"/>
        <v/>
      </c>
      <c r="R570" t="str">
        <f t="shared" si="44"/>
        <v/>
      </c>
    </row>
    <row r="571" spans="12:18" x14ac:dyDescent="0.25">
      <c r="L571" t="str">
        <f t="shared" si="40"/>
        <v/>
      </c>
      <c r="M571" t="b">
        <f t="shared" si="41"/>
        <v>0</v>
      </c>
      <c r="N571" t="str">
        <f>IF(M571,IF(B571="Fe",_xludf.XLOOKUP(A571,'Standards Catalogue'!$A:$A,'Standards Catalogue'!$B:$B,""),IF(B571="P",_xludf.XLOOKUP(A571,'Standards Catalogue'!$A:$A,'Standards Catalogue'!$D:$D,""),IF(B571="S",_xludf.XLOOKUP(A571,'Standards Catalogue'!$A:$A,'Standards Catalogue'!$F:$F,""),""))),"")</f>
        <v/>
      </c>
      <c r="O571" t="str">
        <f>IF(M571,IF(B571="Fe",_xludf.XLOOKUP(A571,'Standards Catalogue'!$A:$A,'Standards Catalogue'!$C:$C,""),IF(B571="P",_xludf.XLOOKUP(A571,'Standards Catalogue'!$A:$A,'Standards Catalogue'!$E:$E,""),IF(B571="S",_xludf.XLOOKUP(A571,'Standards Catalogue'!$A:$A,'Standards Catalogue'!$G:$G,""),""))),"")</f>
        <v/>
      </c>
      <c r="P571" t="str">
        <f t="shared" si="42"/>
        <v/>
      </c>
      <c r="Q571" t="str">
        <f t="shared" si="43"/>
        <v/>
      </c>
      <c r="R571" t="str">
        <f t="shared" si="44"/>
        <v/>
      </c>
    </row>
    <row r="572" spans="12:18" x14ac:dyDescent="0.25">
      <c r="L572" t="str">
        <f t="shared" si="40"/>
        <v/>
      </c>
      <c r="M572" t="b">
        <f t="shared" si="41"/>
        <v>0</v>
      </c>
      <c r="N572" t="str">
        <f>IF(M572,IF(B572="Fe",_xludf.XLOOKUP(A572,'Standards Catalogue'!$A:$A,'Standards Catalogue'!$B:$B,""),IF(B572="P",_xludf.XLOOKUP(A572,'Standards Catalogue'!$A:$A,'Standards Catalogue'!$D:$D,""),IF(B572="S",_xludf.XLOOKUP(A572,'Standards Catalogue'!$A:$A,'Standards Catalogue'!$F:$F,""),""))),"")</f>
        <v/>
      </c>
      <c r="O572" t="str">
        <f>IF(M572,IF(B572="Fe",_xludf.XLOOKUP(A572,'Standards Catalogue'!$A:$A,'Standards Catalogue'!$C:$C,""),IF(B572="P",_xludf.XLOOKUP(A572,'Standards Catalogue'!$A:$A,'Standards Catalogue'!$E:$E,""),IF(B572="S",_xludf.XLOOKUP(A572,'Standards Catalogue'!$A:$A,'Standards Catalogue'!$G:$G,""),""))),"")</f>
        <v/>
      </c>
      <c r="P572" t="str">
        <f t="shared" si="42"/>
        <v/>
      </c>
      <c r="Q572" t="str">
        <f t="shared" si="43"/>
        <v/>
      </c>
      <c r="R572" t="str">
        <f t="shared" si="44"/>
        <v/>
      </c>
    </row>
    <row r="573" spans="12:18" x14ac:dyDescent="0.25">
      <c r="L573" t="str">
        <f t="shared" si="40"/>
        <v/>
      </c>
      <c r="M573" t="b">
        <f t="shared" si="41"/>
        <v>0</v>
      </c>
      <c r="N573" t="str">
        <f>IF(M573,IF(B573="Fe",_xludf.XLOOKUP(A573,'Standards Catalogue'!$A:$A,'Standards Catalogue'!$B:$B,""),IF(B573="P",_xludf.XLOOKUP(A573,'Standards Catalogue'!$A:$A,'Standards Catalogue'!$D:$D,""),IF(B573="S",_xludf.XLOOKUP(A573,'Standards Catalogue'!$A:$A,'Standards Catalogue'!$F:$F,""),""))),"")</f>
        <v/>
      </c>
      <c r="O573" t="str">
        <f>IF(M573,IF(B573="Fe",_xludf.XLOOKUP(A573,'Standards Catalogue'!$A:$A,'Standards Catalogue'!$C:$C,""),IF(B573="P",_xludf.XLOOKUP(A573,'Standards Catalogue'!$A:$A,'Standards Catalogue'!$E:$E,""),IF(B573="S",_xludf.XLOOKUP(A573,'Standards Catalogue'!$A:$A,'Standards Catalogue'!$G:$G,""),""))),"")</f>
        <v/>
      </c>
      <c r="P573" t="str">
        <f t="shared" si="42"/>
        <v/>
      </c>
      <c r="Q573" t="str">
        <f t="shared" si="43"/>
        <v/>
      </c>
      <c r="R573" t="str">
        <f t="shared" si="44"/>
        <v/>
      </c>
    </row>
    <row r="574" spans="12:18" x14ac:dyDescent="0.25">
      <c r="L574" t="str">
        <f t="shared" si="40"/>
        <v/>
      </c>
      <c r="M574" t="b">
        <f t="shared" si="41"/>
        <v>0</v>
      </c>
      <c r="N574" t="str">
        <f>IF(M574,IF(B574="Fe",_xludf.XLOOKUP(A574,'Standards Catalogue'!$A:$A,'Standards Catalogue'!$B:$B,""),IF(B574="P",_xludf.XLOOKUP(A574,'Standards Catalogue'!$A:$A,'Standards Catalogue'!$D:$D,""),IF(B574="S",_xludf.XLOOKUP(A574,'Standards Catalogue'!$A:$A,'Standards Catalogue'!$F:$F,""),""))),"")</f>
        <v/>
      </c>
      <c r="O574" t="str">
        <f>IF(M574,IF(B574="Fe",_xludf.XLOOKUP(A574,'Standards Catalogue'!$A:$A,'Standards Catalogue'!$C:$C,""),IF(B574="P",_xludf.XLOOKUP(A574,'Standards Catalogue'!$A:$A,'Standards Catalogue'!$E:$E,""),IF(B574="S",_xludf.XLOOKUP(A574,'Standards Catalogue'!$A:$A,'Standards Catalogue'!$G:$G,""),""))),"")</f>
        <v/>
      </c>
      <c r="P574" t="str">
        <f t="shared" si="42"/>
        <v/>
      </c>
      <c r="Q574" t="str">
        <f t="shared" si="43"/>
        <v/>
      </c>
      <c r="R574" t="str">
        <f t="shared" si="44"/>
        <v/>
      </c>
    </row>
    <row r="575" spans="12:18" x14ac:dyDescent="0.25">
      <c r="L575" t="str">
        <f t="shared" si="40"/>
        <v/>
      </c>
      <c r="M575" t="b">
        <f t="shared" si="41"/>
        <v>0</v>
      </c>
      <c r="N575" t="str">
        <f>IF(M575,IF(B575="Fe",_xludf.XLOOKUP(A575,'Standards Catalogue'!$A:$A,'Standards Catalogue'!$B:$B,""),IF(B575="P",_xludf.XLOOKUP(A575,'Standards Catalogue'!$A:$A,'Standards Catalogue'!$D:$D,""),IF(B575="S",_xludf.XLOOKUP(A575,'Standards Catalogue'!$A:$A,'Standards Catalogue'!$F:$F,""),""))),"")</f>
        <v/>
      </c>
      <c r="O575" t="str">
        <f>IF(M575,IF(B575="Fe",_xludf.XLOOKUP(A575,'Standards Catalogue'!$A:$A,'Standards Catalogue'!$C:$C,""),IF(B575="P",_xludf.XLOOKUP(A575,'Standards Catalogue'!$A:$A,'Standards Catalogue'!$E:$E,""),IF(B575="S",_xludf.XLOOKUP(A575,'Standards Catalogue'!$A:$A,'Standards Catalogue'!$G:$G,""),""))),"")</f>
        <v/>
      </c>
      <c r="P575" t="str">
        <f t="shared" si="42"/>
        <v/>
      </c>
      <c r="Q575" t="str">
        <f t="shared" si="43"/>
        <v/>
      </c>
      <c r="R575" t="str">
        <f t="shared" si="44"/>
        <v/>
      </c>
    </row>
    <row r="576" spans="12:18" x14ac:dyDescent="0.25">
      <c r="L576" t="str">
        <f t="shared" si="40"/>
        <v/>
      </c>
      <c r="M576" t="b">
        <f t="shared" si="41"/>
        <v>0</v>
      </c>
      <c r="N576" t="str">
        <f>IF(M576,IF(B576="Fe",_xludf.XLOOKUP(A576,'Standards Catalogue'!$A:$A,'Standards Catalogue'!$B:$B,""),IF(B576="P",_xludf.XLOOKUP(A576,'Standards Catalogue'!$A:$A,'Standards Catalogue'!$D:$D,""),IF(B576="S",_xludf.XLOOKUP(A576,'Standards Catalogue'!$A:$A,'Standards Catalogue'!$F:$F,""),""))),"")</f>
        <v/>
      </c>
      <c r="O576" t="str">
        <f>IF(M576,IF(B576="Fe",_xludf.XLOOKUP(A576,'Standards Catalogue'!$A:$A,'Standards Catalogue'!$C:$C,""),IF(B576="P",_xludf.XLOOKUP(A576,'Standards Catalogue'!$A:$A,'Standards Catalogue'!$E:$E,""),IF(B576="S",_xludf.XLOOKUP(A576,'Standards Catalogue'!$A:$A,'Standards Catalogue'!$G:$G,""),""))),"")</f>
        <v/>
      </c>
      <c r="P576" t="str">
        <f t="shared" si="42"/>
        <v/>
      </c>
      <c r="Q576" t="str">
        <f t="shared" si="43"/>
        <v/>
      </c>
      <c r="R576" t="str">
        <f t="shared" si="44"/>
        <v/>
      </c>
    </row>
    <row r="577" spans="12:18" x14ac:dyDescent="0.25">
      <c r="L577" t="str">
        <f t="shared" si="40"/>
        <v/>
      </c>
      <c r="M577" t="b">
        <f t="shared" si="41"/>
        <v>0</v>
      </c>
      <c r="N577" t="str">
        <f>IF(M577,IF(B577="Fe",_xludf.XLOOKUP(A577,'Standards Catalogue'!$A:$A,'Standards Catalogue'!$B:$B,""),IF(B577="P",_xludf.XLOOKUP(A577,'Standards Catalogue'!$A:$A,'Standards Catalogue'!$D:$D,""),IF(B577="S",_xludf.XLOOKUP(A577,'Standards Catalogue'!$A:$A,'Standards Catalogue'!$F:$F,""),""))),"")</f>
        <v/>
      </c>
      <c r="O577" t="str">
        <f>IF(M577,IF(B577="Fe",_xludf.XLOOKUP(A577,'Standards Catalogue'!$A:$A,'Standards Catalogue'!$C:$C,""),IF(B577="P",_xludf.XLOOKUP(A577,'Standards Catalogue'!$A:$A,'Standards Catalogue'!$E:$E,""),IF(B577="S",_xludf.XLOOKUP(A577,'Standards Catalogue'!$A:$A,'Standards Catalogue'!$G:$G,""),""))),"")</f>
        <v/>
      </c>
      <c r="P577" t="str">
        <f t="shared" si="42"/>
        <v/>
      </c>
      <c r="Q577" t="str">
        <f t="shared" si="43"/>
        <v/>
      </c>
      <c r="R577" t="str">
        <f t="shared" si="44"/>
        <v/>
      </c>
    </row>
    <row r="578" spans="12:18" x14ac:dyDescent="0.25">
      <c r="L578" t="str">
        <f t="shared" ref="L578:L641" si="45">IF(AND(A578&lt;&gt;"",B578&lt;&gt;""),A578&amp;"|"&amp;B578,"")</f>
        <v/>
      </c>
      <c r="M578" t="b">
        <f t="shared" ref="M578:M641" si="46">IF(COUNTIF(STANDARDS_IDS,A578)&gt;0,TRUE,FALSE)</f>
        <v>0</v>
      </c>
      <c r="N578" t="str">
        <f>IF(M578,IF(B578="Fe",_xludf.XLOOKUP(A578,'Standards Catalogue'!$A:$A,'Standards Catalogue'!$B:$B,""),IF(B578="P",_xludf.XLOOKUP(A578,'Standards Catalogue'!$A:$A,'Standards Catalogue'!$D:$D,""),IF(B578="S",_xludf.XLOOKUP(A578,'Standards Catalogue'!$A:$A,'Standards Catalogue'!$F:$F,""),""))),"")</f>
        <v/>
      </c>
      <c r="O578" t="str">
        <f>IF(M578,IF(B578="Fe",_xludf.XLOOKUP(A578,'Standards Catalogue'!$A:$A,'Standards Catalogue'!$C:$C,""),IF(B578="P",_xludf.XLOOKUP(A578,'Standards Catalogue'!$A:$A,'Standards Catalogue'!$E:$E,""),IF(B578="S",_xludf.XLOOKUP(A578,'Standards Catalogue'!$A:$A,'Standards Catalogue'!$G:$G,""),""))),"")</f>
        <v/>
      </c>
      <c r="P578" t="str">
        <f t="shared" ref="P578:P641" si="47">IF(M578,N578-2*O578,"")</f>
        <v/>
      </c>
      <c r="Q578" t="str">
        <f t="shared" ref="Q578:Q641" si="48">IF(M578,N578+2*O578,"")</f>
        <v/>
      </c>
      <c r="R578" t="str">
        <f t="shared" ref="R578:R641" si="49">IF(M578,IF(OR(C578="",N578="",O578=""),"",IF(AND(C578&gt;=P578,C578&lt;=Q578),"PASS","FAIL")),"")</f>
        <v/>
      </c>
    </row>
    <row r="579" spans="12:18" x14ac:dyDescent="0.25">
      <c r="L579" t="str">
        <f t="shared" si="45"/>
        <v/>
      </c>
      <c r="M579" t="b">
        <f t="shared" si="46"/>
        <v>0</v>
      </c>
      <c r="N579" t="str">
        <f>IF(M579,IF(B579="Fe",_xludf.XLOOKUP(A579,'Standards Catalogue'!$A:$A,'Standards Catalogue'!$B:$B,""),IF(B579="P",_xludf.XLOOKUP(A579,'Standards Catalogue'!$A:$A,'Standards Catalogue'!$D:$D,""),IF(B579="S",_xludf.XLOOKUP(A579,'Standards Catalogue'!$A:$A,'Standards Catalogue'!$F:$F,""),""))),"")</f>
        <v/>
      </c>
      <c r="O579" t="str">
        <f>IF(M579,IF(B579="Fe",_xludf.XLOOKUP(A579,'Standards Catalogue'!$A:$A,'Standards Catalogue'!$C:$C,""),IF(B579="P",_xludf.XLOOKUP(A579,'Standards Catalogue'!$A:$A,'Standards Catalogue'!$E:$E,""),IF(B579="S",_xludf.XLOOKUP(A579,'Standards Catalogue'!$A:$A,'Standards Catalogue'!$G:$G,""),""))),"")</f>
        <v/>
      </c>
      <c r="P579" t="str">
        <f t="shared" si="47"/>
        <v/>
      </c>
      <c r="Q579" t="str">
        <f t="shared" si="48"/>
        <v/>
      </c>
      <c r="R579" t="str">
        <f t="shared" si="49"/>
        <v/>
      </c>
    </row>
    <row r="580" spans="12:18" x14ac:dyDescent="0.25">
      <c r="L580" t="str">
        <f t="shared" si="45"/>
        <v/>
      </c>
      <c r="M580" t="b">
        <f t="shared" si="46"/>
        <v>0</v>
      </c>
      <c r="N580" t="str">
        <f>IF(M580,IF(B580="Fe",_xludf.XLOOKUP(A580,'Standards Catalogue'!$A:$A,'Standards Catalogue'!$B:$B,""),IF(B580="P",_xludf.XLOOKUP(A580,'Standards Catalogue'!$A:$A,'Standards Catalogue'!$D:$D,""),IF(B580="S",_xludf.XLOOKUP(A580,'Standards Catalogue'!$A:$A,'Standards Catalogue'!$F:$F,""),""))),"")</f>
        <v/>
      </c>
      <c r="O580" t="str">
        <f>IF(M580,IF(B580="Fe",_xludf.XLOOKUP(A580,'Standards Catalogue'!$A:$A,'Standards Catalogue'!$C:$C,""),IF(B580="P",_xludf.XLOOKUP(A580,'Standards Catalogue'!$A:$A,'Standards Catalogue'!$E:$E,""),IF(B580="S",_xludf.XLOOKUP(A580,'Standards Catalogue'!$A:$A,'Standards Catalogue'!$G:$G,""),""))),"")</f>
        <v/>
      </c>
      <c r="P580" t="str">
        <f t="shared" si="47"/>
        <v/>
      </c>
      <c r="Q580" t="str">
        <f t="shared" si="48"/>
        <v/>
      </c>
      <c r="R580" t="str">
        <f t="shared" si="49"/>
        <v/>
      </c>
    </row>
    <row r="581" spans="12:18" x14ac:dyDescent="0.25">
      <c r="L581" t="str">
        <f t="shared" si="45"/>
        <v/>
      </c>
      <c r="M581" t="b">
        <f t="shared" si="46"/>
        <v>0</v>
      </c>
      <c r="N581" t="str">
        <f>IF(M581,IF(B581="Fe",_xludf.XLOOKUP(A581,'Standards Catalogue'!$A:$A,'Standards Catalogue'!$B:$B,""),IF(B581="P",_xludf.XLOOKUP(A581,'Standards Catalogue'!$A:$A,'Standards Catalogue'!$D:$D,""),IF(B581="S",_xludf.XLOOKUP(A581,'Standards Catalogue'!$A:$A,'Standards Catalogue'!$F:$F,""),""))),"")</f>
        <v/>
      </c>
      <c r="O581" t="str">
        <f>IF(M581,IF(B581="Fe",_xludf.XLOOKUP(A581,'Standards Catalogue'!$A:$A,'Standards Catalogue'!$C:$C,""),IF(B581="P",_xludf.XLOOKUP(A581,'Standards Catalogue'!$A:$A,'Standards Catalogue'!$E:$E,""),IF(B581="S",_xludf.XLOOKUP(A581,'Standards Catalogue'!$A:$A,'Standards Catalogue'!$G:$G,""),""))),"")</f>
        <v/>
      </c>
      <c r="P581" t="str">
        <f t="shared" si="47"/>
        <v/>
      </c>
      <c r="Q581" t="str">
        <f t="shared" si="48"/>
        <v/>
      </c>
      <c r="R581" t="str">
        <f t="shared" si="49"/>
        <v/>
      </c>
    </row>
    <row r="582" spans="12:18" x14ac:dyDescent="0.25">
      <c r="L582" t="str">
        <f t="shared" si="45"/>
        <v/>
      </c>
      <c r="M582" t="b">
        <f t="shared" si="46"/>
        <v>0</v>
      </c>
      <c r="N582" t="str">
        <f>IF(M582,IF(B582="Fe",_xludf.XLOOKUP(A582,'Standards Catalogue'!$A:$A,'Standards Catalogue'!$B:$B,""),IF(B582="P",_xludf.XLOOKUP(A582,'Standards Catalogue'!$A:$A,'Standards Catalogue'!$D:$D,""),IF(B582="S",_xludf.XLOOKUP(A582,'Standards Catalogue'!$A:$A,'Standards Catalogue'!$F:$F,""),""))),"")</f>
        <v/>
      </c>
      <c r="O582" t="str">
        <f>IF(M582,IF(B582="Fe",_xludf.XLOOKUP(A582,'Standards Catalogue'!$A:$A,'Standards Catalogue'!$C:$C,""),IF(B582="P",_xludf.XLOOKUP(A582,'Standards Catalogue'!$A:$A,'Standards Catalogue'!$E:$E,""),IF(B582="S",_xludf.XLOOKUP(A582,'Standards Catalogue'!$A:$A,'Standards Catalogue'!$G:$G,""),""))),"")</f>
        <v/>
      </c>
      <c r="P582" t="str">
        <f t="shared" si="47"/>
        <v/>
      </c>
      <c r="Q582" t="str">
        <f t="shared" si="48"/>
        <v/>
      </c>
      <c r="R582" t="str">
        <f t="shared" si="49"/>
        <v/>
      </c>
    </row>
    <row r="583" spans="12:18" x14ac:dyDescent="0.25">
      <c r="L583" t="str">
        <f t="shared" si="45"/>
        <v/>
      </c>
      <c r="M583" t="b">
        <f t="shared" si="46"/>
        <v>0</v>
      </c>
      <c r="N583" t="str">
        <f>IF(M583,IF(B583="Fe",_xludf.XLOOKUP(A583,'Standards Catalogue'!$A:$A,'Standards Catalogue'!$B:$B,""),IF(B583="P",_xludf.XLOOKUP(A583,'Standards Catalogue'!$A:$A,'Standards Catalogue'!$D:$D,""),IF(B583="S",_xludf.XLOOKUP(A583,'Standards Catalogue'!$A:$A,'Standards Catalogue'!$F:$F,""),""))),"")</f>
        <v/>
      </c>
      <c r="O583" t="str">
        <f>IF(M583,IF(B583="Fe",_xludf.XLOOKUP(A583,'Standards Catalogue'!$A:$A,'Standards Catalogue'!$C:$C,""),IF(B583="P",_xludf.XLOOKUP(A583,'Standards Catalogue'!$A:$A,'Standards Catalogue'!$E:$E,""),IF(B583="S",_xludf.XLOOKUP(A583,'Standards Catalogue'!$A:$A,'Standards Catalogue'!$G:$G,""),""))),"")</f>
        <v/>
      </c>
      <c r="P583" t="str">
        <f t="shared" si="47"/>
        <v/>
      </c>
      <c r="Q583" t="str">
        <f t="shared" si="48"/>
        <v/>
      </c>
      <c r="R583" t="str">
        <f t="shared" si="49"/>
        <v/>
      </c>
    </row>
    <row r="584" spans="12:18" x14ac:dyDescent="0.25">
      <c r="L584" t="str">
        <f t="shared" si="45"/>
        <v/>
      </c>
      <c r="M584" t="b">
        <f t="shared" si="46"/>
        <v>0</v>
      </c>
      <c r="N584" t="str">
        <f>IF(M584,IF(B584="Fe",_xludf.XLOOKUP(A584,'Standards Catalogue'!$A:$A,'Standards Catalogue'!$B:$B,""),IF(B584="P",_xludf.XLOOKUP(A584,'Standards Catalogue'!$A:$A,'Standards Catalogue'!$D:$D,""),IF(B584="S",_xludf.XLOOKUP(A584,'Standards Catalogue'!$A:$A,'Standards Catalogue'!$F:$F,""),""))),"")</f>
        <v/>
      </c>
      <c r="O584" t="str">
        <f>IF(M584,IF(B584="Fe",_xludf.XLOOKUP(A584,'Standards Catalogue'!$A:$A,'Standards Catalogue'!$C:$C,""),IF(B584="P",_xludf.XLOOKUP(A584,'Standards Catalogue'!$A:$A,'Standards Catalogue'!$E:$E,""),IF(B584="S",_xludf.XLOOKUP(A584,'Standards Catalogue'!$A:$A,'Standards Catalogue'!$G:$G,""),""))),"")</f>
        <v/>
      </c>
      <c r="P584" t="str">
        <f t="shared" si="47"/>
        <v/>
      </c>
      <c r="Q584" t="str">
        <f t="shared" si="48"/>
        <v/>
      </c>
      <c r="R584" t="str">
        <f t="shared" si="49"/>
        <v/>
      </c>
    </row>
    <row r="585" spans="12:18" x14ac:dyDescent="0.25">
      <c r="L585" t="str">
        <f t="shared" si="45"/>
        <v/>
      </c>
      <c r="M585" t="b">
        <f t="shared" si="46"/>
        <v>0</v>
      </c>
      <c r="N585" t="str">
        <f>IF(M585,IF(B585="Fe",_xludf.XLOOKUP(A585,'Standards Catalogue'!$A:$A,'Standards Catalogue'!$B:$B,""),IF(B585="P",_xludf.XLOOKUP(A585,'Standards Catalogue'!$A:$A,'Standards Catalogue'!$D:$D,""),IF(B585="S",_xludf.XLOOKUP(A585,'Standards Catalogue'!$A:$A,'Standards Catalogue'!$F:$F,""),""))),"")</f>
        <v/>
      </c>
      <c r="O585" t="str">
        <f>IF(M585,IF(B585="Fe",_xludf.XLOOKUP(A585,'Standards Catalogue'!$A:$A,'Standards Catalogue'!$C:$C,""),IF(B585="P",_xludf.XLOOKUP(A585,'Standards Catalogue'!$A:$A,'Standards Catalogue'!$E:$E,""),IF(B585="S",_xludf.XLOOKUP(A585,'Standards Catalogue'!$A:$A,'Standards Catalogue'!$G:$G,""),""))),"")</f>
        <v/>
      </c>
      <c r="P585" t="str">
        <f t="shared" si="47"/>
        <v/>
      </c>
      <c r="Q585" t="str">
        <f t="shared" si="48"/>
        <v/>
      </c>
      <c r="R585" t="str">
        <f t="shared" si="49"/>
        <v/>
      </c>
    </row>
    <row r="586" spans="12:18" x14ac:dyDescent="0.25">
      <c r="L586" t="str">
        <f t="shared" si="45"/>
        <v/>
      </c>
      <c r="M586" t="b">
        <f t="shared" si="46"/>
        <v>0</v>
      </c>
      <c r="N586" t="str">
        <f>IF(M586,IF(B586="Fe",_xludf.XLOOKUP(A586,'Standards Catalogue'!$A:$A,'Standards Catalogue'!$B:$B,""),IF(B586="P",_xludf.XLOOKUP(A586,'Standards Catalogue'!$A:$A,'Standards Catalogue'!$D:$D,""),IF(B586="S",_xludf.XLOOKUP(A586,'Standards Catalogue'!$A:$A,'Standards Catalogue'!$F:$F,""),""))),"")</f>
        <v/>
      </c>
      <c r="O586" t="str">
        <f>IF(M586,IF(B586="Fe",_xludf.XLOOKUP(A586,'Standards Catalogue'!$A:$A,'Standards Catalogue'!$C:$C,""),IF(B586="P",_xludf.XLOOKUP(A586,'Standards Catalogue'!$A:$A,'Standards Catalogue'!$E:$E,""),IF(B586="S",_xludf.XLOOKUP(A586,'Standards Catalogue'!$A:$A,'Standards Catalogue'!$G:$G,""),""))),"")</f>
        <v/>
      </c>
      <c r="P586" t="str">
        <f t="shared" si="47"/>
        <v/>
      </c>
      <c r="Q586" t="str">
        <f t="shared" si="48"/>
        <v/>
      </c>
      <c r="R586" t="str">
        <f t="shared" si="49"/>
        <v/>
      </c>
    </row>
    <row r="587" spans="12:18" x14ac:dyDescent="0.25">
      <c r="L587" t="str">
        <f t="shared" si="45"/>
        <v/>
      </c>
      <c r="M587" t="b">
        <f t="shared" si="46"/>
        <v>0</v>
      </c>
      <c r="N587" t="str">
        <f>IF(M587,IF(B587="Fe",_xludf.XLOOKUP(A587,'Standards Catalogue'!$A:$A,'Standards Catalogue'!$B:$B,""),IF(B587="P",_xludf.XLOOKUP(A587,'Standards Catalogue'!$A:$A,'Standards Catalogue'!$D:$D,""),IF(B587="S",_xludf.XLOOKUP(A587,'Standards Catalogue'!$A:$A,'Standards Catalogue'!$F:$F,""),""))),"")</f>
        <v/>
      </c>
      <c r="O587" t="str">
        <f>IF(M587,IF(B587="Fe",_xludf.XLOOKUP(A587,'Standards Catalogue'!$A:$A,'Standards Catalogue'!$C:$C,""),IF(B587="P",_xludf.XLOOKUP(A587,'Standards Catalogue'!$A:$A,'Standards Catalogue'!$E:$E,""),IF(B587="S",_xludf.XLOOKUP(A587,'Standards Catalogue'!$A:$A,'Standards Catalogue'!$G:$G,""),""))),"")</f>
        <v/>
      </c>
      <c r="P587" t="str">
        <f t="shared" si="47"/>
        <v/>
      </c>
      <c r="Q587" t="str">
        <f t="shared" si="48"/>
        <v/>
      </c>
      <c r="R587" t="str">
        <f t="shared" si="49"/>
        <v/>
      </c>
    </row>
    <row r="588" spans="12:18" x14ac:dyDescent="0.25">
      <c r="L588" t="str">
        <f t="shared" si="45"/>
        <v/>
      </c>
      <c r="M588" t="b">
        <f t="shared" si="46"/>
        <v>0</v>
      </c>
      <c r="N588" t="str">
        <f>IF(M588,IF(B588="Fe",_xludf.XLOOKUP(A588,'Standards Catalogue'!$A:$A,'Standards Catalogue'!$B:$B,""),IF(B588="P",_xludf.XLOOKUP(A588,'Standards Catalogue'!$A:$A,'Standards Catalogue'!$D:$D,""),IF(B588="S",_xludf.XLOOKUP(A588,'Standards Catalogue'!$A:$A,'Standards Catalogue'!$F:$F,""),""))),"")</f>
        <v/>
      </c>
      <c r="O588" t="str">
        <f>IF(M588,IF(B588="Fe",_xludf.XLOOKUP(A588,'Standards Catalogue'!$A:$A,'Standards Catalogue'!$C:$C,""),IF(B588="P",_xludf.XLOOKUP(A588,'Standards Catalogue'!$A:$A,'Standards Catalogue'!$E:$E,""),IF(B588="S",_xludf.XLOOKUP(A588,'Standards Catalogue'!$A:$A,'Standards Catalogue'!$G:$G,""),""))),"")</f>
        <v/>
      </c>
      <c r="P588" t="str">
        <f t="shared" si="47"/>
        <v/>
      </c>
      <c r="Q588" t="str">
        <f t="shared" si="48"/>
        <v/>
      </c>
      <c r="R588" t="str">
        <f t="shared" si="49"/>
        <v/>
      </c>
    </row>
    <row r="589" spans="12:18" x14ac:dyDescent="0.25">
      <c r="L589" t="str">
        <f t="shared" si="45"/>
        <v/>
      </c>
      <c r="M589" t="b">
        <f t="shared" si="46"/>
        <v>0</v>
      </c>
      <c r="N589" t="str">
        <f>IF(M589,IF(B589="Fe",_xludf.XLOOKUP(A589,'Standards Catalogue'!$A:$A,'Standards Catalogue'!$B:$B,""),IF(B589="P",_xludf.XLOOKUP(A589,'Standards Catalogue'!$A:$A,'Standards Catalogue'!$D:$D,""),IF(B589="S",_xludf.XLOOKUP(A589,'Standards Catalogue'!$A:$A,'Standards Catalogue'!$F:$F,""),""))),"")</f>
        <v/>
      </c>
      <c r="O589" t="str">
        <f>IF(M589,IF(B589="Fe",_xludf.XLOOKUP(A589,'Standards Catalogue'!$A:$A,'Standards Catalogue'!$C:$C,""),IF(B589="P",_xludf.XLOOKUP(A589,'Standards Catalogue'!$A:$A,'Standards Catalogue'!$E:$E,""),IF(B589="S",_xludf.XLOOKUP(A589,'Standards Catalogue'!$A:$A,'Standards Catalogue'!$G:$G,""),""))),"")</f>
        <v/>
      </c>
      <c r="P589" t="str">
        <f t="shared" si="47"/>
        <v/>
      </c>
      <c r="Q589" t="str">
        <f t="shared" si="48"/>
        <v/>
      </c>
      <c r="R589" t="str">
        <f t="shared" si="49"/>
        <v/>
      </c>
    </row>
    <row r="590" spans="12:18" x14ac:dyDescent="0.25">
      <c r="L590" t="str">
        <f t="shared" si="45"/>
        <v/>
      </c>
      <c r="M590" t="b">
        <f t="shared" si="46"/>
        <v>0</v>
      </c>
      <c r="N590" t="str">
        <f>IF(M590,IF(B590="Fe",_xludf.XLOOKUP(A590,'Standards Catalogue'!$A:$A,'Standards Catalogue'!$B:$B,""),IF(B590="P",_xludf.XLOOKUP(A590,'Standards Catalogue'!$A:$A,'Standards Catalogue'!$D:$D,""),IF(B590="S",_xludf.XLOOKUP(A590,'Standards Catalogue'!$A:$A,'Standards Catalogue'!$F:$F,""),""))),"")</f>
        <v/>
      </c>
      <c r="O590" t="str">
        <f>IF(M590,IF(B590="Fe",_xludf.XLOOKUP(A590,'Standards Catalogue'!$A:$A,'Standards Catalogue'!$C:$C,""),IF(B590="P",_xludf.XLOOKUP(A590,'Standards Catalogue'!$A:$A,'Standards Catalogue'!$E:$E,""),IF(B590="S",_xludf.XLOOKUP(A590,'Standards Catalogue'!$A:$A,'Standards Catalogue'!$G:$G,""),""))),"")</f>
        <v/>
      </c>
      <c r="P590" t="str">
        <f t="shared" si="47"/>
        <v/>
      </c>
      <c r="Q590" t="str">
        <f t="shared" si="48"/>
        <v/>
      </c>
      <c r="R590" t="str">
        <f t="shared" si="49"/>
        <v/>
      </c>
    </row>
    <row r="591" spans="12:18" x14ac:dyDescent="0.25">
      <c r="L591" t="str">
        <f t="shared" si="45"/>
        <v/>
      </c>
      <c r="M591" t="b">
        <f t="shared" si="46"/>
        <v>0</v>
      </c>
      <c r="N591" t="str">
        <f>IF(M591,IF(B591="Fe",_xludf.XLOOKUP(A591,'Standards Catalogue'!$A:$A,'Standards Catalogue'!$B:$B,""),IF(B591="P",_xludf.XLOOKUP(A591,'Standards Catalogue'!$A:$A,'Standards Catalogue'!$D:$D,""),IF(B591="S",_xludf.XLOOKUP(A591,'Standards Catalogue'!$A:$A,'Standards Catalogue'!$F:$F,""),""))),"")</f>
        <v/>
      </c>
      <c r="O591" t="str">
        <f>IF(M591,IF(B591="Fe",_xludf.XLOOKUP(A591,'Standards Catalogue'!$A:$A,'Standards Catalogue'!$C:$C,""),IF(B591="P",_xludf.XLOOKUP(A591,'Standards Catalogue'!$A:$A,'Standards Catalogue'!$E:$E,""),IF(B591="S",_xludf.XLOOKUP(A591,'Standards Catalogue'!$A:$A,'Standards Catalogue'!$G:$G,""),""))),"")</f>
        <v/>
      </c>
      <c r="P591" t="str">
        <f t="shared" si="47"/>
        <v/>
      </c>
      <c r="Q591" t="str">
        <f t="shared" si="48"/>
        <v/>
      </c>
      <c r="R591" t="str">
        <f t="shared" si="49"/>
        <v/>
      </c>
    </row>
    <row r="592" spans="12:18" x14ac:dyDescent="0.25">
      <c r="L592" t="str">
        <f t="shared" si="45"/>
        <v/>
      </c>
      <c r="M592" t="b">
        <f t="shared" si="46"/>
        <v>0</v>
      </c>
      <c r="N592" t="str">
        <f>IF(M592,IF(B592="Fe",_xludf.XLOOKUP(A592,'Standards Catalogue'!$A:$A,'Standards Catalogue'!$B:$B,""),IF(B592="P",_xludf.XLOOKUP(A592,'Standards Catalogue'!$A:$A,'Standards Catalogue'!$D:$D,""),IF(B592="S",_xludf.XLOOKUP(A592,'Standards Catalogue'!$A:$A,'Standards Catalogue'!$F:$F,""),""))),"")</f>
        <v/>
      </c>
      <c r="O592" t="str">
        <f>IF(M592,IF(B592="Fe",_xludf.XLOOKUP(A592,'Standards Catalogue'!$A:$A,'Standards Catalogue'!$C:$C,""),IF(B592="P",_xludf.XLOOKUP(A592,'Standards Catalogue'!$A:$A,'Standards Catalogue'!$E:$E,""),IF(B592="S",_xludf.XLOOKUP(A592,'Standards Catalogue'!$A:$A,'Standards Catalogue'!$G:$G,""),""))),"")</f>
        <v/>
      </c>
      <c r="P592" t="str">
        <f t="shared" si="47"/>
        <v/>
      </c>
      <c r="Q592" t="str">
        <f t="shared" si="48"/>
        <v/>
      </c>
      <c r="R592" t="str">
        <f t="shared" si="49"/>
        <v/>
      </c>
    </row>
    <row r="593" spans="12:18" x14ac:dyDescent="0.25">
      <c r="L593" t="str">
        <f t="shared" si="45"/>
        <v/>
      </c>
      <c r="M593" t="b">
        <f t="shared" si="46"/>
        <v>0</v>
      </c>
      <c r="N593" t="str">
        <f>IF(M593,IF(B593="Fe",_xludf.XLOOKUP(A593,'Standards Catalogue'!$A:$A,'Standards Catalogue'!$B:$B,""),IF(B593="P",_xludf.XLOOKUP(A593,'Standards Catalogue'!$A:$A,'Standards Catalogue'!$D:$D,""),IF(B593="S",_xludf.XLOOKUP(A593,'Standards Catalogue'!$A:$A,'Standards Catalogue'!$F:$F,""),""))),"")</f>
        <v/>
      </c>
      <c r="O593" t="str">
        <f>IF(M593,IF(B593="Fe",_xludf.XLOOKUP(A593,'Standards Catalogue'!$A:$A,'Standards Catalogue'!$C:$C,""),IF(B593="P",_xludf.XLOOKUP(A593,'Standards Catalogue'!$A:$A,'Standards Catalogue'!$E:$E,""),IF(B593="S",_xludf.XLOOKUP(A593,'Standards Catalogue'!$A:$A,'Standards Catalogue'!$G:$G,""),""))),"")</f>
        <v/>
      </c>
      <c r="P593" t="str">
        <f t="shared" si="47"/>
        <v/>
      </c>
      <c r="Q593" t="str">
        <f t="shared" si="48"/>
        <v/>
      </c>
      <c r="R593" t="str">
        <f t="shared" si="49"/>
        <v/>
      </c>
    </row>
    <row r="594" spans="12:18" x14ac:dyDescent="0.25">
      <c r="L594" t="str">
        <f t="shared" si="45"/>
        <v/>
      </c>
      <c r="M594" t="b">
        <f t="shared" si="46"/>
        <v>0</v>
      </c>
      <c r="N594" t="str">
        <f>IF(M594,IF(B594="Fe",_xludf.XLOOKUP(A594,'Standards Catalogue'!$A:$A,'Standards Catalogue'!$B:$B,""),IF(B594="P",_xludf.XLOOKUP(A594,'Standards Catalogue'!$A:$A,'Standards Catalogue'!$D:$D,""),IF(B594="S",_xludf.XLOOKUP(A594,'Standards Catalogue'!$A:$A,'Standards Catalogue'!$F:$F,""),""))),"")</f>
        <v/>
      </c>
      <c r="O594" t="str">
        <f>IF(M594,IF(B594="Fe",_xludf.XLOOKUP(A594,'Standards Catalogue'!$A:$A,'Standards Catalogue'!$C:$C,""),IF(B594="P",_xludf.XLOOKUP(A594,'Standards Catalogue'!$A:$A,'Standards Catalogue'!$E:$E,""),IF(B594="S",_xludf.XLOOKUP(A594,'Standards Catalogue'!$A:$A,'Standards Catalogue'!$G:$G,""),""))),"")</f>
        <v/>
      </c>
      <c r="P594" t="str">
        <f t="shared" si="47"/>
        <v/>
      </c>
      <c r="Q594" t="str">
        <f t="shared" si="48"/>
        <v/>
      </c>
      <c r="R594" t="str">
        <f t="shared" si="49"/>
        <v/>
      </c>
    </row>
    <row r="595" spans="12:18" x14ac:dyDescent="0.25">
      <c r="L595" t="str">
        <f t="shared" si="45"/>
        <v/>
      </c>
      <c r="M595" t="b">
        <f t="shared" si="46"/>
        <v>0</v>
      </c>
      <c r="N595" t="str">
        <f>IF(M595,IF(B595="Fe",_xludf.XLOOKUP(A595,'Standards Catalogue'!$A:$A,'Standards Catalogue'!$B:$B,""),IF(B595="P",_xludf.XLOOKUP(A595,'Standards Catalogue'!$A:$A,'Standards Catalogue'!$D:$D,""),IF(B595="S",_xludf.XLOOKUP(A595,'Standards Catalogue'!$A:$A,'Standards Catalogue'!$F:$F,""),""))),"")</f>
        <v/>
      </c>
      <c r="O595" t="str">
        <f>IF(M595,IF(B595="Fe",_xludf.XLOOKUP(A595,'Standards Catalogue'!$A:$A,'Standards Catalogue'!$C:$C,""),IF(B595="P",_xludf.XLOOKUP(A595,'Standards Catalogue'!$A:$A,'Standards Catalogue'!$E:$E,""),IF(B595="S",_xludf.XLOOKUP(A595,'Standards Catalogue'!$A:$A,'Standards Catalogue'!$G:$G,""),""))),"")</f>
        <v/>
      </c>
      <c r="P595" t="str">
        <f t="shared" si="47"/>
        <v/>
      </c>
      <c r="Q595" t="str">
        <f t="shared" si="48"/>
        <v/>
      </c>
      <c r="R595" t="str">
        <f t="shared" si="49"/>
        <v/>
      </c>
    </row>
    <row r="596" spans="12:18" x14ac:dyDescent="0.25">
      <c r="L596" t="str">
        <f t="shared" si="45"/>
        <v/>
      </c>
      <c r="M596" t="b">
        <f t="shared" si="46"/>
        <v>0</v>
      </c>
      <c r="N596" t="str">
        <f>IF(M596,IF(B596="Fe",_xludf.XLOOKUP(A596,'Standards Catalogue'!$A:$A,'Standards Catalogue'!$B:$B,""),IF(B596="P",_xludf.XLOOKUP(A596,'Standards Catalogue'!$A:$A,'Standards Catalogue'!$D:$D,""),IF(B596="S",_xludf.XLOOKUP(A596,'Standards Catalogue'!$A:$A,'Standards Catalogue'!$F:$F,""),""))),"")</f>
        <v/>
      </c>
      <c r="O596" t="str">
        <f>IF(M596,IF(B596="Fe",_xludf.XLOOKUP(A596,'Standards Catalogue'!$A:$A,'Standards Catalogue'!$C:$C,""),IF(B596="P",_xludf.XLOOKUP(A596,'Standards Catalogue'!$A:$A,'Standards Catalogue'!$E:$E,""),IF(B596="S",_xludf.XLOOKUP(A596,'Standards Catalogue'!$A:$A,'Standards Catalogue'!$G:$G,""),""))),"")</f>
        <v/>
      </c>
      <c r="P596" t="str">
        <f t="shared" si="47"/>
        <v/>
      </c>
      <c r="Q596" t="str">
        <f t="shared" si="48"/>
        <v/>
      </c>
      <c r="R596" t="str">
        <f t="shared" si="49"/>
        <v/>
      </c>
    </row>
    <row r="597" spans="12:18" x14ac:dyDescent="0.25">
      <c r="L597" t="str">
        <f t="shared" si="45"/>
        <v/>
      </c>
      <c r="M597" t="b">
        <f t="shared" si="46"/>
        <v>0</v>
      </c>
      <c r="N597" t="str">
        <f>IF(M597,IF(B597="Fe",_xludf.XLOOKUP(A597,'Standards Catalogue'!$A:$A,'Standards Catalogue'!$B:$B,""),IF(B597="P",_xludf.XLOOKUP(A597,'Standards Catalogue'!$A:$A,'Standards Catalogue'!$D:$D,""),IF(B597="S",_xludf.XLOOKUP(A597,'Standards Catalogue'!$A:$A,'Standards Catalogue'!$F:$F,""),""))),"")</f>
        <v/>
      </c>
      <c r="O597" t="str">
        <f>IF(M597,IF(B597="Fe",_xludf.XLOOKUP(A597,'Standards Catalogue'!$A:$A,'Standards Catalogue'!$C:$C,""),IF(B597="P",_xludf.XLOOKUP(A597,'Standards Catalogue'!$A:$A,'Standards Catalogue'!$E:$E,""),IF(B597="S",_xludf.XLOOKUP(A597,'Standards Catalogue'!$A:$A,'Standards Catalogue'!$G:$G,""),""))),"")</f>
        <v/>
      </c>
      <c r="P597" t="str">
        <f t="shared" si="47"/>
        <v/>
      </c>
      <c r="Q597" t="str">
        <f t="shared" si="48"/>
        <v/>
      </c>
      <c r="R597" t="str">
        <f t="shared" si="49"/>
        <v/>
      </c>
    </row>
    <row r="598" spans="12:18" x14ac:dyDescent="0.25">
      <c r="L598" t="str">
        <f t="shared" si="45"/>
        <v/>
      </c>
      <c r="M598" t="b">
        <f t="shared" si="46"/>
        <v>0</v>
      </c>
      <c r="N598" t="str">
        <f>IF(M598,IF(B598="Fe",_xludf.XLOOKUP(A598,'Standards Catalogue'!$A:$A,'Standards Catalogue'!$B:$B,""),IF(B598="P",_xludf.XLOOKUP(A598,'Standards Catalogue'!$A:$A,'Standards Catalogue'!$D:$D,""),IF(B598="S",_xludf.XLOOKUP(A598,'Standards Catalogue'!$A:$A,'Standards Catalogue'!$F:$F,""),""))),"")</f>
        <v/>
      </c>
      <c r="O598" t="str">
        <f>IF(M598,IF(B598="Fe",_xludf.XLOOKUP(A598,'Standards Catalogue'!$A:$A,'Standards Catalogue'!$C:$C,""),IF(B598="P",_xludf.XLOOKUP(A598,'Standards Catalogue'!$A:$A,'Standards Catalogue'!$E:$E,""),IF(B598="S",_xludf.XLOOKUP(A598,'Standards Catalogue'!$A:$A,'Standards Catalogue'!$G:$G,""),""))),"")</f>
        <v/>
      </c>
      <c r="P598" t="str">
        <f t="shared" si="47"/>
        <v/>
      </c>
      <c r="Q598" t="str">
        <f t="shared" si="48"/>
        <v/>
      </c>
      <c r="R598" t="str">
        <f t="shared" si="49"/>
        <v/>
      </c>
    </row>
    <row r="599" spans="12:18" x14ac:dyDescent="0.25">
      <c r="L599" t="str">
        <f t="shared" si="45"/>
        <v/>
      </c>
      <c r="M599" t="b">
        <f t="shared" si="46"/>
        <v>0</v>
      </c>
      <c r="N599" t="str">
        <f>IF(M599,IF(B599="Fe",_xludf.XLOOKUP(A599,'Standards Catalogue'!$A:$A,'Standards Catalogue'!$B:$B,""),IF(B599="P",_xludf.XLOOKUP(A599,'Standards Catalogue'!$A:$A,'Standards Catalogue'!$D:$D,""),IF(B599="S",_xludf.XLOOKUP(A599,'Standards Catalogue'!$A:$A,'Standards Catalogue'!$F:$F,""),""))),"")</f>
        <v/>
      </c>
      <c r="O599" t="str">
        <f>IF(M599,IF(B599="Fe",_xludf.XLOOKUP(A599,'Standards Catalogue'!$A:$A,'Standards Catalogue'!$C:$C,""),IF(B599="P",_xludf.XLOOKUP(A599,'Standards Catalogue'!$A:$A,'Standards Catalogue'!$E:$E,""),IF(B599="S",_xludf.XLOOKUP(A599,'Standards Catalogue'!$A:$A,'Standards Catalogue'!$G:$G,""),""))),"")</f>
        <v/>
      </c>
      <c r="P599" t="str">
        <f t="shared" si="47"/>
        <v/>
      </c>
      <c r="Q599" t="str">
        <f t="shared" si="48"/>
        <v/>
      </c>
      <c r="R599" t="str">
        <f t="shared" si="49"/>
        <v/>
      </c>
    </row>
    <row r="600" spans="12:18" x14ac:dyDescent="0.25">
      <c r="L600" t="str">
        <f t="shared" si="45"/>
        <v/>
      </c>
      <c r="M600" t="b">
        <f t="shared" si="46"/>
        <v>0</v>
      </c>
      <c r="N600" t="str">
        <f>IF(M600,IF(B600="Fe",_xludf.XLOOKUP(A600,'Standards Catalogue'!$A:$A,'Standards Catalogue'!$B:$B,""),IF(B600="P",_xludf.XLOOKUP(A600,'Standards Catalogue'!$A:$A,'Standards Catalogue'!$D:$D,""),IF(B600="S",_xludf.XLOOKUP(A600,'Standards Catalogue'!$A:$A,'Standards Catalogue'!$F:$F,""),""))),"")</f>
        <v/>
      </c>
      <c r="O600" t="str">
        <f>IF(M600,IF(B600="Fe",_xludf.XLOOKUP(A600,'Standards Catalogue'!$A:$A,'Standards Catalogue'!$C:$C,""),IF(B600="P",_xludf.XLOOKUP(A600,'Standards Catalogue'!$A:$A,'Standards Catalogue'!$E:$E,""),IF(B600="S",_xludf.XLOOKUP(A600,'Standards Catalogue'!$A:$A,'Standards Catalogue'!$G:$G,""),""))),"")</f>
        <v/>
      </c>
      <c r="P600" t="str">
        <f t="shared" si="47"/>
        <v/>
      </c>
      <c r="Q600" t="str">
        <f t="shared" si="48"/>
        <v/>
      </c>
      <c r="R600" t="str">
        <f t="shared" si="49"/>
        <v/>
      </c>
    </row>
    <row r="601" spans="12:18" x14ac:dyDescent="0.25">
      <c r="L601" t="str">
        <f t="shared" si="45"/>
        <v/>
      </c>
      <c r="M601" t="b">
        <f t="shared" si="46"/>
        <v>0</v>
      </c>
      <c r="N601" t="str">
        <f>IF(M601,IF(B601="Fe",_xludf.XLOOKUP(A601,'Standards Catalogue'!$A:$A,'Standards Catalogue'!$B:$B,""),IF(B601="P",_xludf.XLOOKUP(A601,'Standards Catalogue'!$A:$A,'Standards Catalogue'!$D:$D,""),IF(B601="S",_xludf.XLOOKUP(A601,'Standards Catalogue'!$A:$A,'Standards Catalogue'!$F:$F,""),""))),"")</f>
        <v/>
      </c>
      <c r="O601" t="str">
        <f>IF(M601,IF(B601="Fe",_xludf.XLOOKUP(A601,'Standards Catalogue'!$A:$A,'Standards Catalogue'!$C:$C,""),IF(B601="P",_xludf.XLOOKUP(A601,'Standards Catalogue'!$A:$A,'Standards Catalogue'!$E:$E,""),IF(B601="S",_xludf.XLOOKUP(A601,'Standards Catalogue'!$A:$A,'Standards Catalogue'!$G:$G,""),""))),"")</f>
        <v/>
      </c>
      <c r="P601" t="str">
        <f t="shared" si="47"/>
        <v/>
      </c>
      <c r="Q601" t="str">
        <f t="shared" si="48"/>
        <v/>
      </c>
      <c r="R601" t="str">
        <f t="shared" si="49"/>
        <v/>
      </c>
    </row>
    <row r="602" spans="12:18" x14ac:dyDescent="0.25">
      <c r="L602" t="str">
        <f t="shared" si="45"/>
        <v/>
      </c>
      <c r="M602" t="b">
        <f t="shared" si="46"/>
        <v>0</v>
      </c>
      <c r="N602" t="str">
        <f>IF(M602,IF(B602="Fe",_xludf.XLOOKUP(A602,'Standards Catalogue'!$A:$A,'Standards Catalogue'!$B:$B,""),IF(B602="P",_xludf.XLOOKUP(A602,'Standards Catalogue'!$A:$A,'Standards Catalogue'!$D:$D,""),IF(B602="S",_xludf.XLOOKUP(A602,'Standards Catalogue'!$A:$A,'Standards Catalogue'!$F:$F,""),""))),"")</f>
        <v/>
      </c>
      <c r="O602" t="str">
        <f>IF(M602,IF(B602="Fe",_xludf.XLOOKUP(A602,'Standards Catalogue'!$A:$A,'Standards Catalogue'!$C:$C,""),IF(B602="P",_xludf.XLOOKUP(A602,'Standards Catalogue'!$A:$A,'Standards Catalogue'!$E:$E,""),IF(B602="S",_xludf.XLOOKUP(A602,'Standards Catalogue'!$A:$A,'Standards Catalogue'!$G:$G,""),""))),"")</f>
        <v/>
      </c>
      <c r="P602" t="str">
        <f t="shared" si="47"/>
        <v/>
      </c>
      <c r="Q602" t="str">
        <f t="shared" si="48"/>
        <v/>
      </c>
      <c r="R602" t="str">
        <f t="shared" si="49"/>
        <v/>
      </c>
    </row>
    <row r="603" spans="12:18" x14ac:dyDescent="0.25">
      <c r="L603" t="str">
        <f t="shared" si="45"/>
        <v/>
      </c>
      <c r="M603" t="b">
        <f t="shared" si="46"/>
        <v>0</v>
      </c>
      <c r="N603" t="str">
        <f>IF(M603,IF(B603="Fe",_xludf.XLOOKUP(A603,'Standards Catalogue'!$A:$A,'Standards Catalogue'!$B:$B,""),IF(B603="P",_xludf.XLOOKUP(A603,'Standards Catalogue'!$A:$A,'Standards Catalogue'!$D:$D,""),IF(B603="S",_xludf.XLOOKUP(A603,'Standards Catalogue'!$A:$A,'Standards Catalogue'!$F:$F,""),""))),"")</f>
        <v/>
      </c>
      <c r="O603" t="str">
        <f>IF(M603,IF(B603="Fe",_xludf.XLOOKUP(A603,'Standards Catalogue'!$A:$A,'Standards Catalogue'!$C:$C,""),IF(B603="P",_xludf.XLOOKUP(A603,'Standards Catalogue'!$A:$A,'Standards Catalogue'!$E:$E,""),IF(B603="S",_xludf.XLOOKUP(A603,'Standards Catalogue'!$A:$A,'Standards Catalogue'!$G:$G,""),""))),"")</f>
        <v/>
      </c>
      <c r="P603" t="str">
        <f t="shared" si="47"/>
        <v/>
      </c>
      <c r="Q603" t="str">
        <f t="shared" si="48"/>
        <v/>
      </c>
      <c r="R603" t="str">
        <f t="shared" si="49"/>
        <v/>
      </c>
    </row>
    <row r="604" spans="12:18" x14ac:dyDescent="0.25">
      <c r="L604" t="str">
        <f t="shared" si="45"/>
        <v/>
      </c>
      <c r="M604" t="b">
        <f t="shared" si="46"/>
        <v>0</v>
      </c>
      <c r="N604" t="str">
        <f>IF(M604,IF(B604="Fe",_xludf.XLOOKUP(A604,'Standards Catalogue'!$A:$A,'Standards Catalogue'!$B:$B,""),IF(B604="P",_xludf.XLOOKUP(A604,'Standards Catalogue'!$A:$A,'Standards Catalogue'!$D:$D,""),IF(B604="S",_xludf.XLOOKUP(A604,'Standards Catalogue'!$A:$A,'Standards Catalogue'!$F:$F,""),""))),"")</f>
        <v/>
      </c>
      <c r="O604" t="str">
        <f>IF(M604,IF(B604="Fe",_xludf.XLOOKUP(A604,'Standards Catalogue'!$A:$A,'Standards Catalogue'!$C:$C,""),IF(B604="P",_xludf.XLOOKUP(A604,'Standards Catalogue'!$A:$A,'Standards Catalogue'!$E:$E,""),IF(B604="S",_xludf.XLOOKUP(A604,'Standards Catalogue'!$A:$A,'Standards Catalogue'!$G:$G,""),""))),"")</f>
        <v/>
      </c>
      <c r="P604" t="str">
        <f t="shared" si="47"/>
        <v/>
      </c>
      <c r="Q604" t="str">
        <f t="shared" si="48"/>
        <v/>
      </c>
      <c r="R604" t="str">
        <f t="shared" si="49"/>
        <v/>
      </c>
    </row>
    <row r="605" spans="12:18" x14ac:dyDescent="0.25">
      <c r="L605" t="str">
        <f t="shared" si="45"/>
        <v/>
      </c>
      <c r="M605" t="b">
        <f t="shared" si="46"/>
        <v>0</v>
      </c>
      <c r="N605" t="str">
        <f>IF(M605,IF(B605="Fe",_xludf.XLOOKUP(A605,'Standards Catalogue'!$A:$A,'Standards Catalogue'!$B:$B,""),IF(B605="P",_xludf.XLOOKUP(A605,'Standards Catalogue'!$A:$A,'Standards Catalogue'!$D:$D,""),IF(B605="S",_xludf.XLOOKUP(A605,'Standards Catalogue'!$A:$A,'Standards Catalogue'!$F:$F,""),""))),"")</f>
        <v/>
      </c>
      <c r="O605" t="str">
        <f>IF(M605,IF(B605="Fe",_xludf.XLOOKUP(A605,'Standards Catalogue'!$A:$A,'Standards Catalogue'!$C:$C,""),IF(B605="P",_xludf.XLOOKUP(A605,'Standards Catalogue'!$A:$A,'Standards Catalogue'!$E:$E,""),IF(B605="S",_xludf.XLOOKUP(A605,'Standards Catalogue'!$A:$A,'Standards Catalogue'!$G:$G,""),""))),"")</f>
        <v/>
      </c>
      <c r="P605" t="str">
        <f t="shared" si="47"/>
        <v/>
      </c>
      <c r="Q605" t="str">
        <f t="shared" si="48"/>
        <v/>
      </c>
      <c r="R605" t="str">
        <f t="shared" si="49"/>
        <v/>
      </c>
    </row>
    <row r="606" spans="12:18" x14ac:dyDescent="0.25">
      <c r="L606" t="str">
        <f t="shared" si="45"/>
        <v/>
      </c>
      <c r="M606" t="b">
        <f t="shared" si="46"/>
        <v>0</v>
      </c>
      <c r="N606" t="str">
        <f>IF(M606,IF(B606="Fe",_xludf.XLOOKUP(A606,'Standards Catalogue'!$A:$A,'Standards Catalogue'!$B:$B,""),IF(B606="P",_xludf.XLOOKUP(A606,'Standards Catalogue'!$A:$A,'Standards Catalogue'!$D:$D,""),IF(B606="S",_xludf.XLOOKUP(A606,'Standards Catalogue'!$A:$A,'Standards Catalogue'!$F:$F,""),""))),"")</f>
        <v/>
      </c>
      <c r="O606" t="str">
        <f>IF(M606,IF(B606="Fe",_xludf.XLOOKUP(A606,'Standards Catalogue'!$A:$A,'Standards Catalogue'!$C:$C,""),IF(B606="P",_xludf.XLOOKUP(A606,'Standards Catalogue'!$A:$A,'Standards Catalogue'!$E:$E,""),IF(B606="S",_xludf.XLOOKUP(A606,'Standards Catalogue'!$A:$A,'Standards Catalogue'!$G:$G,""),""))),"")</f>
        <v/>
      </c>
      <c r="P606" t="str">
        <f t="shared" si="47"/>
        <v/>
      </c>
      <c r="Q606" t="str">
        <f t="shared" si="48"/>
        <v/>
      </c>
      <c r="R606" t="str">
        <f t="shared" si="49"/>
        <v/>
      </c>
    </row>
    <row r="607" spans="12:18" x14ac:dyDescent="0.25">
      <c r="L607" t="str">
        <f t="shared" si="45"/>
        <v/>
      </c>
      <c r="M607" t="b">
        <f t="shared" si="46"/>
        <v>0</v>
      </c>
      <c r="N607" t="str">
        <f>IF(M607,IF(B607="Fe",_xludf.XLOOKUP(A607,'Standards Catalogue'!$A:$A,'Standards Catalogue'!$B:$B,""),IF(B607="P",_xludf.XLOOKUP(A607,'Standards Catalogue'!$A:$A,'Standards Catalogue'!$D:$D,""),IF(B607="S",_xludf.XLOOKUP(A607,'Standards Catalogue'!$A:$A,'Standards Catalogue'!$F:$F,""),""))),"")</f>
        <v/>
      </c>
      <c r="O607" t="str">
        <f>IF(M607,IF(B607="Fe",_xludf.XLOOKUP(A607,'Standards Catalogue'!$A:$A,'Standards Catalogue'!$C:$C,""),IF(B607="P",_xludf.XLOOKUP(A607,'Standards Catalogue'!$A:$A,'Standards Catalogue'!$E:$E,""),IF(B607="S",_xludf.XLOOKUP(A607,'Standards Catalogue'!$A:$A,'Standards Catalogue'!$G:$G,""),""))),"")</f>
        <v/>
      </c>
      <c r="P607" t="str">
        <f t="shared" si="47"/>
        <v/>
      </c>
      <c r="Q607" t="str">
        <f t="shared" si="48"/>
        <v/>
      </c>
      <c r="R607" t="str">
        <f t="shared" si="49"/>
        <v/>
      </c>
    </row>
    <row r="608" spans="12:18" x14ac:dyDescent="0.25">
      <c r="L608" t="str">
        <f t="shared" si="45"/>
        <v/>
      </c>
      <c r="M608" t="b">
        <f t="shared" si="46"/>
        <v>0</v>
      </c>
      <c r="N608" t="str">
        <f>IF(M608,IF(B608="Fe",_xludf.XLOOKUP(A608,'Standards Catalogue'!$A:$A,'Standards Catalogue'!$B:$B,""),IF(B608="P",_xludf.XLOOKUP(A608,'Standards Catalogue'!$A:$A,'Standards Catalogue'!$D:$D,""),IF(B608="S",_xludf.XLOOKUP(A608,'Standards Catalogue'!$A:$A,'Standards Catalogue'!$F:$F,""),""))),"")</f>
        <v/>
      </c>
      <c r="O608" t="str">
        <f>IF(M608,IF(B608="Fe",_xludf.XLOOKUP(A608,'Standards Catalogue'!$A:$A,'Standards Catalogue'!$C:$C,""),IF(B608="P",_xludf.XLOOKUP(A608,'Standards Catalogue'!$A:$A,'Standards Catalogue'!$E:$E,""),IF(B608="S",_xludf.XLOOKUP(A608,'Standards Catalogue'!$A:$A,'Standards Catalogue'!$G:$G,""),""))),"")</f>
        <v/>
      </c>
      <c r="P608" t="str">
        <f t="shared" si="47"/>
        <v/>
      </c>
      <c r="Q608" t="str">
        <f t="shared" si="48"/>
        <v/>
      </c>
      <c r="R608" t="str">
        <f t="shared" si="49"/>
        <v/>
      </c>
    </row>
    <row r="609" spans="12:18" x14ac:dyDescent="0.25">
      <c r="L609" t="str">
        <f t="shared" si="45"/>
        <v/>
      </c>
      <c r="M609" t="b">
        <f t="shared" si="46"/>
        <v>0</v>
      </c>
      <c r="N609" t="str">
        <f>IF(M609,IF(B609="Fe",_xludf.XLOOKUP(A609,'Standards Catalogue'!$A:$A,'Standards Catalogue'!$B:$B,""),IF(B609="P",_xludf.XLOOKUP(A609,'Standards Catalogue'!$A:$A,'Standards Catalogue'!$D:$D,""),IF(B609="S",_xludf.XLOOKUP(A609,'Standards Catalogue'!$A:$A,'Standards Catalogue'!$F:$F,""),""))),"")</f>
        <v/>
      </c>
      <c r="O609" t="str">
        <f>IF(M609,IF(B609="Fe",_xludf.XLOOKUP(A609,'Standards Catalogue'!$A:$A,'Standards Catalogue'!$C:$C,""),IF(B609="P",_xludf.XLOOKUP(A609,'Standards Catalogue'!$A:$A,'Standards Catalogue'!$E:$E,""),IF(B609="S",_xludf.XLOOKUP(A609,'Standards Catalogue'!$A:$A,'Standards Catalogue'!$G:$G,""),""))),"")</f>
        <v/>
      </c>
      <c r="P609" t="str">
        <f t="shared" si="47"/>
        <v/>
      </c>
      <c r="Q609" t="str">
        <f t="shared" si="48"/>
        <v/>
      </c>
      <c r="R609" t="str">
        <f t="shared" si="49"/>
        <v/>
      </c>
    </row>
    <row r="610" spans="12:18" x14ac:dyDescent="0.25">
      <c r="L610" t="str">
        <f t="shared" si="45"/>
        <v/>
      </c>
      <c r="M610" t="b">
        <f t="shared" si="46"/>
        <v>0</v>
      </c>
      <c r="N610" t="str">
        <f>IF(M610,IF(B610="Fe",_xludf.XLOOKUP(A610,'Standards Catalogue'!$A:$A,'Standards Catalogue'!$B:$B,""),IF(B610="P",_xludf.XLOOKUP(A610,'Standards Catalogue'!$A:$A,'Standards Catalogue'!$D:$D,""),IF(B610="S",_xludf.XLOOKUP(A610,'Standards Catalogue'!$A:$A,'Standards Catalogue'!$F:$F,""),""))),"")</f>
        <v/>
      </c>
      <c r="O610" t="str">
        <f>IF(M610,IF(B610="Fe",_xludf.XLOOKUP(A610,'Standards Catalogue'!$A:$A,'Standards Catalogue'!$C:$C,""),IF(B610="P",_xludf.XLOOKUP(A610,'Standards Catalogue'!$A:$A,'Standards Catalogue'!$E:$E,""),IF(B610="S",_xludf.XLOOKUP(A610,'Standards Catalogue'!$A:$A,'Standards Catalogue'!$G:$G,""),""))),"")</f>
        <v/>
      </c>
      <c r="P610" t="str">
        <f t="shared" si="47"/>
        <v/>
      </c>
      <c r="Q610" t="str">
        <f t="shared" si="48"/>
        <v/>
      </c>
      <c r="R610" t="str">
        <f t="shared" si="49"/>
        <v/>
      </c>
    </row>
    <row r="611" spans="12:18" x14ac:dyDescent="0.25">
      <c r="L611" t="str">
        <f t="shared" si="45"/>
        <v/>
      </c>
      <c r="M611" t="b">
        <f t="shared" si="46"/>
        <v>0</v>
      </c>
      <c r="N611" t="str">
        <f>IF(M611,IF(B611="Fe",_xludf.XLOOKUP(A611,'Standards Catalogue'!$A:$A,'Standards Catalogue'!$B:$B,""),IF(B611="P",_xludf.XLOOKUP(A611,'Standards Catalogue'!$A:$A,'Standards Catalogue'!$D:$D,""),IF(B611="S",_xludf.XLOOKUP(A611,'Standards Catalogue'!$A:$A,'Standards Catalogue'!$F:$F,""),""))),"")</f>
        <v/>
      </c>
      <c r="O611" t="str">
        <f>IF(M611,IF(B611="Fe",_xludf.XLOOKUP(A611,'Standards Catalogue'!$A:$A,'Standards Catalogue'!$C:$C,""),IF(B611="P",_xludf.XLOOKUP(A611,'Standards Catalogue'!$A:$A,'Standards Catalogue'!$E:$E,""),IF(B611="S",_xludf.XLOOKUP(A611,'Standards Catalogue'!$A:$A,'Standards Catalogue'!$G:$G,""),""))),"")</f>
        <v/>
      </c>
      <c r="P611" t="str">
        <f t="shared" si="47"/>
        <v/>
      </c>
      <c r="Q611" t="str">
        <f t="shared" si="48"/>
        <v/>
      </c>
      <c r="R611" t="str">
        <f t="shared" si="49"/>
        <v/>
      </c>
    </row>
    <row r="612" spans="12:18" x14ac:dyDescent="0.25">
      <c r="L612" t="str">
        <f t="shared" si="45"/>
        <v/>
      </c>
      <c r="M612" t="b">
        <f t="shared" si="46"/>
        <v>0</v>
      </c>
      <c r="N612" t="str">
        <f>IF(M612,IF(B612="Fe",_xludf.XLOOKUP(A612,'Standards Catalogue'!$A:$A,'Standards Catalogue'!$B:$B,""),IF(B612="P",_xludf.XLOOKUP(A612,'Standards Catalogue'!$A:$A,'Standards Catalogue'!$D:$D,""),IF(B612="S",_xludf.XLOOKUP(A612,'Standards Catalogue'!$A:$A,'Standards Catalogue'!$F:$F,""),""))),"")</f>
        <v/>
      </c>
      <c r="O612" t="str">
        <f>IF(M612,IF(B612="Fe",_xludf.XLOOKUP(A612,'Standards Catalogue'!$A:$A,'Standards Catalogue'!$C:$C,""),IF(B612="P",_xludf.XLOOKUP(A612,'Standards Catalogue'!$A:$A,'Standards Catalogue'!$E:$E,""),IF(B612="S",_xludf.XLOOKUP(A612,'Standards Catalogue'!$A:$A,'Standards Catalogue'!$G:$G,""),""))),"")</f>
        <v/>
      </c>
      <c r="P612" t="str">
        <f t="shared" si="47"/>
        <v/>
      </c>
      <c r="Q612" t="str">
        <f t="shared" si="48"/>
        <v/>
      </c>
      <c r="R612" t="str">
        <f t="shared" si="49"/>
        <v/>
      </c>
    </row>
    <row r="613" spans="12:18" x14ac:dyDescent="0.25">
      <c r="L613" t="str">
        <f t="shared" si="45"/>
        <v/>
      </c>
      <c r="M613" t="b">
        <f t="shared" si="46"/>
        <v>0</v>
      </c>
      <c r="N613" t="str">
        <f>IF(M613,IF(B613="Fe",_xludf.XLOOKUP(A613,'Standards Catalogue'!$A:$A,'Standards Catalogue'!$B:$B,""),IF(B613="P",_xludf.XLOOKUP(A613,'Standards Catalogue'!$A:$A,'Standards Catalogue'!$D:$D,""),IF(B613="S",_xludf.XLOOKUP(A613,'Standards Catalogue'!$A:$A,'Standards Catalogue'!$F:$F,""),""))),"")</f>
        <v/>
      </c>
      <c r="O613" t="str">
        <f>IF(M613,IF(B613="Fe",_xludf.XLOOKUP(A613,'Standards Catalogue'!$A:$A,'Standards Catalogue'!$C:$C,""),IF(B613="P",_xludf.XLOOKUP(A613,'Standards Catalogue'!$A:$A,'Standards Catalogue'!$E:$E,""),IF(B613="S",_xludf.XLOOKUP(A613,'Standards Catalogue'!$A:$A,'Standards Catalogue'!$G:$G,""),""))),"")</f>
        <v/>
      </c>
      <c r="P613" t="str">
        <f t="shared" si="47"/>
        <v/>
      </c>
      <c r="Q613" t="str">
        <f t="shared" si="48"/>
        <v/>
      </c>
      <c r="R613" t="str">
        <f t="shared" si="49"/>
        <v/>
      </c>
    </row>
    <row r="614" spans="12:18" x14ac:dyDescent="0.25">
      <c r="L614" t="str">
        <f t="shared" si="45"/>
        <v/>
      </c>
      <c r="M614" t="b">
        <f t="shared" si="46"/>
        <v>0</v>
      </c>
      <c r="N614" t="str">
        <f>IF(M614,IF(B614="Fe",_xludf.XLOOKUP(A614,'Standards Catalogue'!$A:$A,'Standards Catalogue'!$B:$B,""),IF(B614="P",_xludf.XLOOKUP(A614,'Standards Catalogue'!$A:$A,'Standards Catalogue'!$D:$D,""),IF(B614="S",_xludf.XLOOKUP(A614,'Standards Catalogue'!$A:$A,'Standards Catalogue'!$F:$F,""),""))),"")</f>
        <v/>
      </c>
      <c r="O614" t="str">
        <f>IF(M614,IF(B614="Fe",_xludf.XLOOKUP(A614,'Standards Catalogue'!$A:$A,'Standards Catalogue'!$C:$C,""),IF(B614="P",_xludf.XLOOKUP(A614,'Standards Catalogue'!$A:$A,'Standards Catalogue'!$E:$E,""),IF(B614="S",_xludf.XLOOKUP(A614,'Standards Catalogue'!$A:$A,'Standards Catalogue'!$G:$G,""),""))),"")</f>
        <v/>
      </c>
      <c r="P614" t="str">
        <f t="shared" si="47"/>
        <v/>
      </c>
      <c r="Q614" t="str">
        <f t="shared" si="48"/>
        <v/>
      </c>
      <c r="R614" t="str">
        <f t="shared" si="49"/>
        <v/>
      </c>
    </row>
    <row r="615" spans="12:18" x14ac:dyDescent="0.25">
      <c r="L615" t="str">
        <f t="shared" si="45"/>
        <v/>
      </c>
      <c r="M615" t="b">
        <f t="shared" si="46"/>
        <v>0</v>
      </c>
      <c r="N615" t="str">
        <f>IF(M615,IF(B615="Fe",_xludf.XLOOKUP(A615,'Standards Catalogue'!$A:$A,'Standards Catalogue'!$B:$B,""),IF(B615="P",_xludf.XLOOKUP(A615,'Standards Catalogue'!$A:$A,'Standards Catalogue'!$D:$D,""),IF(B615="S",_xludf.XLOOKUP(A615,'Standards Catalogue'!$A:$A,'Standards Catalogue'!$F:$F,""),""))),"")</f>
        <v/>
      </c>
      <c r="O615" t="str">
        <f>IF(M615,IF(B615="Fe",_xludf.XLOOKUP(A615,'Standards Catalogue'!$A:$A,'Standards Catalogue'!$C:$C,""),IF(B615="P",_xludf.XLOOKUP(A615,'Standards Catalogue'!$A:$A,'Standards Catalogue'!$E:$E,""),IF(B615="S",_xludf.XLOOKUP(A615,'Standards Catalogue'!$A:$A,'Standards Catalogue'!$G:$G,""),""))),"")</f>
        <v/>
      </c>
      <c r="P615" t="str">
        <f t="shared" si="47"/>
        <v/>
      </c>
      <c r="Q615" t="str">
        <f t="shared" si="48"/>
        <v/>
      </c>
      <c r="R615" t="str">
        <f t="shared" si="49"/>
        <v/>
      </c>
    </row>
    <row r="616" spans="12:18" x14ac:dyDescent="0.25">
      <c r="L616" t="str">
        <f t="shared" si="45"/>
        <v/>
      </c>
      <c r="M616" t="b">
        <f t="shared" si="46"/>
        <v>0</v>
      </c>
      <c r="N616" t="str">
        <f>IF(M616,IF(B616="Fe",_xludf.XLOOKUP(A616,'Standards Catalogue'!$A:$A,'Standards Catalogue'!$B:$B,""),IF(B616="P",_xludf.XLOOKUP(A616,'Standards Catalogue'!$A:$A,'Standards Catalogue'!$D:$D,""),IF(B616="S",_xludf.XLOOKUP(A616,'Standards Catalogue'!$A:$A,'Standards Catalogue'!$F:$F,""),""))),"")</f>
        <v/>
      </c>
      <c r="O616" t="str">
        <f>IF(M616,IF(B616="Fe",_xludf.XLOOKUP(A616,'Standards Catalogue'!$A:$A,'Standards Catalogue'!$C:$C,""),IF(B616="P",_xludf.XLOOKUP(A616,'Standards Catalogue'!$A:$A,'Standards Catalogue'!$E:$E,""),IF(B616="S",_xludf.XLOOKUP(A616,'Standards Catalogue'!$A:$A,'Standards Catalogue'!$G:$G,""),""))),"")</f>
        <v/>
      </c>
      <c r="P616" t="str">
        <f t="shared" si="47"/>
        <v/>
      </c>
      <c r="Q616" t="str">
        <f t="shared" si="48"/>
        <v/>
      </c>
      <c r="R616" t="str">
        <f t="shared" si="49"/>
        <v/>
      </c>
    </row>
    <row r="617" spans="12:18" x14ac:dyDescent="0.25">
      <c r="L617" t="str">
        <f t="shared" si="45"/>
        <v/>
      </c>
      <c r="M617" t="b">
        <f t="shared" si="46"/>
        <v>0</v>
      </c>
      <c r="N617" t="str">
        <f>IF(M617,IF(B617="Fe",_xludf.XLOOKUP(A617,'Standards Catalogue'!$A:$A,'Standards Catalogue'!$B:$B,""),IF(B617="P",_xludf.XLOOKUP(A617,'Standards Catalogue'!$A:$A,'Standards Catalogue'!$D:$D,""),IF(B617="S",_xludf.XLOOKUP(A617,'Standards Catalogue'!$A:$A,'Standards Catalogue'!$F:$F,""),""))),"")</f>
        <v/>
      </c>
      <c r="O617" t="str">
        <f>IF(M617,IF(B617="Fe",_xludf.XLOOKUP(A617,'Standards Catalogue'!$A:$A,'Standards Catalogue'!$C:$C,""),IF(B617="P",_xludf.XLOOKUP(A617,'Standards Catalogue'!$A:$A,'Standards Catalogue'!$E:$E,""),IF(B617="S",_xludf.XLOOKUP(A617,'Standards Catalogue'!$A:$A,'Standards Catalogue'!$G:$G,""),""))),"")</f>
        <v/>
      </c>
      <c r="P617" t="str">
        <f t="shared" si="47"/>
        <v/>
      </c>
      <c r="Q617" t="str">
        <f t="shared" si="48"/>
        <v/>
      </c>
      <c r="R617" t="str">
        <f t="shared" si="49"/>
        <v/>
      </c>
    </row>
    <row r="618" spans="12:18" x14ac:dyDescent="0.25">
      <c r="L618" t="str">
        <f t="shared" si="45"/>
        <v/>
      </c>
      <c r="M618" t="b">
        <f t="shared" si="46"/>
        <v>0</v>
      </c>
      <c r="N618" t="str">
        <f>IF(M618,IF(B618="Fe",_xludf.XLOOKUP(A618,'Standards Catalogue'!$A:$A,'Standards Catalogue'!$B:$B,""),IF(B618="P",_xludf.XLOOKUP(A618,'Standards Catalogue'!$A:$A,'Standards Catalogue'!$D:$D,""),IF(B618="S",_xludf.XLOOKUP(A618,'Standards Catalogue'!$A:$A,'Standards Catalogue'!$F:$F,""),""))),"")</f>
        <v/>
      </c>
      <c r="O618" t="str">
        <f>IF(M618,IF(B618="Fe",_xludf.XLOOKUP(A618,'Standards Catalogue'!$A:$A,'Standards Catalogue'!$C:$C,""),IF(B618="P",_xludf.XLOOKUP(A618,'Standards Catalogue'!$A:$A,'Standards Catalogue'!$E:$E,""),IF(B618="S",_xludf.XLOOKUP(A618,'Standards Catalogue'!$A:$A,'Standards Catalogue'!$G:$G,""),""))),"")</f>
        <v/>
      </c>
      <c r="P618" t="str">
        <f t="shared" si="47"/>
        <v/>
      </c>
      <c r="Q618" t="str">
        <f t="shared" si="48"/>
        <v/>
      </c>
      <c r="R618" t="str">
        <f t="shared" si="49"/>
        <v/>
      </c>
    </row>
    <row r="619" spans="12:18" x14ac:dyDescent="0.25">
      <c r="L619" t="str">
        <f t="shared" si="45"/>
        <v/>
      </c>
      <c r="M619" t="b">
        <f t="shared" si="46"/>
        <v>0</v>
      </c>
      <c r="N619" t="str">
        <f>IF(M619,IF(B619="Fe",_xludf.XLOOKUP(A619,'Standards Catalogue'!$A:$A,'Standards Catalogue'!$B:$B,""),IF(B619="P",_xludf.XLOOKUP(A619,'Standards Catalogue'!$A:$A,'Standards Catalogue'!$D:$D,""),IF(B619="S",_xludf.XLOOKUP(A619,'Standards Catalogue'!$A:$A,'Standards Catalogue'!$F:$F,""),""))),"")</f>
        <v/>
      </c>
      <c r="O619" t="str">
        <f>IF(M619,IF(B619="Fe",_xludf.XLOOKUP(A619,'Standards Catalogue'!$A:$A,'Standards Catalogue'!$C:$C,""),IF(B619="P",_xludf.XLOOKUP(A619,'Standards Catalogue'!$A:$A,'Standards Catalogue'!$E:$E,""),IF(B619="S",_xludf.XLOOKUP(A619,'Standards Catalogue'!$A:$A,'Standards Catalogue'!$G:$G,""),""))),"")</f>
        <v/>
      </c>
      <c r="P619" t="str">
        <f t="shared" si="47"/>
        <v/>
      </c>
      <c r="Q619" t="str">
        <f t="shared" si="48"/>
        <v/>
      </c>
      <c r="R619" t="str">
        <f t="shared" si="49"/>
        <v/>
      </c>
    </row>
    <row r="620" spans="12:18" x14ac:dyDescent="0.25">
      <c r="L620" t="str">
        <f t="shared" si="45"/>
        <v/>
      </c>
      <c r="M620" t="b">
        <f t="shared" si="46"/>
        <v>0</v>
      </c>
      <c r="N620" t="str">
        <f>IF(M620,IF(B620="Fe",_xludf.XLOOKUP(A620,'Standards Catalogue'!$A:$A,'Standards Catalogue'!$B:$B,""),IF(B620="P",_xludf.XLOOKUP(A620,'Standards Catalogue'!$A:$A,'Standards Catalogue'!$D:$D,""),IF(B620="S",_xludf.XLOOKUP(A620,'Standards Catalogue'!$A:$A,'Standards Catalogue'!$F:$F,""),""))),"")</f>
        <v/>
      </c>
      <c r="O620" t="str">
        <f>IF(M620,IF(B620="Fe",_xludf.XLOOKUP(A620,'Standards Catalogue'!$A:$A,'Standards Catalogue'!$C:$C,""),IF(B620="P",_xludf.XLOOKUP(A620,'Standards Catalogue'!$A:$A,'Standards Catalogue'!$E:$E,""),IF(B620="S",_xludf.XLOOKUP(A620,'Standards Catalogue'!$A:$A,'Standards Catalogue'!$G:$G,""),""))),"")</f>
        <v/>
      </c>
      <c r="P620" t="str">
        <f t="shared" si="47"/>
        <v/>
      </c>
      <c r="Q620" t="str">
        <f t="shared" si="48"/>
        <v/>
      </c>
      <c r="R620" t="str">
        <f t="shared" si="49"/>
        <v/>
      </c>
    </row>
    <row r="621" spans="12:18" x14ac:dyDescent="0.25">
      <c r="L621" t="str">
        <f t="shared" si="45"/>
        <v/>
      </c>
      <c r="M621" t="b">
        <f t="shared" si="46"/>
        <v>0</v>
      </c>
      <c r="N621" t="str">
        <f>IF(M621,IF(B621="Fe",_xludf.XLOOKUP(A621,'Standards Catalogue'!$A:$A,'Standards Catalogue'!$B:$B,""),IF(B621="P",_xludf.XLOOKUP(A621,'Standards Catalogue'!$A:$A,'Standards Catalogue'!$D:$D,""),IF(B621="S",_xludf.XLOOKUP(A621,'Standards Catalogue'!$A:$A,'Standards Catalogue'!$F:$F,""),""))),"")</f>
        <v/>
      </c>
      <c r="O621" t="str">
        <f>IF(M621,IF(B621="Fe",_xludf.XLOOKUP(A621,'Standards Catalogue'!$A:$A,'Standards Catalogue'!$C:$C,""),IF(B621="P",_xludf.XLOOKUP(A621,'Standards Catalogue'!$A:$A,'Standards Catalogue'!$E:$E,""),IF(B621="S",_xludf.XLOOKUP(A621,'Standards Catalogue'!$A:$A,'Standards Catalogue'!$G:$G,""),""))),"")</f>
        <v/>
      </c>
      <c r="P621" t="str">
        <f t="shared" si="47"/>
        <v/>
      </c>
      <c r="Q621" t="str">
        <f t="shared" si="48"/>
        <v/>
      </c>
      <c r="R621" t="str">
        <f t="shared" si="49"/>
        <v/>
      </c>
    </row>
    <row r="622" spans="12:18" x14ac:dyDescent="0.25">
      <c r="L622" t="str">
        <f t="shared" si="45"/>
        <v/>
      </c>
      <c r="M622" t="b">
        <f t="shared" si="46"/>
        <v>0</v>
      </c>
      <c r="N622" t="str">
        <f>IF(M622,IF(B622="Fe",_xludf.XLOOKUP(A622,'Standards Catalogue'!$A:$A,'Standards Catalogue'!$B:$B,""),IF(B622="P",_xludf.XLOOKUP(A622,'Standards Catalogue'!$A:$A,'Standards Catalogue'!$D:$D,""),IF(B622="S",_xludf.XLOOKUP(A622,'Standards Catalogue'!$A:$A,'Standards Catalogue'!$F:$F,""),""))),"")</f>
        <v/>
      </c>
      <c r="O622" t="str">
        <f>IF(M622,IF(B622="Fe",_xludf.XLOOKUP(A622,'Standards Catalogue'!$A:$A,'Standards Catalogue'!$C:$C,""),IF(B622="P",_xludf.XLOOKUP(A622,'Standards Catalogue'!$A:$A,'Standards Catalogue'!$E:$E,""),IF(B622="S",_xludf.XLOOKUP(A622,'Standards Catalogue'!$A:$A,'Standards Catalogue'!$G:$G,""),""))),"")</f>
        <v/>
      </c>
      <c r="P622" t="str">
        <f t="shared" si="47"/>
        <v/>
      </c>
      <c r="Q622" t="str">
        <f t="shared" si="48"/>
        <v/>
      </c>
      <c r="R622" t="str">
        <f t="shared" si="49"/>
        <v/>
      </c>
    </row>
    <row r="623" spans="12:18" x14ac:dyDescent="0.25">
      <c r="L623" t="str">
        <f t="shared" si="45"/>
        <v/>
      </c>
      <c r="M623" t="b">
        <f t="shared" si="46"/>
        <v>0</v>
      </c>
      <c r="N623" t="str">
        <f>IF(M623,IF(B623="Fe",_xludf.XLOOKUP(A623,'Standards Catalogue'!$A:$A,'Standards Catalogue'!$B:$B,""),IF(B623="P",_xludf.XLOOKUP(A623,'Standards Catalogue'!$A:$A,'Standards Catalogue'!$D:$D,""),IF(B623="S",_xludf.XLOOKUP(A623,'Standards Catalogue'!$A:$A,'Standards Catalogue'!$F:$F,""),""))),"")</f>
        <v/>
      </c>
      <c r="O623" t="str">
        <f>IF(M623,IF(B623="Fe",_xludf.XLOOKUP(A623,'Standards Catalogue'!$A:$A,'Standards Catalogue'!$C:$C,""),IF(B623="P",_xludf.XLOOKUP(A623,'Standards Catalogue'!$A:$A,'Standards Catalogue'!$E:$E,""),IF(B623="S",_xludf.XLOOKUP(A623,'Standards Catalogue'!$A:$A,'Standards Catalogue'!$G:$G,""),""))),"")</f>
        <v/>
      </c>
      <c r="P623" t="str">
        <f t="shared" si="47"/>
        <v/>
      </c>
      <c r="Q623" t="str">
        <f t="shared" si="48"/>
        <v/>
      </c>
      <c r="R623" t="str">
        <f t="shared" si="49"/>
        <v/>
      </c>
    </row>
    <row r="624" spans="12:18" x14ac:dyDescent="0.25">
      <c r="L624" t="str">
        <f t="shared" si="45"/>
        <v/>
      </c>
      <c r="M624" t="b">
        <f t="shared" si="46"/>
        <v>0</v>
      </c>
      <c r="N624" t="str">
        <f>IF(M624,IF(B624="Fe",_xludf.XLOOKUP(A624,'Standards Catalogue'!$A:$A,'Standards Catalogue'!$B:$B,""),IF(B624="P",_xludf.XLOOKUP(A624,'Standards Catalogue'!$A:$A,'Standards Catalogue'!$D:$D,""),IF(B624="S",_xludf.XLOOKUP(A624,'Standards Catalogue'!$A:$A,'Standards Catalogue'!$F:$F,""),""))),"")</f>
        <v/>
      </c>
      <c r="O624" t="str">
        <f>IF(M624,IF(B624="Fe",_xludf.XLOOKUP(A624,'Standards Catalogue'!$A:$A,'Standards Catalogue'!$C:$C,""),IF(B624="P",_xludf.XLOOKUP(A624,'Standards Catalogue'!$A:$A,'Standards Catalogue'!$E:$E,""),IF(B624="S",_xludf.XLOOKUP(A624,'Standards Catalogue'!$A:$A,'Standards Catalogue'!$G:$G,""),""))),"")</f>
        <v/>
      </c>
      <c r="P624" t="str">
        <f t="shared" si="47"/>
        <v/>
      </c>
      <c r="Q624" t="str">
        <f t="shared" si="48"/>
        <v/>
      </c>
      <c r="R624" t="str">
        <f t="shared" si="49"/>
        <v/>
      </c>
    </row>
    <row r="625" spans="12:18" x14ac:dyDescent="0.25">
      <c r="L625" t="str">
        <f t="shared" si="45"/>
        <v/>
      </c>
      <c r="M625" t="b">
        <f t="shared" si="46"/>
        <v>0</v>
      </c>
      <c r="N625" t="str">
        <f>IF(M625,IF(B625="Fe",_xludf.XLOOKUP(A625,'Standards Catalogue'!$A:$A,'Standards Catalogue'!$B:$B,""),IF(B625="P",_xludf.XLOOKUP(A625,'Standards Catalogue'!$A:$A,'Standards Catalogue'!$D:$D,""),IF(B625="S",_xludf.XLOOKUP(A625,'Standards Catalogue'!$A:$A,'Standards Catalogue'!$F:$F,""),""))),"")</f>
        <v/>
      </c>
      <c r="O625" t="str">
        <f>IF(M625,IF(B625="Fe",_xludf.XLOOKUP(A625,'Standards Catalogue'!$A:$A,'Standards Catalogue'!$C:$C,""),IF(B625="P",_xludf.XLOOKUP(A625,'Standards Catalogue'!$A:$A,'Standards Catalogue'!$E:$E,""),IF(B625="S",_xludf.XLOOKUP(A625,'Standards Catalogue'!$A:$A,'Standards Catalogue'!$G:$G,""),""))),"")</f>
        <v/>
      </c>
      <c r="P625" t="str">
        <f t="shared" si="47"/>
        <v/>
      </c>
      <c r="Q625" t="str">
        <f t="shared" si="48"/>
        <v/>
      </c>
      <c r="R625" t="str">
        <f t="shared" si="49"/>
        <v/>
      </c>
    </row>
    <row r="626" spans="12:18" x14ac:dyDescent="0.25">
      <c r="L626" t="str">
        <f t="shared" si="45"/>
        <v/>
      </c>
      <c r="M626" t="b">
        <f t="shared" si="46"/>
        <v>0</v>
      </c>
      <c r="N626" t="str">
        <f>IF(M626,IF(B626="Fe",_xludf.XLOOKUP(A626,'Standards Catalogue'!$A:$A,'Standards Catalogue'!$B:$B,""),IF(B626="P",_xludf.XLOOKUP(A626,'Standards Catalogue'!$A:$A,'Standards Catalogue'!$D:$D,""),IF(B626="S",_xludf.XLOOKUP(A626,'Standards Catalogue'!$A:$A,'Standards Catalogue'!$F:$F,""),""))),"")</f>
        <v/>
      </c>
      <c r="O626" t="str">
        <f>IF(M626,IF(B626="Fe",_xludf.XLOOKUP(A626,'Standards Catalogue'!$A:$A,'Standards Catalogue'!$C:$C,""),IF(B626="P",_xludf.XLOOKUP(A626,'Standards Catalogue'!$A:$A,'Standards Catalogue'!$E:$E,""),IF(B626="S",_xludf.XLOOKUP(A626,'Standards Catalogue'!$A:$A,'Standards Catalogue'!$G:$G,""),""))),"")</f>
        <v/>
      </c>
      <c r="P626" t="str">
        <f t="shared" si="47"/>
        <v/>
      </c>
      <c r="Q626" t="str">
        <f t="shared" si="48"/>
        <v/>
      </c>
      <c r="R626" t="str">
        <f t="shared" si="49"/>
        <v/>
      </c>
    </row>
    <row r="627" spans="12:18" x14ac:dyDescent="0.25">
      <c r="L627" t="str">
        <f t="shared" si="45"/>
        <v/>
      </c>
      <c r="M627" t="b">
        <f t="shared" si="46"/>
        <v>0</v>
      </c>
      <c r="N627" t="str">
        <f>IF(M627,IF(B627="Fe",_xludf.XLOOKUP(A627,'Standards Catalogue'!$A:$A,'Standards Catalogue'!$B:$B,""),IF(B627="P",_xludf.XLOOKUP(A627,'Standards Catalogue'!$A:$A,'Standards Catalogue'!$D:$D,""),IF(B627="S",_xludf.XLOOKUP(A627,'Standards Catalogue'!$A:$A,'Standards Catalogue'!$F:$F,""),""))),"")</f>
        <v/>
      </c>
      <c r="O627" t="str">
        <f>IF(M627,IF(B627="Fe",_xludf.XLOOKUP(A627,'Standards Catalogue'!$A:$A,'Standards Catalogue'!$C:$C,""),IF(B627="P",_xludf.XLOOKUP(A627,'Standards Catalogue'!$A:$A,'Standards Catalogue'!$E:$E,""),IF(B627="S",_xludf.XLOOKUP(A627,'Standards Catalogue'!$A:$A,'Standards Catalogue'!$G:$G,""),""))),"")</f>
        <v/>
      </c>
      <c r="P627" t="str">
        <f t="shared" si="47"/>
        <v/>
      </c>
      <c r="Q627" t="str">
        <f t="shared" si="48"/>
        <v/>
      </c>
      <c r="R627" t="str">
        <f t="shared" si="49"/>
        <v/>
      </c>
    </row>
    <row r="628" spans="12:18" x14ac:dyDescent="0.25">
      <c r="L628" t="str">
        <f t="shared" si="45"/>
        <v/>
      </c>
      <c r="M628" t="b">
        <f t="shared" si="46"/>
        <v>0</v>
      </c>
      <c r="N628" t="str">
        <f>IF(M628,IF(B628="Fe",_xludf.XLOOKUP(A628,'Standards Catalogue'!$A:$A,'Standards Catalogue'!$B:$B,""),IF(B628="P",_xludf.XLOOKUP(A628,'Standards Catalogue'!$A:$A,'Standards Catalogue'!$D:$D,""),IF(B628="S",_xludf.XLOOKUP(A628,'Standards Catalogue'!$A:$A,'Standards Catalogue'!$F:$F,""),""))),"")</f>
        <v/>
      </c>
      <c r="O628" t="str">
        <f>IF(M628,IF(B628="Fe",_xludf.XLOOKUP(A628,'Standards Catalogue'!$A:$A,'Standards Catalogue'!$C:$C,""),IF(B628="P",_xludf.XLOOKUP(A628,'Standards Catalogue'!$A:$A,'Standards Catalogue'!$E:$E,""),IF(B628="S",_xludf.XLOOKUP(A628,'Standards Catalogue'!$A:$A,'Standards Catalogue'!$G:$G,""),""))),"")</f>
        <v/>
      </c>
      <c r="P628" t="str">
        <f t="shared" si="47"/>
        <v/>
      </c>
      <c r="Q628" t="str">
        <f t="shared" si="48"/>
        <v/>
      </c>
      <c r="R628" t="str">
        <f t="shared" si="49"/>
        <v/>
      </c>
    </row>
    <row r="629" spans="12:18" x14ac:dyDescent="0.25">
      <c r="L629" t="str">
        <f t="shared" si="45"/>
        <v/>
      </c>
      <c r="M629" t="b">
        <f t="shared" si="46"/>
        <v>0</v>
      </c>
      <c r="N629" t="str">
        <f>IF(M629,IF(B629="Fe",_xludf.XLOOKUP(A629,'Standards Catalogue'!$A:$A,'Standards Catalogue'!$B:$B,""),IF(B629="P",_xludf.XLOOKUP(A629,'Standards Catalogue'!$A:$A,'Standards Catalogue'!$D:$D,""),IF(B629="S",_xludf.XLOOKUP(A629,'Standards Catalogue'!$A:$A,'Standards Catalogue'!$F:$F,""),""))),"")</f>
        <v/>
      </c>
      <c r="O629" t="str">
        <f>IF(M629,IF(B629="Fe",_xludf.XLOOKUP(A629,'Standards Catalogue'!$A:$A,'Standards Catalogue'!$C:$C,""),IF(B629="P",_xludf.XLOOKUP(A629,'Standards Catalogue'!$A:$A,'Standards Catalogue'!$E:$E,""),IF(B629="S",_xludf.XLOOKUP(A629,'Standards Catalogue'!$A:$A,'Standards Catalogue'!$G:$G,""),""))),"")</f>
        <v/>
      </c>
      <c r="P629" t="str">
        <f t="shared" si="47"/>
        <v/>
      </c>
      <c r="Q629" t="str">
        <f t="shared" si="48"/>
        <v/>
      </c>
      <c r="R629" t="str">
        <f t="shared" si="49"/>
        <v/>
      </c>
    </row>
    <row r="630" spans="12:18" x14ac:dyDescent="0.25">
      <c r="L630" t="str">
        <f t="shared" si="45"/>
        <v/>
      </c>
      <c r="M630" t="b">
        <f t="shared" si="46"/>
        <v>0</v>
      </c>
      <c r="N630" t="str">
        <f>IF(M630,IF(B630="Fe",_xludf.XLOOKUP(A630,'Standards Catalogue'!$A:$A,'Standards Catalogue'!$B:$B,""),IF(B630="P",_xludf.XLOOKUP(A630,'Standards Catalogue'!$A:$A,'Standards Catalogue'!$D:$D,""),IF(B630="S",_xludf.XLOOKUP(A630,'Standards Catalogue'!$A:$A,'Standards Catalogue'!$F:$F,""),""))),"")</f>
        <v/>
      </c>
      <c r="O630" t="str">
        <f>IF(M630,IF(B630="Fe",_xludf.XLOOKUP(A630,'Standards Catalogue'!$A:$A,'Standards Catalogue'!$C:$C,""),IF(B630="P",_xludf.XLOOKUP(A630,'Standards Catalogue'!$A:$A,'Standards Catalogue'!$E:$E,""),IF(B630="S",_xludf.XLOOKUP(A630,'Standards Catalogue'!$A:$A,'Standards Catalogue'!$G:$G,""),""))),"")</f>
        <v/>
      </c>
      <c r="P630" t="str">
        <f t="shared" si="47"/>
        <v/>
      </c>
      <c r="Q630" t="str">
        <f t="shared" si="48"/>
        <v/>
      </c>
      <c r="R630" t="str">
        <f t="shared" si="49"/>
        <v/>
      </c>
    </row>
    <row r="631" spans="12:18" x14ac:dyDescent="0.25">
      <c r="L631" t="str">
        <f t="shared" si="45"/>
        <v/>
      </c>
      <c r="M631" t="b">
        <f t="shared" si="46"/>
        <v>0</v>
      </c>
      <c r="N631" t="str">
        <f>IF(M631,IF(B631="Fe",_xludf.XLOOKUP(A631,'Standards Catalogue'!$A:$A,'Standards Catalogue'!$B:$B,""),IF(B631="P",_xludf.XLOOKUP(A631,'Standards Catalogue'!$A:$A,'Standards Catalogue'!$D:$D,""),IF(B631="S",_xludf.XLOOKUP(A631,'Standards Catalogue'!$A:$A,'Standards Catalogue'!$F:$F,""),""))),"")</f>
        <v/>
      </c>
      <c r="O631" t="str">
        <f>IF(M631,IF(B631="Fe",_xludf.XLOOKUP(A631,'Standards Catalogue'!$A:$A,'Standards Catalogue'!$C:$C,""),IF(B631="P",_xludf.XLOOKUP(A631,'Standards Catalogue'!$A:$A,'Standards Catalogue'!$E:$E,""),IF(B631="S",_xludf.XLOOKUP(A631,'Standards Catalogue'!$A:$A,'Standards Catalogue'!$G:$G,""),""))),"")</f>
        <v/>
      </c>
      <c r="P631" t="str">
        <f t="shared" si="47"/>
        <v/>
      </c>
      <c r="Q631" t="str">
        <f t="shared" si="48"/>
        <v/>
      </c>
      <c r="R631" t="str">
        <f t="shared" si="49"/>
        <v/>
      </c>
    </row>
    <row r="632" spans="12:18" x14ac:dyDescent="0.25">
      <c r="L632" t="str">
        <f t="shared" si="45"/>
        <v/>
      </c>
      <c r="M632" t="b">
        <f t="shared" si="46"/>
        <v>0</v>
      </c>
      <c r="N632" t="str">
        <f>IF(M632,IF(B632="Fe",_xludf.XLOOKUP(A632,'Standards Catalogue'!$A:$A,'Standards Catalogue'!$B:$B,""),IF(B632="P",_xludf.XLOOKUP(A632,'Standards Catalogue'!$A:$A,'Standards Catalogue'!$D:$D,""),IF(B632="S",_xludf.XLOOKUP(A632,'Standards Catalogue'!$A:$A,'Standards Catalogue'!$F:$F,""),""))),"")</f>
        <v/>
      </c>
      <c r="O632" t="str">
        <f>IF(M632,IF(B632="Fe",_xludf.XLOOKUP(A632,'Standards Catalogue'!$A:$A,'Standards Catalogue'!$C:$C,""),IF(B632="P",_xludf.XLOOKUP(A632,'Standards Catalogue'!$A:$A,'Standards Catalogue'!$E:$E,""),IF(B632="S",_xludf.XLOOKUP(A632,'Standards Catalogue'!$A:$A,'Standards Catalogue'!$G:$G,""),""))),"")</f>
        <v/>
      </c>
      <c r="P632" t="str">
        <f t="shared" si="47"/>
        <v/>
      </c>
      <c r="Q632" t="str">
        <f t="shared" si="48"/>
        <v/>
      </c>
      <c r="R632" t="str">
        <f t="shared" si="49"/>
        <v/>
      </c>
    </row>
    <row r="633" spans="12:18" x14ac:dyDescent="0.25">
      <c r="L633" t="str">
        <f t="shared" si="45"/>
        <v/>
      </c>
      <c r="M633" t="b">
        <f t="shared" si="46"/>
        <v>0</v>
      </c>
      <c r="N633" t="str">
        <f>IF(M633,IF(B633="Fe",_xludf.XLOOKUP(A633,'Standards Catalogue'!$A:$A,'Standards Catalogue'!$B:$B,""),IF(B633="P",_xludf.XLOOKUP(A633,'Standards Catalogue'!$A:$A,'Standards Catalogue'!$D:$D,""),IF(B633="S",_xludf.XLOOKUP(A633,'Standards Catalogue'!$A:$A,'Standards Catalogue'!$F:$F,""),""))),"")</f>
        <v/>
      </c>
      <c r="O633" t="str">
        <f>IF(M633,IF(B633="Fe",_xludf.XLOOKUP(A633,'Standards Catalogue'!$A:$A,'Standards Catalogue'!$C:$C,""),IF(B633="P",_xludf.XLOOKUP(A633,'Standards Catalogue'!$A:$A,'Standards Catalogue'!$E:$E,""),IF(B633="S",_xludf.XLOOKUP(A633,'Standards Catalogue'!$A:$A,'Standards Catalogue'!$G:$G,""),""))),"")</f>
        <v/>
      </c>
      <c r="P633" t="str">
        <f t="shared" si="47"/>
        <v/>
      </c>
      <c r="Q633" t="str">
        <f t="shared" si="48"/>
        <v/>
      </c>
      <c r="R633" t="str">
        <f t="shared" si="49"/>
        <v/>
      </c>
    </row>
    <row r="634" spans="12:18" x14ac:dyDescent="0.25">
      <c r="L634" t="str">
        <f t="shared" si="45"/>
        <v/>
      </c>
      <c r="M634" t="b">
        <f t="shared" si="46"/>
        <v>0</v>
      </c>
      <c r="N634" t="str">
        <f>IF(M634,IF(B634="Fe",_xludf.XLOOKUP(A634,'Standards Catalogue'!$A:$A,'Standards Catalogue'!$B:$B,""),IF(B634="P",_xludf.XLOOKUP(A634,'Standards Catalogue'!$A:$A,'Standards Catalogue'!$D:$D,""),IF(B634="S",_xludf.XLOOKUP(A634,'Standards Catalogue'!$A:$A,'Standards Catalogue'!$F:$F,""),""))),"")</f>
        <v/>
      </c>
      <c r="O634" t="str">
        <f>IF(M634,IF(B634="Fe",_xludf.XLOOKUP(A634,'Standards Catalogue'!$A:$A,'Standards Catalogue'!$C:$C,""),IF(B634="P",_xludf.XLOOKUP(A634,'Standards Catalogue'!$A:$A,'Standards Catalogue'!$E:$E,""),IF(B634="S",_xludf.XLOOKUP(A634,'Standards Catalogue'!$A:$A,'Standards Catalogue'!$G:$G,""),""))),"")</f>
        <v/>
      </c>
      <c r="P634" t="str">
        <f t="shared" si="47"/>
        <v/>
      </c>
      <c r="Q634" t="str">
        <f t="shared" si="48"/>
        <v/>
      </c>
      <c r="R634" t="str">
        <f t="shared" si="49"/>
        <v/>
      </c>
    </row>
    <row r="635" spans="12:18" x14ac:dyDescent="0.25">
      <c r="L635" t="str">
        <f t="shared" si="45"/>
        <v/>
      </c>
      <c r="M635" t="b">
        <f t="shared" si="46"/>
        <v>0</v>
      </c>
      <c r="N635" t="str">
        <f>IF(M635,IF(B635="Fe",_xludf.XLOOKUP(A635,'Standards Catalogue'!$A:$A,'Standards Catalogue'!$B:$B,""),IF(B635="P",_xludf.XLOOKUP(A635,'Standards Catalogue'!$A:$A,'Standards Catalogue'!$D:$D,""),IF(B635="S",_xludf.XLOOKUP(A635,'Standards Catalogue'!$A:$A,'Standards Catalogue'!$F:$F,""),""))),"")</f>
        <v/>
      </c>
      <c r="O635" t="str">
        <f>IF(M635,IF(B635="Fe",_xludf.XLOOKUP(A635,'Standards Catalogue'!$A:$A,'Standards Catalogue'!$C:$C,""),IF(B635="P",_xludf.XLOOKUP(A635,'Standards Catalogue'!$A:$A,'Standards Catalogue'!$E:$E,""),IF(B635="S",_xludf.XLOOKUP(A635,'Standards Catalogue'!$A:$A,'Standards Catalogue'!$G:$G,""),""))),"")</f>
        <v/>
      </c>
      <c r="P635" t="str">
        <f t="shared" si="47"/>
        <v/>
      </c>
      <c r="Q635" t="str">
        <f t="shared" si="48"/>
        <v/>
      </c>
      <c r="R635" t="str">
        <f t="shared" si="49"/>
        <v/>
      </c>
    </row>
    <row r="636" spans="12:18" x14ac:dyDescent="0.25">
      <c r="L636" t="str">
        <f t="shared" si="45"/>
        <v/>
      </c>
      <c r="M636" t="b">
        <f t="shared" si="46"/>
        <v>0</v>
      </c>
      <c r="N636" t="str">
        <f>IF(M636,IF(B636="Fe",_xludf.XLOOKUP(A636,'Standards Catalogue'!$A:$A,'Standards Catalogue'!$B:$B,""),IF(B636="P",_xludf.XLOOKUP(A636,'Standards Catalogue'!$A:$A,'Standards Catalogue'!$D:$D,""),IF(B636="S",_xludf.XLOOKUP(A636,'Standards Catalogue'!$A:$A,'Standards Catalogue'!$F:$F,""),""))),"")</f>
        <v/>
      </c>
      <c r="O636" t="str">
        <f>IF(M636,IF(B636="Fe",_xludf.XLOOKUP(A636,'Standards Catalogue'!$A:$A,'Standards Catalogue'!$C:$C,""),IF(B636="P",_xludf.XLOOKUP(A636,'Standards Catalogue'!$A:$A,'Standards Catalogue'!$E:$E,""),IF(B636="S",_xludf.XLOOKUP(A636,'Standards Catalogue'!$A:$A,'Standards Catalogue'!$G:$G,""),""))),"")</f>
        <v/>
      </c>
      <c r="P636" t="str">
        <f t="shared" si="47"/>
        <v/>
      </c>
      <c r="Q636" t="str">
        <f t="shared" si="48"/>
        <v/>
      </c>
      <c r="R636" t="str">
        <f t="shared" si="49"/>
        <v/>
      </c>
    </row>
    <row r="637" spans="12:18" x14ac:dyDescent="0.25">
      <c r="L637" t="str">
        <f t="shared" si="45"/>
        <v/>
      </c>
      <c r="M637" t="b">
        <f t="shared" si="46"/>
        <v>0</v>
      </c>
      <c r="N637" t="str">
        <f>IF(M637,IF(B637="Fe",_xludf.XLOOKUP(A637,'Standards Catalogue'!$A:$A,'Standards Catalogue'!$B:$B,""),IF(B637="P",_xludf.XLOOKUP(A637,'Standards Catalogue'!$A:$A,'Standards Catalogue'!$D:$D,""),IF(B637="S",_xludf.XLOOKUP(A637,'Standards Catalogue'!$A:$A,'Standards Catalogue'!$F:$F,""),""))),"")</f>
        <v/>
      </c>
      <c r="O637" t="str">
        <f>IF(M637,IF(B637="Fe",_xludf.XLOOKUP(A637,'Standards Catalogue'!$A:$A,'Standards Catalogue'!$C:$C,""),IF(B637="P",_xludf.XLOOKUP(A637,'Standards Catalogue'!$A:$A,'Standards Catalogue'!$E:$E,""),IF(B637="S",_xludf.XLOOKUP(A637,'Standards Catalogue'!$A:$A,'Standards Catalogue'!$G:$G,""),""))),"")</f>
        <v/>
      </c>
      <c r="P637" t="str">
        <f t="shared" si="47"/>
        <v/>
      </c>
      <c r="Q637" t="str">
        <f t="shared" si="48"/>
        <v/>
      </c>
      <c r="R637" t="str">
        <f t="shared" si="49"/>
        <v/>
      </c>
    </row>
    <row r="638" spans="12:18" x14ac:dyDescent="0.25">
      <c r="L638" t="str">
        <f t="shared" si="45"/>
        <v/>
      </c>
      <c r="M638" t="b">
        <f t="shared" si="46"/>
        <v>0</v>
      </c>
      <c r="N638" t="str">
        <f>IF(M638,IF(B638="Fe",_xludf.XLOOKUP(A638,'Standards Catalogue'!$A:$A,'Standards Catalogue'!$B:$B,""),IF(B638="P",_xludf.XLOOKUP(A638,'Standards Catalogue'!$A:$A,'Standards Catalogue'!$D:$D,""),IF(B638="S",_xludf.XLOOKUP(A638,'Standards Catalogue'!$A:$A,'Standards Catalogue'!$F:$F,""),""))),"")</f>
        <v/>
      </c>
      <c r="O638" t="str">
        <f>IF(M638,IF(B638="Fe",_xludf.XLOOKUP(A638,'Standards Catalogue'!$A:$A,'Standards Catalogue'!$C:$C,""),IF(B638="P",_xludf.XLOOKUP(A638,'Standards Catalogue'!$A:$A,'Standards Catalogue'!$E:$E,""),IF(B638="S",_xludf.XLOOKUP(A638,'Standards Catalogue'!$A:$A,'Standards Catalogue'!$G:$G,""),""))),"")</f>
        <v/>
      </c>
      <c r="P638" t="str">
        <f t="shared" si="47"/>
        <v/>
      </c>
      <c r="Q638" t="str">
        <f t="shared" si="48"/>
        <v/>
      </c>
      <c r="R638" t="str">
        <f t="shared" si="49"/>
        <v/>
      </c>
    </row>
    <row r="639" spans="12:18" x14ac:dyDescent="0.25">
      <c r="L639" t="str">
        <f t="shared" si="45"/>
        <v/>
      </c>
      <c r="M639" t="b">
        <f t="shared" si="46"/>
        <v>0</v>
      </c>
      <c r="N639" t="str">
        <f>IF(M639,IF(B639="Fe",_xludf.XLOOKUP(A639,'Standards Catalogue'!$A:$A,'Standards Catalogue'!$B:$B,""),IF(B639="P",_xludf.XLOOKUP(A639,'Standards Catalogue'!$A:$A,'Standards Catalogue'!$D:$D,""),IF(B639="S",_xludf.XLOOKUP(A639,'Standards Catalogue'!$A:$A,'Standards Catalogue'!$F:$F,""),""))),"")</f>
        <v/>
      </c>
      <c r="O639" t="str">
        <f>IF(M639,IF(B639="Fe",_xludf.XLOOKUP(A639,'Standards Catalogue'!$A:$A,'Standards Catalogue'!$C:$C,""),IF(B639="P",_xludf.XLOOKUP(A639,'Standards Catalogue'!$A:$A,'Standards Catalogue'!$E:$E,""),IF(B639="S",_xludf.XLOOKUP(A639,'Standards Catalogue'!$A:$A,'Standards Catalogue'!$G:$G,""),""))),"")</f>
        <v/>
      </c>
      <c r="P639" t="str">
        <f t="shared" si="47"/>
        <v/>
      </c>
      <c r="Q639" t="str">
        <f t="shared" si="48"/>
        <v/>
      </c>
      <c r="R639" t="str">
        <f t="shared" si="49"/>
        <v/>
      </c>
    </row>
    <row r="640" spans="12:18" x14ac:dyDescent="0.25">
      <c r="L640" t="str">
        <f t="shared" si="45"/>
        <v/>
      </c>
      <c r="M640" t="b">
        <f t="shared" si="46"/>
        <v>0</v>
      </c>
      <c r="N640" t="str">
        <f>IF(M640,IF(B640="Fe",_xludf.XLOOKUP(A640,'Standards Catalogue'!$A:$A,'Standards Catalogue'!$B:$B,""),IF(B640="P",_xludf.XLOOKUP(A640,'Standards Catalogue'!$A:$A,'Standards Catalogue'!$D:$D,""),IF(B640="S",_xludf.XLOOKUP(A640,'Standards Catalogue'!$A:$A,'Standards Catalogue'!$F:$F,""),""))),"")</f>
        <v/>
      </c>
      <c r="O640" t="str">
        <f>IF(M640,IF(B640="Fe",_xludf.XLOOKUP(A640,'Standards Catalogue'!$A:$A,'Standards Catalogue'!$C:$C,""),IF(B640="P",_xludf.XLOOKUP(A640,'Standards Catalogue'!$A:$A,'Standards Catalogue'!$E:$E,""),IF(B640="S",_xludf.XLOOKUP(A640,'Standards Catalogue'!$A:$A,'Standards Catalogue'!$G:$G,""),""))),"")</f>
        <v/>
      </c>
      <c r="P640" t="str">
        <f t="shared" si="47"/>
        <v/>
      </c>
      <c r="Q640" t="str">
        <f t="shared" si="48"/>
        <v/>
      </c>
      <c r="R640" t="str">
        <f t="shared" si="49"/>
        <v/>
      </c>
    </row>
    <row r="641" spans="12:18" x14ac:dyDescent="0.25">
      <c r="L641" t="str">
        <f t="shared" si="45"/>
        <v/>
      </c>
      <c r="M641" t="b">
        <f t="shared" si="46"/>
        <v>0</v>
      </c>
      <c r="N641" t="str">
        <f>IF(M641,IF(B641="Fe",_xludf.XLOOKUP(A641,'Standards Catalogue'!$A:$A,'Standards Catalogue'!$B:$B,""),IF(B641="P",_xludf.XLOOKUP(A641,'Standards Catalogue'!$A:$A,'Standards Catalogue'!$D:$D,""),IF(B641="S",_xludf.XLOOKUP(A641,'Standards Catalogue'!$A:$A,'Standards Catalogue'!$F:$F,""),""))),"")</f>
        <v/>
      </c>
      <c r="O641" t="str">
        <f>IF(M641,IF(B641="Fe",_xludf.XLOOKUP(A641,'Standards Catalogue'!$A:$A,'Standards Catalogue'!$C:$C,""),IF(B641="P",_xludf.XLOOKUP(A641,'Standards Catalogue'!$A:$A,'Standards Catalogue'!$E:$E,""),IF(B641="S",_xludf.XLOOKUP(A641,'Standards Catalogue'!$A:$A,'Standards Catalogue'!$G:$G,""),""))),"")</f>
        <v/>
      </c>
      <c r="P641" t="str">
        <f t="shared" si="47"/>
        <v/>
      </c>
      <c r="Q641" t="str">
        <f t="shared" si="48"/>
        <v/>
      </c>
      <c r="R641" t="str">
        <f t="shared" si="49"/>
        <v/>
      </c>
    </row>
    <row r="642" spans="12:18" x14ac:dyDescent="0.25">
      <c r="L642" t="str">
        <f t="shared" ref="L642:L705" si="50">IF(AND(A642&lt;&gt;"",B642&lt;&gt;""),A642&amp;"|"&amp;B642,"")</f>
        <v/>
      </c>
      <c r="M642" t="b">
        <f t="shared" ref="M642:M705" si="51">IF(COUNTIF(STANDARDS_IDS,A642)&gt;0,TRUE,FALSE)</f>
        <v>0</v>
      </c>
      <c r="N642" t="str">
        <f>IF(M642,IF(B642="Fe",_xludf.XLOOKUP(A642,'Standards Catalogue'!$A:$A,'Standards Catalogue'!$B:$B,""),IF(B642="P",_xludf.XLOOKUP(A642,'Standards Catalogue'!$A:$A,'Standards Catalogue'!$D:$D,""),IF(B642="S",_xludf.XLOOKUP(A642,'Standards Catalogue'!$A:$A,'Standards Catalogue'!$F:$F,""),""))),"")</f>
        <v/>
      </c>
      <c r="O642" t="str">
        <f>IF(M642,IF(B642="Fe",_xludf.XLOOKUP(A642,'Standards Catalogue'!$A:$A,'Standards Catalogue'!$C:$C,""),IF(B642="P",_xludf.XLOOKUP(A642,'Standards Catalogue'!$A:$A,'Standards Catalogue'!$E:$E,""),IF(B642="S",_xludf.XLOOKUP(A642,'Standards Catalogue'!$A:$A,'Standards Catalogue'!$G:$G,""),""))),"")</f>
        <v/>
      </c>
      <c r="P642" t="str">
        <f t="shared" ref="P642:P705" si="52">IF(M642,N642-2*O642,"")</f>
        <v/>
      </c>
      <c r="Q642" t="str">
        <f t="shared" ref="Q642:Q705" si="53">IF(M642,N642+2*O642,"")</f>
        <v/>
      </c>
      <c r="R642" t="str">
        <f t="shared" ref="R642:R705" si="54">IF(M642,IF(OR(C642="",N642="",O642=""),"",IF(AND(C642&gt;=P642,C642&lt;=Q642),"PASS","FAIL")),"")</f>
        <v/>
      </c>
    </row>
    <row r="643" spans="12:18" x14ac:dyDescent="0.25">
      <c r="L643" t="str">
        <f t="shared" si="50"/>
        <v/>
      </c>
      <c r="M643" t="b">
        <f t="shared" si="51"/>
        <v>0</v>
      </c>
      <c r="N643" t="str">
        <f>IF(M643,IF(B643="Fe",_xludf.XLOOKUP(A643,'Standards Catalogue'!$A:$A,'Standards Catalogue'!$B:$B,""),IF(B643="P",_xludf.XLOOKUP(A643,'Standards Catalogue'!$A:$A,'Standards Catalogue'!$D:$D,""),IF(B643="S",_xludf.XLOOKUP(A643,'Standards Catalogue'!$A:$A,'Standards Catalogue'!$F:$F,""),""))),"")</f>
        <v/>
      </c>
      <c r="O643" t="str">
        <f>IF(M643,IF(B643="Fe",_xludf.XLOOKUP(A643,'Standards Catalogue'!$A:$A,'Standards Catalogue'!$C:$C,""),IF(B643="P",_xludf.XLOOKUP(A643,'Standards Catalogue'!$A:$A,'Standards Catalogue'!$E:$E,""),IF(B643="S",_xludf.XLOOKUP(A643,'Standards Catalogue'!$A:$A,'Standards Catalogue'!$G:$G,""),""))),"")</f>
        <v/>
      </c>
      <c r="P643" t="str">
        <f t="shared" si="52"/>
        <v/>
      </c>
      <c r="Q643" t="str">
        <f t="shared" si="53"/>
        <v/>
      </c>
      <c r="R643" t="str">
        <f t="shared" si="54"/>
        <v/>
      </c>
    </row>
    <row r="644" spans="12:18" x14ac:dyDescent="0.25">
      <c r="L644" t="str">
        <f t="shared" si="50"/>
        <v/>
      </c>
      <c r="M644" t="b">
        <f t="shared" si="51"/>
        <v>0</v>
      </c>
      <c r="N644" t="str">
        <f>IF(M644,IF(B644="Fe",_xludf.XLOOKUP(A644,'Standards Catalogue'!$A:$A,'Standards Catalogue'!$B:$B,""),IF(B644="P",_xludf.XLOOKUP(A644,'Standards Catalogue'!$A:$A,'Standards Catalogue'!$D:$D,""),IF(B644="S",_xludf.XLOOKUP(A644,'Standards Catalogue'!$A:$A,'Standards Catalogue'!$F:$F,""),""))),"")</f>
        <v/>
      </c>
      <c r="O644" t="str">
        <f>IF(M644,IF(B644="Fe",_xludf.XLOOKUP(A644,'Standards Catalogue'!$A:$A,'Standards Catalogue'!$C:$C,""),IF(B644="P",_xludf.XLOOKUP(A644,'Standards Catalogue'!$A:$A,'Standards Catalogue'!$E:$E,""),IF(B644="S",_xludf.XLOOKUP(A644,'Standards Catalogue'!$A:$A,'Standards Catalogue'!$G:$G,""),""))),"")</f>
        <v/>
      </c>
      <c r="P644" t="str">
        <f t="shared" si="52"/>
        <v/>
      </c>
      <c r="Q644" t="str">
        <f t="shared" si="53"/>
        <v/>
      </c>
      <c r="R644" t="str">
        <f t="shared" si="54"/>
        <v/>
      </c>
    </row>
    <row r="645" spans="12:18" x14ac:dyDescent="0.25">
      <c r="L645" t="str">
        <f t="shared" si="50"/>
        <v/>
      </c>
      <c r="M645" t="b">
        <f t="shared" si="51"/>
        <v>0</v>
      </c>
      <c r="N645" t="str">
        <f>IF(M645,IF(B645="Fe",_xludf.XLOOKUP(A645,'Standards Catalogue'!$A:$A,'Standards Catalogue'!$B:$B,""),IF(B645="P",_xludf.XLOOKUP(A645,'Standards Catalogue'!$A:$A,'Standards Catalogue'!$D:$D,""),IF(B645="S",_xludf.XLOOKUP(A645,'Standards Catalogue'!$A:$A,'Standards Catalogue'!$F:$F,""),""))),"")</f>
        <v/>
      </c>
      <c r="O645" t="str">
        <f>IF(M645,IF(B645="Fe",_xludf.XLOOKUP(A645,'Standards Catalogue'!$A:$A,'Standards Catalogue'!$C:$C,""),IF(B645="P",_xludf.XLOOKUP(A645,'Standards Catalogue'!$A:$A,'Standards Catalogue'!$E:$E,""),IF(B645="S",_xludf.XLOOKUP(A645,'Standards Catalogue'!$A:$A,'Standards Catalogue'!$G:$G,""),""))),"")</f>
        <v/>
      </c>
      <c r="P645" t="str">
        <f t="shared" si="52"/>
        <v/>
      </c>
      <c r="Q645" t="str">
        <f t="shared" si="53"/>
        <v/>
      </c>
      <c r="R645" t="str">
        <f t="shared" si="54"/>
        <v/>
      </c>
    </row>
    <row r="646" spans="12:18" x14ac:dyDescent="0.25">
      <c r="L646" t="str">
        <f t="shared" si="50"/>
        <v/>
      </c>
      <c r="M646" t="b">
        <f t="shared" si="51"/>
        <v>0</v>
      </c>
      <c r="N646" t="str">
        <f>IF(M646,IF(B646="Fe",_xludf.XLOOKUP(A646,'Standards Catalogue'!$A:$A,'Standards Catalogue'!$B:$B,""),IF(B646="P",_xludf.XLOOKUP(A646,'Standards Catalogue'!$A:$A,'Standards Catalogue'!$D:$D,""),IF(B646="S",_xludf.XLOOKUP(A646,'Standards Catalogue'!$A:$A,'Standards Catalogue'!$F:$F,""),""))),"")</f>
        <v/>
      </c>
      <c r="O646" t="str">
        <f>IF(M646,IF(B646="Fe",_xludf.XLOOKUP(A646,'Standards Catalogue'!$A:$A,'Standards Catalogue'!$C:$C,""),IF(B646="P",_xludf.XLOOKUP(A646,'Standards Catalogue'!$A:$A,'Standards Catalogue'!$E:$E,""),IF(B646="S",_xludf.XLOOKUP(A646,'Standards Catalogue'!$A:$A,'Standards Catalogue'!$G:$G,""),""))),"")</f>
        <v/>
      </c>
      <c r="P646" t="str">
        <f t="shared" si="52"/>
        <v/>
      </c>
      <c r="Q646" t="str">
        <f t="shared" si="53"/>
        <v/>
      </c>
      <c r="R646" t="str">
        <f t="shared" si="54"/>
        <v/>
      </c>
    </row>
    <row r="647" spans="12:18" x14ac:dyDescent="0.25">
      <c r="L647" t="str">
        <f t="shared" si="50"/>
        <v/>
      </c>
      <c r="M647" t="b">
        <f t="shared" si="51"/>
        <v>0</v>
      </c>
      <c r="N647" t="str">
        <f>IF(M647,IF(B647="Fe",_xludf.XLOOKUP(A647,'Standards Catalogue'!$A:$A,'Standards Catalogue'!$B:$B,""),IF(B647="P",_xludf.XLOOKUP(A647,'Standards Catalogue'!$A:$A,'Standards Catalogue'!$D:$D,""),IF(B647="S",_xludf.XLOOKUP(A647,'Standards Catalogue'!$A:$A,'Standards Catalogue'!$F:$F,""),""))),"")</f>
        <v/>
      </c>
      <c r="O647" t="str">
        <f>IF(M647,IF(B647="Fe",_xludf.XLOOKUP(A647,'Standards Catalogue'!$A:$A,'Standards Catalogue'!$C:$C,""),IF(B647="P",_xludf.XLOOKUP(A647,'Standards Catalogue'!$A:$A,'Standards Catalogue'!$E:$E,""),IF(B647="S",_xludf.XLOOKUP(A647,'Standards Catalogue'!$A:$A,'Standards Catalogue'!$G:$G,""),""))),"")</f>
        <v/>
      </c>
      <c r="P647" t="str">
        <f t="shared" si="52"/>
        <v/>
      </c>
      <c r="Q647" t="str">
        <f t="shared" si="53"/>
        <v/>
      </c>
      <c r="R647" t="str">
        <f t="shared" si="54"/>
        <v/>
      </c>
    </row>
    <row r="648" spans="12:18" x14ac:dyDescent="0.25">
      <c r="L648" t="str">
        <f t="shared" si="50"/>
        <v/>
      </c>
      <c r="M648" t="b">
        <f t="shared" si="51"/>
        <v>0</v>
      </c>
      <c r="N648" t="str">
        <f>IF(M648,IF(B648="Fe",_xludf.XLOOKUP(A648,'Standards Catalogue'!$A:$A,'Standards Catalogue'!$B:$B,""),IF(B648="P",_xludf.XLOOKUP(A648,'Standards Catalogue'!$A:$A,'Standards Catalogue'!$D:$D,""),IF(B648="S",_xludf.XLOOKUP(A648,'Standards Catalogue'!$A:$A,'Standards Catalogue'!$F:$F,""),""))),"")</f>
        <v/>
      </c>
      <c r="O648" t="str">
        <f>IF(M648,IF(B648="Fe",_xludf.XLOOKUP(A648,'Standards Catalogue'!$A:$A,'Standards Catalogue'!$C:$C,""),IF(B648="P",_xludf.XLOOKUP(A648,'Standards Catalogue'!$A:$A,'Standards Catalogue'!$E:$E,""),IF(B648="S",_xludf.XLOOKUP(A648,'Standards Catalogue'!$A:$A,'Standards Catalogue'!$G:$G,""),""))),"")</f>
        <v/>
      </c>
      <c r="P648" t="str">
        <f t="shared" si="52"/>
        <v/>
      </c>
      <c r="Q648" t="str">
        <f t="shared" si="53"/>
        <v/>
      </c>
      <c r="R648" t="str">
        <f t="shared" si="54"/>
        <v/>
      </c>
    </row>
    <row r="649" spans="12:18" x14ac:dyDescent="0.25">
      <c r="L649" t="str">
        <f t="shared" si="50"/>
        <v/>
      </c>
      <c r="M649" t="b">
        <f t="shared" si="51"/>
        <v>0</v>
      </c>
      <c r="N649" t="str">
        <f>IF(M649,IF(B649="Fe",_xludf.XLOOKUP(A649,'Standards Catalogue'!$A:$A,'Standards Catalogue'!$B:$B,""),IF(B649="P",_xludf.XLOOKUP(A649,'Standards Catalogue'!$A:$A,'Standards Catalogue'!$D:$D,""),IF(B649="S",_xludf.XLOOKUP(A649,'Standards Catalogue'!$A:$A,'Standards Catalogue'!$F:$F,""),""))),"")</f>
        <v/>
      </c>
      <c r="O649" t="str">
        <f>IF(M649,IF(B649="Fe",_xludf.XLOOKUP(A649,'Standards Catalogue'!$A:$A,'Standards Catalogue'!$C:$C,""),IF(B649="P",_xludf.XLOOKUP(A649,'Standards Catalogue'!$A:$A,'Standards Catalogue'!$E:$E,""),IF(B649="S",_xludf.XLOOKUP(A649,'Standards Catalogue'!$A:$A,'Standards Catalogue'!$G:$G,""),""))),"")</f>
        <v/>
      </c>
      <c r="P649" t="str">
        <f t="shared" si="52"/>
        <v/>
      </c>
      <c r="Q649" t="str">
        <f t="shared" si="53"/>
        <v/>
      </c>
      <c r="R649" t="str">
        <f t="shared" si="54"/>
        <v/>
      </c>
    </row>
    <row r="650" spans="12:18" x14ac:dyDescent="0.25">
      <c r="L650" t="str">
        <f t="shared" si="50"/>
        <v/>
      </c>
      <c r="M650" t="b">
        <f t="shared" si="51"/>
        <v>0</v>
      </c>
      <c r="N650" t="str">
        <f>IF(M650,IF(B650="Fe",_xludf.XLOOKUP(A650,'Standards Catalogue'!$A:$A,'Standards Catalogue'!$B:$B,""),IF(B650="P",_xludf.XLOOKUP(A650,'Standards Catalogue'!$A:$A,'Standards Catalogue'!$D:$D,""),IF(B650="S",_xludf.XLOOKUP(A650,'Standards Catalogue'!$A:$A,'Standards Catalogue'!$F:$F,""),""))),"")</f>
        <v/>
      </c>
      <c r="O650" t="str">
        <f>IF(M650,IF(B650="Fe",_xludf.XLOOKUP(A650,'Standards Catalogue'!$A:$A,'Standards Catalogue'!$C:$C,""),IF(B650="P",_xludf.XLOOKUP(A650,'Standards Catalogue'!$A:$A,'Standards Catalogue'!$E:$E,""),IF(B650="S",_xludf.XLOOKUP(A650,'Standards Catalogue'!$A:$A,'Standards Catalogue'!$G:$G,""),""))),"")</f>
        <v/>
      </c>
      <c r="P650" t="str">
        <f t="shared" si="52"/>
        <v/>
      </c>
      <c r="Q650" t="str">
        <f t="shared" si="53"/>
        <v/>
      </c>
      <c r="R650" t="str">
        <f t="shared" si="54"/>
        <v/>
      </c>
    </row>
    <row r="651" spans="12:18" x14ac:dyDescent="0.25">
      <c r="L651" t="str">
        <f t="shared" si="50"/>
        <v/>
      </c>
      <c r="M651" t="b">
        <f t="shared" si="51"/>
        <v>0</v>
      </c>
      <c r="N651" t="str">
        <f>IF(M651,IF(B651="Fe",_xludf.XLOOKUP(A651,'Standards Catalogue'!$A:$A,'Standards Catalogue'!$B:$B,""),IF(B651="P",_xludf.XLOOKUP(A651,'Standards Catalogue'!$A:$A,'Standards Catalogue'!$D:$D,""),IF(B651="S",_xludf.XLOOKUP(A651,'Standards Catalogue'!$A:$A,'Standards Catalogue'!$F:$F,""),""))),"")</f>
        <v/>
      </c>
      <c r="O651" t="str">
        <f>IF(M651,IF(B651="Fe",_xludf.XLOOKUP(A651,'Standards Catalogue'!$A:$A,'Standards Catalogue'!$C:$C,""),IF(B651="P",_xludf.XLOOKUP(A651,'Standards Catalogue'!$A:$A,'Standards Catalogue'!$E:$E,""),IF(B651="S",_xludf.XLOOKUP(A651,'Standards Catalogue'!$A:$A,'Standards Catalogue'!$G:$G,""),""))),"")</f>
        <v/>
      </c>
      <c r="P651" t="str">
        <f t="shared" si="52"/>
        <v/>
      </c>
      <c r="Q651" t="str">
        <f t="shared" si="53"/>
        <v/>
      </c>
      <c r="R651" t="str">
        <f t="shared" si="54"/>
        <v/>
      </c>
    </row>
    <row r="652" spans="12:18" x14ac:dyDescent="0.25">
      <c r="L652" t="str">
        <f t="shared" si="50"/>
        <v/>
      </c>
      <c r="M652" t="b">
        <f t="shared" si="51"/>
        <v>0</v>
      </c>
      <c r="N652" t="str">
        <f>IF(M652,IF(B652="Fe",_xludf.XLOOKUP(A652,'Standards Catalogue'!$A:$A,'Standards Catalogue'!$B:$B,""),IF(B652="P",_xludf.XLOOKUP(A652,'Standards Catalogue'!$A:$A,'Standards Catalogue'!$D:$D,""),IF(B652="S",_xludf.XLOOKUP(A652,'Standards Catalogue'!$A:$A,'Standards Catalogue'!$F:$F,""),""))),"")</f>
        <v/>
      </c>
      <c r="O652" t="str">
        <f>IF(M652,IF(B652="Fe",_xludf.XLOOKUP(A652,'Standards Catalogue'!$A:$A,'Standards Catalogue'!$C:$C,""),IF(B652="P",_xludf.XLOOKUP(A652,'Standards Catalogue'!$A:$A,'Standards Catalogue'!$E:$E,""),IF(B652="S",_xludf.XLOOKUP(A652,'Standards Catalogue'!$A:$A,'Standards Catalogue'!$G:$G,""),""))),"")</f>
        <v/>
      </c>
      <c r="P652" t="str">
        <f t="shared" si="52"/>
        <v/>
      </c>
      <c r="Q652" t="str">
        <f t="shared" si="53"/>
        <v/>
      </c>
      <c r="R652" t="str">
        <f t="shared" si="54"/>
        <v/>
      </c>
    </row>
    <row r="653" spans="12:18" x14ac:dyDescent="0.25">
      <c r="L653" t="str">
        <f t="shared" si="50"/>
        <v/>
      </c>
      <c r="M653" t="b">
        <f t="shared" si="51"/>
        <v>0</v>
      </c>
      <c r="N653" t="str">
        <f>IF(M653,IF(B653="Fe",_xludf.XLOOKUP(A653,'Standards Catalogue'!$A:$A,'Standards Catalogue'!$B:$B,""),IF(B653="P",_xludf.XLOOKUP(A653,'Standards Catalogue'!$A:$A,'Standards Catalogue'!$D:$D,""),IF(B653="S",_xludf.XLOOKUP(A653,'Standards Catalogue'!$A:$A,'Standards Catalogue'!$F:$F,""),""))),"")</f>
        <v/>
      </c>
      <c r="O653" t="str">
        <f>IF(M653,IF(B653="Fe",_xludf.XLOOKUP(A653,'Standards Catalogue'!$A:$A,'Standards Catalogue'!$C:$C,""),IF(B653="P",_xludf.XLOOKUP(A653,'Standards Catalogue'!$A:$A,'Standards Catalogue'!$E:$E,""),IF(B653="S",_xludf.XLOOKUP(A653,'Standards Catalogue'!$A:$A,'Standards Catalogue'!$G:$G,""),""))),"")</f>
        <v/>
      </c>
      <c r="P653" t="str">
        <f t="shared" si="52"/>
        <v/>
      </c>
      <c r="Q653" t="str">
        <f t="shared" si="53"/>
        <v/>
      </c>
      <c r="R653" t="str">
        <f t="shared" si="54"/>
        <v/>
      </c>
    </row>
    <row r="654" spans="12:18" x14ac:dyDescent="0.25">
      <c r="L654" t="str">
        <f t="shared" si="50"/>
        <v/>
      </c>
      <c r="M654" t="b">
        <f t="shared" si="51"/>
        <v>0</v>
      </c>
      <c r="N654" t="str">
        <f>IF(M654,IF(B654="Fe",_xludf.XLOOKUP(A654,'Standards Catalogue'!$A:$A,'Standards Catalogue'!$B:$B,""),IF(B654="P",_xludf.XLOOKUP(A654,'Standards Catalogue'!$A:$A,'Standards Catalogue'!$D:$D,""),IF(B654="S",_xludf.XLOOKUP(A654,'Standards Catalogue'!$A:$A,'Standards Catalogue'!$F:$F,""),""))),"")</f>
        <v/>
      </c>
      <c r="O654" t="str">
        <f>IF(M654,IF(B654="Fe",_xludf.XLOOKUP(A654,'Standards Catalogue'!$A:$A,'Standards Catalogue'!$C:$C,""),IF(B654="P",_xludf.XLOOKUP(A654,'Standards Catalogue'!$A:$A,'Standards Catalogue'!$E:$E,""),IF(B654="S",_xludf.XLOOKUP(A654,'Standards Catalogue'!$A:$A,'Standards Catalogue'!$G:$G,""),""))),"")</f>
        <v/>
      </c>
      <c r="P654" t="str">
        <f t="shared" si="52"/>
        <v/>
      </c>
      <c r="Q654" t="str">
        <f t="shared" si="53"/>
        <v/>
      </c>
      <c r="R654" t="str">
        <f t="shared" si="54"/>
        <v/>
      </c>
    </row>
    <row r="655" spans="12:18" x14ac:dyDescent="0.25">
      <c r="L655" t="str">
        <f t="shared" si="50"/>
        <v/>
      </c>
      <c r="M655" t="b">
        <f t="shared" si="51"/>
        <v>0</v>
      </c>
      <c r="N655" t="str">
        <f>IF(M655,IF(B655="Fe",_xludf.XLOOKUP(A655,'Standards Catalogue'!$A:$A,'Standards Catalogue'!$B:$B,""),IF(B655="P",_xludf.XLOOKUP(A655,'Standards Catalogue'!$A:$A,'Standards Catalogue'!$D:$D,""),IF(B655="S",_xludf.XLOOKUP(A655,'Standards Catalogue'!$A:$A,'Standards Catalogue'!$F:$F,""),""))),"")</f>
        <v/>
      </c>
      <c r="O655" t="str">
        <f>IF(M655,IF(B655="Fe",_xludf.XLOOKUP(A655,'Standards Catalogue'!$A:$A,'Standards Catalogue'!$C:$C,""),IF(B655="P",_xludf.XLOOKUP(A655,'Standards Catalogue'!$A:$A,'Standards Catalogue'!$E:$E,""),IF(B655="S",_xludf.XLOOKUP(A655,'Standards Catalogue'!$A:$A,'Standards Catalogue'!$G:$G,""),""))),"")</f>
        <v/>
      </c>
      <c r="P655" t="str">
        <f t="shared" si="52"/>
        <v/>
      </c>
      <c r="Q655" t="str">
        <f t="shared" si="53"/>
        <v/>
      </c>
      <c r="R655" t="str">
        <f t="shared" si="54"/>
        <v/>
      </c>
    </row>
    <row r="656" spans="12:18" x14ac:dyDescent="0.25">
      <c r="L656" t="str">
        <f t="shared" si="50"/>
        <v/>
      </c>
      <c r="M656" t="b">
        <f t="shared" si="51"/>
        <v>0</v>
      </c>
      <c r="N656" t="str">
        <f>IF(M656,IF(B656="Fe",_xludf.XLOOKUP(A656,'Standards Catalogue'!$A:$A,'Standards Catalogue'!$B:$B,""),IF(B656="P",_xludf.XLOOKUP(A656,'Standards Catalogue'!$A:$A,'Standards Catalogue'!$D:$D,""),IF(B656="S",_xludf.XLOOKUP(A656,'Standards Catalogue'!$A:$A,'Standards Catalogue'!$F:$F,""),""))),"")</f>
        <v/>
      </c>
      <c r="O656" t="str">
        <f>IF(M656,IF(B656="Fe",_xludf.XLOOKUP(A656,'Standards Catalogue'!$A:$A,'Standards Catalogue'!$C:$C,""),IF(B656="P",_xludf.XLOOKUP(A656,'Standards Catalogue'!$A:$A,'Standards Catalogue'!$E:$E,""),IF(B656="S",_xludf.XLOOKUP(A656,'Standards Catalogue'!$A:$A,'Standards Catalogue'!$G:$G,""),""))),"")</f>
        <v/>
      </c>
      <c r="P656" t="str">
        <f t="shared" si="52"/>
        <v/>
      </c>
      <c r="Q656" t="str">
        <f t="shared" si="53"/>
        <v/>
      </c>
      <c r="R656" t="str">
        <f t="shared" si="54"/>
        <v/>
      </c>
    </row>
    <row r="657" spans="12:18" x14ac:dyDescent="0.25">
      <c r="L657" t="str">
        <f t="shared" si="50"/>
        <v/>
      </c>
      <c r="M657" t="b">
        <f t="shared" si="51"/>
        <v>0</v>
      </c>
      <c r="N657" t="str">
        <f>IF(M657,IF(B657="Fe",_xludf.XLOOKUP(A657,'Standards Catalogue'!$A:$A,'Standards Catalogue'!$B:$B,""),IF(B657="P",_xludf.XLOOKUP(A657,'Standards Catalogue'!$A:$A,'Standards Catalogue'!$D:$D,""),IF(B657="S",_xludf.XLOOKUP(A657,'Standards Catalogue'!$A:$A,'Standards Catalogue'!$F:$F,""),""))),"")</f>
        <v/>
      </c>
      <c r="O657" t="str">
        <f>IF(M657,IF(B657="Fe",_xludf.XLOOKUP(A657,'Standards Catalogue'!$A:$A,'Standards Catalogue'!$C:$C,""),IF(B657="P",_xludf.XLOOKUP(A657,'Standards Catalogue'!$A:$A,'Standards Catalogue'!$E:$E,""),IF(B657="S",_xludf.XLOOKUP(A657,'Standards Catalogue'!$A:$A,'Standards Catalogue'!$G:$G,""),""))),"")</f>
        <v/>
      </c>
      <c r="P657" t="str">
        <f t="shared" si="52"/>
        <v/>
      </c>
      <c r="Q657" t="str">
        <f t="shared" si="53"/>
        <v/>
      </c>
      <c r="R657" t="str">
        <f t="shared" si="54"/>
        <v/>
      </c>
    </row>
    <row r="658" spans="12:18" x14ac:dyDescent="0.25">
      <c r="L658" t="str">
        <f t="shared" si="50"/>
        <v/>
      </c>
      <c r="M658" t="b">
        <f t="shared" si="51"/>
        <v>0</v>
      </c>
      <c r="N658" t="str">
        <f>IF(M658,IF(B658="Fe",_xludf.XLOOKUP(A658,'Standards Catalogue'!$A:$A,'Standards Catalogue'!$B:$B,""),IF(B658="P",_xludf.XLOOKUP(A658,'Standards Catalogue'!$A:$A,'Standards Catalogue'!$D:$D,""),IF(B658="S",_xludf.XLOOKUP(A658,'Standards Catalogue'!$A:$A,'Standards Catalogue'!$F:$F,""),""))),"")</f>
        <v/>
      </c>
      <c r="O658" t="str">
        <f>IF(M658,IF(B658="Fe",_xludf.XLOOKUP(A658,'Standards Catalogue'!$A:$A,'Standards Catalogue'!$C:$C,""),IF(B658="P",_xludf.XLOOKUP(A658,'Standards Catalogue'!$A:$A,'Standards Catalogue'!$E:$E,""),IF(B658="S",_xludf.XLOOKUP(A658,'Standards Catalogue'!$A:$A,'Standards Catalogue'!$G:$G,""),""))),"")</f>
        <v/>
      </c>
      <c r="P658" t="str">
        <f t="shared" si="52"/>
        <v/>
      </c>
      <c r="Q658" t="str">
        <f t="shared" si="53"/>
        <v/>
      </c>
      <c r="R658" t="str">
        <f t="shared" si="54"/>
        <v/>
      </c>
    </row>
    <row r="659" spans="12:18" x14ac:dyDescent="0.25">
      <c r="L659" t="str">
        <f t="shared" si="50"/>
        <v/>
      </c>
      <c r="M659" t="b">
        <f t="shared" si="51"/>
        <v>0</v>
      </c>
      <c r="N659" t="str">
        <f>IF(M659,IF(B659="Fe",_xludf.XLOOKUP(A659,'Standards Catalogue'!$A:$A,'Standards Catalogue'!$B:$B,""),IF(B659="P",_xludf.XLOOKUP(A659,'Standards Catalogue'!$A:$A,'Standards Catalogue'!$D:$D,""),IF(B659="S",_xludf.XLOOKUP(A659,'Standards Catalogue'!$A:$A,'Standards Catalogue'!$F:$F,""),""))),"")</f>
        <v/>
      </c>
      <c r="O659" t="str">
        <f>IF(M659,IF(B659="Fe",_xludf.XLOOKUP(A659,'Standards Catalogue'!$A:$A,'Standards Catalogue'!$C:$C,""),IF(B659="P",_xludf.XLOOKUP(A659,'Standards Catalogue'!$A:$A,'Standards Catalogue'!$E:$E,""),IF(B659="S",_xludf.XLOOKUP(A659,'Standards Catalogue'!$A:$A,'Standards Catalogue'!$G:$G,""),""))),"")</f>
        <v/>
      </c>
      <c r="P659" t="str">
        <f t="shared" si="52"/>
        <v/>
      </c>
      <c r="Q659" t="str">
        <f t="shared" si="53"/>
        <v/>
      </c>
      <c r="R659" t="str">
        <f t="shared" si="54"/>
        <v/>
      </c>
    </row>
    <row r="660" spans="12:18" x14ac:dyDescent="0.25">
      <c r="L660" t="str">
        <f t="shared" si="50"/>
        <v/>
      </c>
      <c r="M660" t="b">
        <f t="shared" si="51"/>
        <v>0</v>
      </c>
      <c r="N660" t="str">
        <f>IF(M660,IF(B660="Fe",_xludf.XLOOKUP(A660,'Standards Catalogue'!$A:$A,'Standards Catalogue'!$B:$B,""),IF(B660="P",_xludf.XLOOKUP(A660,'Standards Catalogue'!$A:$A,'Standards Catalogue'!$D:$D,""),IF(B660="S",_xludf.XLOOKUP(A660,'Standards Catalogue'!$A:$A,'Standards Catalogue'!$F:$F,""),""))),"")</f>
        <v/>
      </c>
      <c r="O660" t="str">
        <f>IF(M660,IF(B660="Fe",_xludf.XLOOKUP(A660,'Standards Catalogue'!$A:$A,'Standards Catalogue'!$C:$C,""),IF(B660="P",_xludf.XLOOKUP(A660,'Standards Catalogue'!$A:$A,'Standards Catalogue'!$E:$E,""),IF(B660="S",_xludf.XLOOKUP(A660,'Standards Catalogue'!$A:$A,'Standards Catalogue'!$G:$G,""),""))),"")</f>
        <v/>
      </c>
      <c r="P660" t="str">
        <f t="shared" si="52"/>
        <v/>
      </c>
      <c r="Q660" t="str">
        <f t="shared" si="53"/>
        <v/>
      </c>
      <c r="R660" t="str">
        <f t="shared" si="54"/>
        <v/>
      </c>
    </row>
    <row r="661" spans="12:18" x14ac:dyDescent="0.25">
      <c r="L661" t="str">
        <f t="shared" si="50"/>
        <v/>
      </c>
      <c r="M661" t="b">
        <f t="shared" si="51"/>
        <v>0</v>
      </c>
      <c r="N661" t="str">
        <f>IF(M661,IF(B661="Fe",_xludf.XLOOKUP(A661,'Standards Catalogue'!$A:$A,'Standards Catalogue'!$B:$B,""),IF(B661="P",_xludf.XLOOKUP(A661,'Standards Catalogue'!$A:$A,'Standards Catalogue'!$D:$D,""),IF(B661="S",_xludf.XLOOKUP(A661,'Standards Catalogue'!$A:$A,'Standards Catalogue'!$F:$F,""),""))),"")</f>
        <v/>
      </c>
      <c r="O661" t="str">
        <f>IF(M661,IF(B661="Fe",_xludf.XLOOKUP(A661,'Standards Catalogue'!$A:$A,'Standards Catalogue'!$C:$C,""),IF(B661="P",_xludf.XLOOKUP(A661,'Standards Catalogue'!$A:$A,'Standards Catalogue'!$E:$E,""),IF(B661="S",_xludf.XLOOKUP(A661,'Standards Catalogue'!$A:$A,'Standards Catalogue'!$G:$G,""),""))),"")</f>
        <v/>
      </c>
      <c r="P661" t="str">
        <f t="shared" si="52"/>
        <v/>
      </c>
      <c r="Q661" t="str">
        <f t="shared" si="53"/>
        <v/>
      </c>
      <c r="R661" t="str">
        <f t="shared" si="54"/>
        <v/>
      </c>
    </row>
    <row r="662" spans="12:18" x14ac:dyDescent="0.25">
      <c r="L662" t="str">
        <f t="shared" si="50"/>
        <v/>
      </c>
      <c r="M662" t="b">
        <f t="shared" si="51"/>
        <v>0</v>
      </c>
      <c r="N662" t="str">
        <f>IF(M662,IF(B662="Fe",_xludf.XLOOKUP(A662,'Standards Catalogue'!$A:$A,'Standards Catalogue'!$B:$B,""),IF(B662="P",_xludf.XLOOKUP(A662,'Standards Catalogue'!$A:$A,'Standards Catalogue'!$D:$D,""),IF(B662="S",_xludf.XLOOKUP(A662,'Standards Catalogue'!$A:$A,'Standards Catalogue'!$F:$F,""),""))),"")</f>
        <v/>
      </c>
      <c r="O662" t="str">
        <f>IF(M662,IF(B662="Fe",_xludf.XLOOKUP(A662,'Standards Catalogue'!$A:$A,'Standards Catalogue'!$C:$C,""),IF(B662="P",_xludf.XLOOKUP(A662,'Standards Catalogue'!$A:$A,'Standards Catalogue'!$E:$E,""),IF(B662="S",_xludf.XLOOKUP(A662,'Standards Catalogue'!$A:$A,'Standards Catalogue'!$G:$G,""),""))),"")</f>
        <v/>
      </c>
      <c r="P662" t="str">
        <f t="shared" si="52"/>
        <v/>
      </c>
      <c r="Q662" t="str">
        <f t="shared" si="53"/>
        <v/>
      </c>
      <c r="R662" t="str">
        <f t="shared" si="54"/>
        <v/>
      </c>
    </row>
    <row r="663" spans="12:18" x14ac:dyDescent="0.25">
      <c r="L663" t="str">
        <f t="shared" si="50"/>
        <v/>
      </c>
      <c r="M663" t="b">
        <f t="shared" si="51"/>
        <v>0</v>
      </c>
      <c r="N663" t="str">
        <f>IF(M663,IF(B663="Fe",_xludf.XLOOKUP(A663,'Standards Catalogue'!$A:$A,'Standards Catalogue'!$B:$B,""),IF(B663="P",_xludf.XLOOKUP(A663,'Standards Catalogue'!$A:$A,'Standards Catalogue'!$D:$D,""),IF(B663="S",_xludf.XLOOKUP(A663,'Standards Catalogue'!$A:$A,'Standards Catalogue'!$F:$F,""),""))),"")</f>
        <v/>
      </c>
      <c r="O663" t="str">
        <f>IF(M663,IF(B663="Fe",_xludf.XLOOKUP(A663,'Standards Catalogue'!$A:$A,'Standards Catalogue'!$C:$C,""),IF(B663="P",_xludf.XLOOKUP(A663,'Standards Catalogue'!$A:$A,'Standards Catalogue'!$E:$E,""),IF(B663="S",_xludf.XLOOKUP(A663,'Standards Catalogue'!$A:$A,'Standards Catalogue'!$G:$G,""),""))),"")</f>
        <v/>
      </c>
      <c r="P663" t="str">
        <f t="shared" si="52"/>
        <v/>
      </c>
      <c r="Q663" t="str">
        <f t="shared" si="53"/>
        <v/>
      </c>
      <c r="R663" t="str">
        <f t="shared" si="54"/>
        <v/>
      </c>
    </row>
    <row r="664" spans="12:18" x14ac:dyDescent="0.25">
      <c r="L664" t="str">
        <f t="shared" si="50"/>
        <v/>
      </c>
      <c r="M664" t="b">
        <f t="shared" si="51"/>
        <v>0</v>
      </c>
      <c r="N664" t="str">
        <f>IF(M664,IF(B664="Fe",_xludf.XLOOKUP(A664,'Standards Catalogue'!$A:$A,'Standards Catalogue'!$B:$B,""),IF(B664="P",_xludf.XLOOKUP(A664,'Standards Catalogue'!$A:$A,'Standards Catalogue'!$D:$D,""),IF(B664="S",_xludf.XLOOKUP(A664,'Standards Catalogue'!$A:$A,'Standards Catalogue'!$F:$F,""),""))),"")</f>
        <v/>
      </c>
      <c r="O664" t="str">
        <f>IF(M664,IF(B664="Fe",_xludf.XLOOKUP(A664,'Standards Catalogue'!$A:$A,'Standards Catalogue'!$C:$C,""),IF(B664="P",_xludf.XLOOKUP(A664,'Standards Catalogue'!$A:$A,'Standards Catalogue'!$E:$E,""),IF(B664="S",_xludf.XLOOKUP(A664,'Standards Catalogue'!$A:$A,'Standards Catalogue'!$G:$G,""),""))),"")</f>
        <v/>
      </c>
      <c r="P664" t="str">
        <f t="shared" si="52"/>
        <v/>
      </c>
      <c r="Q664" t="str">
        <f t="shared" si="53"/>
        <v/>
      </c>
      <c r="R664" t="str">
        <f t="shared" si="54"/>
        <v/>
      </c>
    </row>
    <row r="665" spans="12:18" x14ac:dyDescent="0.25">
      <c r="L665" t="str">
        <f t="shared" si="50"/>
        <v/>
      </c>
      <c r="M665" t="b">
        <f t="shared" si="51"/>
        <v>0</v>
      </c>
      <c r="N665" t="str">
        <f>IF(M665,IF(B665="Fe",_xludf.XLOOKUP(A665,'Standards Catalogue'!$A:$A,'Standards Catalogue'!$B:$B,""),IF(B665="P",_xludf.XLOOKUP(A665,'Standards Catalogue'!$A:$A,'Standards Catalogue'!$D:$D,""),IF(B665="S",_xludf.XLOOKUP(A665,'Standards Catalogue'!$A:$A,'Standards Catalogue'!$F:$F,""),""))),"")</f>
        <v/>
      </c>
      <c r="O665" t="str">
        <f>IF(M665,IF(B665="Fe",_xludf.XLOOKUP(A665,'Standards Catalogue'!$A:$A,'Standards Catalogue'!$C:$C,""),IF(B665="P",_xludf.XLOOKUP(A665,'Standards Catalogue'!$A:$A,'Standards Catalogue'!$E:$E,""),IF(B665="S",_xludf.XLOOKUP(A665,'Standards Catalogue'!$A:$A,'Standards Catalogue'!$G:$G,""),""))),"")</f>
        <v/>
      </c>
      <c r="P665" t="str">
        <f t="shared" si="52"/>
        <v/>
      </c>
      <c r="Q665" t="str">
        <f t="shared" si="53"/>
        <v/>
      </c>
      <c r="R665" t="str">
        <f t="shared" si="54"/>
        <v/>
      </c>
    </row>
    <row r="666" spans="12:18" x14ac:dyDescent="0.25">
      <c r="L666" t="str">
        <f t="shared" si="50"/>
        <v/>
      </c>
      <c r="M666" t="b">
        <f t="shared" si="51"/>
        <v>0</v>
      </c>
      <c r="N666" t="str">
        <f>IF(M666,IF(B666="Fe",_xludf.XLOOKUP(A666,'Standards Catalogue'!$A:$A,'Standards Catalogue'!$B:$B,""),IF(B666="P",_xludf.XLOOKUP(A666,'Standards Catalogue'!$A:$A,'Standards Catalogue'!$D:$D,""),IF(B666="S",_xludf.XLOOKUP(A666,'Standards Catalogue'!$A:$A,'Standards Catalogue'!$F:$F,""),""))),"")</f>
        <v/>
      </c>
      <c r="O666" t="str">
        <f>IF(M666,IF(B666="Fe",_xludf.XLOOKUP(A666,'Standards Catalogue'!$A:$A,'Standards Catalogue'!$C:$C,""),IF(B666="P",_xludf.XLOOKUP(A666,'Standards Catalogue'!$A:$A,'Standards Catalogue'!$E:$E,""),IF(B666="S",_xludf.XLOOKUP(A666,'Standards Catalogue'!$A:$A,'Standards Catalogue'!$G:$G,""),""))),"")</f>
        <v/>
      </c>
      <c r="P666" t="str">
        <f t="shared" si="52"/>
        <v/>
      </c>
      <c r="Q666" t="str">
        <f t="shared" si="53"/>
        <v/>
      </c>
      <c r="R666" t="str">
        <f t="shared" si="54"/>
        <v/>
      </c>
    </row>
    <row r="667" spans="12:18" x14ac:dyDescent="0.25">
      <c r="L667" t="str">
        <f t="shared" si="50"/>
        <v/>
      </c>
      <c r="M667" t="b">
        <f t="shared" si="51"/>
        <v>0</v>
      </c>
      <c r="N667" t="str">
        <f>IF(M667,IF(B667="Fe",_xludf.XLOOKUP(A667,'Standards Catalogue'!$A:$A,'Standards Catalogue'!$B:$B,""),IF(B667="P",_xludf.XLOOKUP(A667,'Standards Catalogue'!$A:$A,'Standards Catalogue'!$D:$D,""),IF(B667="S",_xludf.XLOOKUP(A667,'Standards Catalogue'!$A:$A,'Standards Catalogue'!$F:$F,""),""))),"")</f>
        <v/>
      </c>
      <c r="O667" t="str">
        <f>IF(M667,IF(B667="Fe",_xludf.XLOOKUP(A667,'Standards Catalogue'!$A:$A,'Standards Catalogue'!$C:$C,""),IF(B667="P",_xludf.XLOOKUP(A667,'Standards Catalogue'!$A:$A,'Standards Catalogue'!$E:$E,""),IF(B667="S",_xludf.XLOOKUP(A667,'Standards Catalogue'!$A:$A,'Standards Catalogue'!$G:$G,""),""))),"")</f>
        <v/>
      </c>
      <c r="P667" t="str">
        <f t="shared" si="52"/>
        <v/>
      </c>
      <c r="Q667" t="str">
        <f t="shared" si="53"/>
        <v/>
      </c>
      <c r="R667" t="str">
        <f t="shared" si="54"/>
        <v/>
      </c>
    </row>
    <row r="668" spans="12:18" x14ac:dyDescent="0.25">
      <c r="L668" t="str">
        <f t="shared" si="50"/>
        <v/>
      </c>
      <c r="M668" t="b">
        <f t="shared" si="51"/>
        <v>0</v>
      </c>
      <c r="N668" t="str">
        <f>IF(M668,IF(B668="Fe",_xludf.XLOOKUP(A668,'Standards Catalogue'!$A:$A,'Standards Catalogue'!$B:$B,""),IF(B668="P",_xludf.XLOOKUP(A668,'Standards Catalogue'!$A:$A,'Standards Catalogue'!$D:$D,""),IF(B668="S",_xludf.XLOOKUP(A668,'Standards Catalogue'!$A:$A,'Standards Catalogue'!$F:$F,""),""))),"")</f>
        <v/>
      </c>
      <c r="O668" t="str">
        <f>IF(M668,IF(B668="Fe",_xludf.XLOOKUP(A668,'Standards Catalogue'!$A:$A,'Standards Catalogue'!$C:$C,""),IF(B668="P",_xludf.XLOOKUP(A668,'Standards Catalogue'!$A:$A,'Standards Catalogue'!$E:$E,""),IF(B668="S",_xludf.XLOOKUP(A668,'Standards Catalogue'!$A:$A,'Standards Catalogue'!$G:$G,""),""))),"")</f>
        <v/>
      </c>
      <c r="P668" t="str">
        <f t="shared" si="52"/>
        <v/>
      </c>
      <c r="Q668" t="str">
        <f t="shared" si="53"/>
        <v/>
      </c>
      <c r="R668" t="str">
        <f t="shared" si="54"/>
        <v/>
      </c>
    </row>
    <row r="669" spans="12:18" x14ac:dyDescent="0.25">
      <c r="L669" t="str">
        <f t="shared" si="50"/>
        <v/>
      </c>
      <c r="M669" t="b">
        <f t="shared" si="51"/>
        <v>0</v>
      </c>
      <c r="N669" t="str">
        <f>IF(M669,IF(B669="Fe",_xludf.XLOOKUP(A669,'Standards Catalogue'!$A:$A,'Standards Catalogue'!$B:$B,""),IF(B669="P",_xludf.XLOOKUP(A669,'Standards Catalogue'!$A:$A,'Standards Catalogue'!$D:$D,""),IF(B669="S",_xludf.XLOOKUP(A669,'Standards Catalogue'!$A:$A,'Standards Catalogue'!$F:$F,""),""))),"")</f>
        <v/>
      </c>
      <c r="O669" t="str">
        <f>IF(M669,IF(B669="Fe",_xludf.XLOOKUP(A669,'Standards Catalogue'!$A:$A,'Standards Catalogue'!$C:$C,""),IF(B669="P",_xludf.XLOOKUP(A669,'Standards Catalogue'!$A:$A,'Standards Catalogue'!$E:$E,""),IF(B669="S",_xludf.XLOOKUP(A669,'Standards Catalogue'!$A:$A,'Standards Catalogue'!$G:$G,""),""))),"")</f>
        <v/>
      </c>
      <c r="P669" t="str">
        <f t="shared" si="52"/>
        <v/>
      </c>
      <c r="Q669" t="str">
        <f t="shared" si="53"/>
        <v/>
      </c>
      <c r="R669" t="str">
        <f t="shared" si="54"/>
        <v/>
      </c>
    </row>
    <row r="670" spans="12:18" x14ac:dyDescent="0.25">
      <c r="L670" t="str">
        <f t="shared" si="50"/>
        <v/>
      </c>
      <c r="M670" t="b">
        <f t="shared" si="51"/>
        <v>0</v>
      </c>
      <c r="N670" t="str">
        <f>IF(M670,IF(B670="Fe",_xludf.XLOOKUP(A670,'Standards Catalogue'!$A:$A,'Standards Catalogue'!$B:$B,""),IF(B670="P",_xludf.XLOOKUP(A670,'Standards Catalogue'!$A:$A,'Standards Catalogue'!$D:$D,""),IF(B670="S",_xludf.XLOOKUP(A670,'Standards Catalogue'!$A:$A,'Standards Catalogue'!$F:$F,""),""))),"")</f>
        <v/>
      </c>
      <c r="O670" t="str">
        <f>IF(M670,IF(B670="Fe",_xludf.XLOOKUP(A670,'Standards Catalogue'!$A:$A,'Standards Catalogue'!$C:$C,""),IF(B670="P",_xludf.XLOOKUP(A670,'Standards Catalogue'!$A:$A,'Standards Catalogue'!$E:$E,""),IF(B670="S",_xludf.XLOOKUP(A670,'Standards Catalogue'!$A:$A,'Standards Catalogue'!$G:$G,""),""))),"")</f>
        <v/>
      </c>
      <c r="P670" t="str">
        <f t="shared" si="52"/>
        <v/>
      </c>
      <c r="Q670" t="str">
        <f t="shared" si="53"/>
        <v/>
      </c>
      <c r="R670" t="str">
        <f t="shared" si="54"/>
        <v/>
      </c>
    </row>
    <row r="671" spans="12:18" x14ac:dyDescent="0.25">
      <c r="L671" t="str">
        <f t="shared" si="50"/>
        <v/>
      </c>
      <c r="M671" t="b">
        <f t="shared" si="51"/>
        <v>0</v>
      </c>
      <c r="N671" t="str">
        <f>IF(M671,IF(B671="Fe",_xludf.XLOOKUP(A671,'Standards Catalogue'!$A:$A,'Standards Catalogue'!$B:$B,""),IF(B671="P",_xludf.XLOOKUP(A671,'Standards Catalogue'!$A:$A,'Standards Catalogue'!$D:$D,""),IF(B671="S",_xludf.XLOOKUP(A671,'Standards Catalogue'!$A:$A,'Standards Catalogue'!$F:$F,""),""))),"")</f>
        <v/>
      </c>
      <c r="O671" t="str">
        <f>IF(M671,IF(B671="Fe",_xludf.XLOOKUP(A671,'Standards Catalogue'!$A:$A,'Standards Catalogue'!$C:$C,""),IF(B671="P",_xludf.XLOOKUP(A671,'Standards Catalogue'!$A:$A,'Standards Catalogue'!$E:$E,""),IF(B671="S",_xludf.XLOOKUP(A671,'Standards Catalogue'!$A:$A,'Standards Catalogue'!$G:$G,""),""))),"")</f>
        <v/>
      </c>
      <c r="P671" t="str">
        <f t="shared" si="52"/>
        <v/>
      </c>
      <c r="Q671" t="str">
        <f t="shared" si="53"/>
        <v/>
      </c>
      <c r="R671" t="str">
        <f t="shared" si="54"/>
        <v/>
      </c>
    </row>
    <row r="672" spans="12:18" x14ac:dyDescent="0.25">
      <c r="L672" t="str">
        <f t="shared" si="50"/>
        <v/>
      </c>
      <c r="M672" t="b">
        <f t="shared" si="51"/>
        <v>0</v>
      </c>
      <c r="N672" t="str">
        <f>IF(M672,IF(B672="Fe",_xludf.XLOOKUP(A672,'Standards Catalogue'!$A:$A,'Standards Catalogue'!$B:$B,""),IF(B672="P",_xludf.XLOOKUP(A672,'Standards Catalogue'!$A:$A,'Standards Catalogue'!$D:$D,""),IF(B672="S",_xludf.XLOOKUP(A672,'Standards Catalogue'!$A:$A,'Standards Catalogue'!$F:$F,""),""))),"")</f>
        <v/>
      </c>
      <c r="O672" t="str">
        <f>IF(M672,IF(B672="Fe",_xludf.XLOOKUP(A672,'Standards Catalogue'!$A:$A,'Standards Catalogue'!$C:$C,""),IF(B672="P",_xludf.XLOOKUP(A672,'Standards Catalogue'!$A:$A,'Standards Catalogue'!$E:$E,""),IF(B672="S",_xludf.XLOOKUP(A672,'Standards Catalogue'!$A:$A,'Standards Catalogue'!$G:$G,""),""))),"")</f>
        <v/>
      </c>
      <c r="P672" t="str">
        <f t="shared" si="52"/>
        <v/>
      </c>
      <c r="Q672" t="str">
        <f t="shared" si="53"/>
        <v/>
      </c>
      <c r="R672" t="str">
        <f t="shared" si="54"/>
        <v/>
      </c>
    </row>
    <row r="673" spans="12:18" x14ac:dyDescent="0.25">
      <c r="L673" t="str">
        <f t="shared" si="50"/>
        <v/>
      </c>
      <c r="M673" t="b">
        <f t="shared" si="51"/>
        <v>0</v>
      </c>
      <c r="N673" t="str">
        <f>IF(M673,IF(B673="Fe",_xludf.XLOOKUP(A673,'Standards Catalogue'!$A:$A,'Standards Catalogue'!$B:$B,""),IF(B673="P",_xludf.XLOOKUP(A673,'Standards Catalogue'!$A:$A,'Standards Catalogue'!$D:$D,""),IF(B673="S",_xludf.XLOOKUP(A673,'Standards Catalogue'!$A:$A,'Standards Catalogue'!$F:$F,""),""))),"")</f>
        <v/>
      </c>
      <c r="O673" t="str">
        <f>IF(M673,IF(B673="Fe",_xludf.XLOOKUP(A673,'Standards Catalogue'!$A:$A,'Standards Catalogue'!$C:$C,""),IF(B673="P",_xludf.XLOOKUP(A673,'Standards Catalogue'!$A:$A,'Standards Catalogue'!$E:$E,""),IF(B673="S",_xludf.XLOOKUP(A673,'Standards Catalogue'!$A:$A,'Standards Catalogue'!$G:$G,""),""))),"")</f>
        <v/>
      </c>
      <c r="P673" t="str">
        <f t="shared" si="52"/>
        <v/>
      </c>
      <c r="Q673" t="str">
        <f t="shared" si="53"/>
        <v/>
      </c>
      <c r="R673" t="str">
        <f t="shared" si="54"/>
        <v/>
      </c>
    </row>
    <row r="674" spans="12:18" x14ac:dyDescent="0.25">
      <c r="L674" t="str">
        <f t="shared" si="50"/>
        <v/>
      </c>
      <c r="M674" t="b">
        <f t="shared" si="51"/>
        <v>0</v>
      </c>
      <c r="N674" t="str">
        <f>IF(M674,IF(B674="Fe",_xludf.XLOOKUP(A674,'Standards Catalogue'!$A:$A,'Standards Catalogue'!$B:$B,""),IF(B674="P",_xludf.XLOOKUP(A674,'Standards Catalogue'!$A:$A,'Standards Catalogue'!$D:$D,""),IF(B674="S",_xludf.XLOOKUP(A674,'Standards Catalogue'!$A:$A,'Standards Catalogue'!$F:$F,""),""))),"")</f>
        <v/>
      </c>
      <c r="O674" t="str">
        <f>IF(M674,IF(B674="Fe",_xludf.XLOOKUP(A674,'Standards Catalogue'!$A:$A,'Standards Catalogue'!$C:$C,""),IF(B674="P",_xludf.XLOOKUP(A674,'Standards Catalogue'!$A:$A,'Standards Catalogue'!$E:$E,""),IF(B674="S",_xludf.XLOOKUP(A674,'Standards Catalogue'!$A:$A,'Standards Catalogue'!$G:$G,""),""))),"")</f>
        <v/>
      </c>
      <c r="P674" t="str">
        <f t="shared" si="52"/>
        <v/>
      </c>
      <c r="Q674" t="str">
        <f t="shared" si="53"/>
        <v/>
      </c>
      <c r="R674" t="str">
        <f t="shared" si="54"/>
        <v/>
      </c>
    </row>
    <row r="675" spans="12:18" x14ac:dyDescent="0.25">
      <c r="L675" t="str">
        <f t="shared" si="50"/>
        <v/>
      </c>
      <c r="M675" t="b">
        <f t="shared" si="51"/>
        <v>0</v>
      </c>
      <c r="N675" t="str">
        <f>IF(M675,IF(B675="Fe",_xludf.XLOOKUP(A675,'Standards Catalogue'!$A:$A,'Standards Catalogue'!$B:$B,""),IF(B675="P",_xludf.XLOOKUP(A675,'Standards Catalogue'!$A:$A,'Standards Catalogue'!$D:$D,""),IF(B675="S",_xludf.XLOOKUP(A675,'Standards Catalogue'!$A:$A,'Standards Catalogue'!$F:$F,""),""))),"")</f>
        <v/>
      </c>
      <c r="O675" t="str">
        <f>IF(M675,IF(B675="Fe",_xludf.XLOOKUP(A675,'Standards Catalogue'!$A:$A,'Standards Catalogue'!$C:$C,""),IF(B675="P",_xludf.XLOOKUP(A675,'Standards Catalogue'!$A:$A,'Standards Catalogue'!$E:$E,""),IF(B675="S",_xludf.XLOOKUP(A675,'Standards Catalogue'!$A:$A,'Standards Catalogue'!$G:$G,""),""))),"")</f>
        <v/>
      </c>
      <c r="P675" t="str">
        <f t="shared" si="52"/>
        <v/>
      </c>
      <c r="Q675" t="str">
        <f t="shared" si="53"/>
        <v/>
      </c>
      <c r="R675" t="str">
        <f t="shared" si="54"/>
        <v/>
      </c>
    </row>
    <row r="676" spans="12:18" x14ac:dyDescent="0.25">
      <c r="L676" t="str">
        <f t="shared" si="50"/>
        <v/>
      </c>
      <c r="M676" t="b">
        <f t="shared" si="51"/>
        <v>0</v>
      </c>
      <c r="N676" t="str">
        <f>IF(M676,IF(B676="Fe",_xludf.XLOOKUP(A676,'Standards Catalogue'!$A:$A,'Standards Catalogue'!$B:$B,""),IF(B676="P",_xludf.XLOOKUP(A676,'Standards Catalogue'!$A:$A,'Standards Catalogue'!$D:$D,""),IF(B676="S",_xludf.XLOOKUP(A676,'Standards Catalogue'!$A:$A,'Standards Catalogue'!$F:$F,""),""))),"")</f>
        <v/>
      </c>
      <c r="O676" t="str">
        <f>IF(M676,IF(B676="Fe",_xludf.XLOOKUP(A676,'Standards Catalogue'!$A:$A,'Standards Catalogue'!$C:$C,""),IF(B676="P",_xludf.XLOOKUP(A676,'Standards Catalogue'!$A:$A,'Standards Catalogue'!$E:$E,""),IF(B676="S",_xludf.XLOOKUP(A676,'Standards Catalogue'!$A:$A,'Standards Catalogue'!$G:$G,""),""))),"")</f>
        <v/>
      </c>
      <c r="P676" t="str">
        <f t="shared" si="52"/>
        <v/>
      </c>
      <c r="Q676" t="str">
        <f t="shared" si="53"/>
        <v/>
      </c>
      <c r="R676" t="str">
        <f t="shared" si="54"/>
        <v/>
      </c>
    </row>
    <row r="677" spans="12:18" x14ac:dyDescent="0.25">
      <c r="L677" t="str">
        <f t="shared" si="50"/>
        <v/>
      </c>
      <c r="M677" t="b">
        <f t="shared" si="51"/>
        <v>0</v>
      </c>
      <c r="N677" t="str">
        <f>IF(M677,IF(B677="Fe",_xludf.XLOOKUP(A677,'Standards Catalogue'!$A:$A,'Standards Catalogue'!$B:$B,""),IF(B677="P",_xludf.XLOOKUP(A677,'Standards Catalogue'!$A:$A,'Standards Catalogue'!$D:$D,""),IF(B677="S",_xludf.XLOOKUP(A677,'Standards Catalogue'!$A:$A,'Standards Catalogue'!$F:$F,""),""))),"")</f>
        <v/>
      </c>
      <c r="O677" t="str">
        <f>IF(M677,IF(B677="Fe",_xludf.XLOOKUP(A677,'Standards Catalogue'!$A:$A,'Standards Catalogue'!$C:$C,""),IF(B677="P",_xludf.XLOOKUP(A677,'Standards Catalogue'!$A:$A,'Standards Catalogue'!$E:$E,""),IF(B677="S",_xludf.XLOOKUP(A677,'Standards Catalogue'!$A:$A,'Standards Catalogue'!$G:$G,""),""))),"")</f>
        <v/>
      </c>
      <c r="P677" t="str">
        <f t="shared" si="52"/>
        <v/>
      </c>
      <c r="Q677" t="str">
        <f t="shared" si="53"/>
        <v/>
      </c>
      <c r="R677" t="str">
        <f t="shared" si="54"/>
        <v/>
      </c>
    </row>
    <row r="678" spans="12:18" x14ac:dyDescent="0.25">
      <c r="L678" t="str">
        <f t="shared" si="50"/>
        <v/>
      </c>
      <c r="M678" t="b">
        <f t="shared" si="51"/>
        <v>0</v>
      </c>
      <c r="N678" t="str">
        <f>IF(M678,IF(B678="Fe",_xludf.XLOOKUP(A678,'Standards Catalogue'!$A:$A,'Standards Catalogue'!$B:$B,""),IF(B678="P",_xludf.XLOOKUP(A678,'Standards Catalogue'!$A:$A,'Standards Catalogue'!$D:$D,""),IF(B678="S",_xludf.XLOOKUP(A678,'Standards Catalogue'!$A:$A,'Standards Catalogue'!$F:$F,""),""))),"")</f>
        <v/>
      </c>
      <c r="O678" t="str">
        <f>IF(M678,IF(B678="Fe",_xludf.XLOOKUP(A678,'Standards Catalogue'!$A:$A,'Standards Catalogue'!$C:$C,""),IF(B678="P",_xludf.XLOOKUP(A678,'Standards Catalogue'!$A:$A,'Standards Catalogue'!$E:$E,""),IF(B678="S",_xludf.XLOOKUP(A678,'Standards Catalogue'!$A:$A,'Standards Catalogue'!$G:$G,""),""))),"")</f>
        <v/>
      </c>
      <c r="P678" t="str">
        <f t="shared" si="52"/>
        <v/>
      </c>
      <c r="Q678" t="str">
        <f t="shared" si="53"/>
        <v/>
      </c>
      <c r="R678" t="str">
        <f t="shared" si="54"/>
        <v/>
      </c>
    </row>
    <row r="679" spans="12:18" x14ac:dyDescent="0.25">
      <c r="L679" t="str">
        <f t="shared" si="50"/>
        <v/>
      </c>
      <c r="M679" t="b">
        <f t="shared" si="51"/>
        <v>0</v>
      </c>
      <c r="N679" t="str">
        <f>IF(M679,IF(B679="Fe",_xludf.XLOOKUP(A679,'Standards Catalogue'!$A:$A,'Standards Catalogue'!$B:$B,""),IF(B679="P",_xludf.XLOOKUP(A679,'Standards Catalogue'!$A:$A,'Standards Catalogue'!$D:$D,""),IF(B679="S",_xludf.XLOOKUP(A679,'Standards Catalogue'!$A:$A,'Standards Catalogue'!$F:$F,""),""))),"")</f>
        <v/>
      </c>
      <c r="O679" t="str">
        <f>IF(M679,IF(B679="Fe",_xludf.XLOOKUP(A679,'Standards Catalogue'!$A:$A,'Standards Catalogue'!$C:$C,""),IF(B679="P",_xludf.XLOOKUP(A679,'Standards Catalogue'!$A:$A,'Standards Catalogue'!$E:$E,""),IF(B679="S",_xludf.XLOOKUP(A679,'Standards Catalogue'!$A:$A,'Standards Catalogue'!$G:$G,""),""))),"")</f>
        <v/>
      </c>
      <c r="P679" t="str">
        <f t="shared" si="52"/>
        <v/>
      </c>
      <c r="Q679" t="str">
        <f t="shared" si="53"/>
        <v/>
      </c>
      <c r="R679" t="str">
        <f t="shared" si="54"/>
        <v/>
      </c>
    </row>
    <row r="680" spans="12:18" x14ac:dyDescent="0.25">
      <c r="L680" t="str">
        <f t="shared" si="50"/>
        <v/>
      </c>
      <c r="M680" t="b">
        <f t="shared" si="51"/>
        <v>0</v>
      </c>
      <c r="N680" t="str">
        <f>IF(M680,IF(B680="Fe",_xludf.XLOOKUP(A680,'Standards Catalogue'!$A:$A,'Standards Catalogue'!$B:$B,""),IF(B680="P",_xludf.XLOOKUP(A680,'Standards Catalogue'!$A:$A,'Standards Catalogue'!$D:$D,""),IF(B680="S",_xludf.XLOOKUP(A680,'Standards Catalogue'!$A:$A,'Standards Catalogue'!$F:$F,""),""))),"")</f>
        <v/>
      </c>
      <c r="O680" t="str">
        <f>IF(M680,IF(B680="Fe",_xludf.XLOOKUP(A680,'Standards Catalogue'!$A:$A,'Standards Catalogue'!$C:$C,""),IF(B680="P",_xludf.XLOOKUP(A680,'Standards Catalogue'!$A:$A,'Standards Catalogue'!$E:$E,""),IF(B680="S",_xludf.XLOOKUP(A680,'Standards Catalogue'!$A:$A,'Standards Catalogue'!$G:$G,""),""))),"")</f>
        <v/>
      </c>
      <c r="P680" t="str">
        <f t="shared" si="52"/>
        <v/>
      </c>
      <c r="Q680" t="str">
        <f t="shared" si="53"/>
        <v/>
      </c>
      <c r="R680" t="str">
        <f t="shared" si="54"/>
        <v/>
      </c>
    </row>
    <row r="681" spans="12:18" x14ac:dyDescent="0.25">
      <c r="L681" t="str">
        <f t="shared" si="50"/>
        <v/>
      </c>
      <c r="M681" t="b">
        <f t="shared" si="51"/>
        <v>0</v>
      </c>
      <c r="N681" t="str">
        <f>IF(M681,IF(B681="Fe",_xludf.XLOOKUP(A681,'Standards Catalogue'!$A:$A,'Standards Catalogue'!$B:$B,""),IF(B681="P",_xludf.XLOOKUP(A681,'Standards Catalogue'!$A:$A,'Standards Catalogue'!$D:$D,""),IF(B681="S",_xludf.XLOOKUP(A681,'Standards Catalogue'!$A:$A,'Standards Catalogue'!$F:$F,""),""))),"")</f>
        <v/>
      </c>
      <c r="O681" t="str">
        <f>IF(M681,IF(B681="Fe",_xludf.XLOOKUP(A681,'Standards Catalogue'!$A:$A,'Standards Catalogue'!$C:$C,""),IF(B681="P",_xludf.XLOOKUP(A681,'Standards Catalogue'!$A:$A,'Standards Catalogue'!$E:$E,""),IF(B681="S",_xludf.XLOOKUP(A681,'Standards Catalogue'!$A:$A,'Standards Catalogue'!$G:$G,""),""))),"")</f>
        <v/>
      </c>
      <c r="P681" t="str">
        <f t="shared" si="52"/>
        <v/>
      </c>
      <c r="Q681" t="str">
        <f t="shared" si="53"/>
        <v/>
      </c>
      <c r="R681" t="str">
        <f t="shared" si="54"/>
        <v/>
      </c>
    </row>
    <row r="682" spans="12:18" x14ac:dyDescent="0.25">
      <c r="L682" t="str">
        <f t="shared" si="50"/>
        <v/>
      </c>
      <c r="M682" t="b">
        <f t="shared" si="51"/>
        <v>0</v>
      </c>
      <c r="N682" t="str">
        <f>IF(M682,IF(B682="Fe",_xludf.XLOOKUP(A682,'Standards Catalogue'!$A:$A,'Standards Catalogue'!$B:$B,""),IF(B682="P",_xludf.XLOOKUP(A682,'Standards Catalogue'!$A:$A,'Standards Catalogue'!$D:$D,""),IF(B682="S",_xludf.XLOOKUP(A682,'Standards Catalogue'!$A:$A,'Standards Catalogue'!$F:$F,""),""))),"")</f>
        <v/>
      </c>
      <c r="O682" t="str">
        <f>IF(M682,IF(B682="Fe",_xludf.XLOOKUP(A682,'Standards Catalogue'!$A:$A,'Standards Catalogue'!$C:$C,""),IF(B682="P",_xludf.XLOOKUP(A682,'Standards Catalogue'!$A:$A,'Standards Catalogue'!$E:$E,""),IF(B682="S",_xludf.XLOOKUP(A682,'Standards Catalogue'!$A:$A,'Standards Catalogue'!$G:$G,""),""))),"")</f>
        <v/>
      </c>
      <c r="P682" t="str">
        <f t="shared" si="52"/>
        <v/>
      </c>
      <c r="Q682" t="str">
        <f t="shared" si="53"/>
        <v/>
      </c>
      <c r="R682" t="str">
        <f t="shared" si="54"/>
        <v/>
      </c>
    </row>
    <row r="683" spans="12:18" x14ac:dyDescent="0.25">
      <c r="L683" t="str">
        <f t="shared" si="50"/>
        <v/>
      </c>
      <c r="M683" t="b">
        <f t="shared" si="51"/>
        <v>0</v>
      </c>
      <c r="N683" t="str">
        <f>IF(M683,IF(B683="Fe",_xludf.XLOOKUP(A683,'Standards Catalogue'!$A:$A,'Standards Catalogue'!$B:$B,""),IF(B683="P",_xludf.XLOOKUP(A683,'Standards Catalogue'!$A:$A,'Standards Catalogue'!$D:$D,""),IF(B683="S",_xludf.XLOOKUP(A683,'Standards Catalogue'!$A:$A,'Standards Catalogue'!$F:$F,""),""))),"")</f>
        <v/>
      </c>
      <c r="O683" t="str">
        <f>IF(M683,IF(B683="Fe",_xludf.XLOOKUP(A683,'Standards Catalogue'!$A:$A,'Standards Catalogue'!$C:$C,""),IF(B683="P",_xludf.XLOOKUP(A683,'Standards Catalogue'!$A:$A,'Standards Catalogue'!$E:$E,""),IF(B683="S",_xludf.XLOOKUP(A683,'Standards Catalogue'!$A:$A,'Standards Catalogue'!$G:$G,""),""))),"")</f>
        <v/>
      </c>
      <c r="P683" t="str">
        <f t="shared" si="52"/>
        <v/>
      </c>
      <c r="Q683" t="str">
        <f t="shared" si="53"/>
        <v/>
      </c>
      <c r="R683" t="str">
        <f t="shared" si="54"/>
        <v/>
      </c>
    </row>
    <row r="684" spans="12:18" x14ac:dyDescent="0.25">
      <c r="L684" t="str">
        <f t="shared" si="50"/>
        <v/>
      </c>
      <c r="M684" t="b">
        <f t="shared" si="51"/>
        <v>0</v>
      </c>
      <c r="N684" t="str">
        <f>IF(M684,IF(B684="Fe",_xludf.XLOOKUP(A684,'Standards Catalogue'!$A:$A,'Standards Catalogue'!$B:$B,""),IF(B684="P",_xludf.XLOOKUP(A684,'Standards Catalogue'!$A:$A,'Standards Catalogue'!$D:$D,""),IF(B684="S",_xludf.XLOOKUP(A684,'Standards Catalogue'!$A:$A,'Standards Catalogue'!$F:$F,""),""))),"")</f>
        <v/>
      </c>
      <c r="O684" t="str">
        <f>IF(M684,IF(B684="Fe",_xludf.XLOOKUP(A684,'Standards Catalogue'!$A:$A,'Standards Catalogue'!$C:$C,""),IF(B684="P",_xludf.XLOOKUP(A684,'Standards Catalogue'!$A:$A,'Standards Catalogue'!$E:$E,""),IF(B684="S",_xludf.XLOOKUP(A684,'Standards Catalogue'!$A:$A,'Standards Catalogue'!$G:$G,""),""))),"")</f>
        <v/>
      </c>
      <c r="P684" t="str">
        <f t="shared" si="52"/>
        <v/>
      </c>
      <c r="Q684" t="str">
        <f t="shared" si="53"/>
        <v/>
      </c>
      <c r="R684" t="str">
        <f t="shared" si="54"/>
        <v/>
      </c>
    </row>
    <row r="685" spans="12:18" x14ac:dyDescent="0.25">
      <c r="L685" t="str">
        <f t="shared" si="50"/>
        <v/>
      </c>
      <c r="M685" t="b">
        <f t="shared" si="51"/>
        <v>0</v>
      </c>
      <c r="N685" t="str">
        <f>IF(M685,IF(B685="Fe",_xludf.XLOOKUP(A685,'Standards Catalogue'!$A:$A,'Standards Catalogue'!$B:$B,""),IF(B685="P",_xludf.XLOOKUP(A685,'Standards Catalogue'!$A:$A,'Standards Catalogue'!$D:$D,""),IF(B685="S",_xludf.XLOOKUP(A685,'Standards Catalogue'!$A:$A,'Standards Catalogue'!$F:$F,""),""))),"")</f>
        <v/>
      </c>
      <c r="O685" t="str">
        <f>IF(M685,IF(B685="Fe",_xludf.XLOOKUP(A685,'Standards Catalogue'!$A:$A,'Standards Catalogue'!$C:$C,""),IF(B685="P",_xludf.XLOOKUP(A685,'Standards Catalogue'!$A:$A,'Standards Catalogue'!$E:$E,""),IF(B685="S",_xludf.XLOOKUP(A685,'Standards Catalogue'!$A:$A,'Standards Catalogue'!$G:$G,""),""))),"")</f>
        <v/>
      </c>
      <c r="P685" t="str">
        <f t="shared" si="52"/>
        <v/>
      </c>
      <c r="Q685" t="str">
        <f t="shared" si="53"/>
        <v/>
      </c>
      <c r="R685" t="str">
        <f t="shared" si="54"/>
        <v/>
      </c>
    </row>
    <row r="686" spans="12:18" x14ac:dyDescent="0.25">
      <c r="L686" t="str">
        <f t="shared" si="50"/>
        <v/>
      </c>
      <c r="M686" t="b">
        <f t="shared" si="51"/>
        <v>0</v>
      </c>
      <c r="N686" t="str">
        <f>IF(M686,IF(B686="Fe",_xludf.XLOOKUP(A686,'Standards Catalogue'!$A:$A,'Standards Catalogue'!$B:$B,""),IF(B686="P",_xludf.XLOOKUP(A686,'Standards Catalogue'!$A:$A,'Standards Catalogue'!$D:$D,""),IF(B686="S",_xludf.XLOOKUP(A686,'Standards Catalogue'!$A:$A,'Standards Catalogue'!$F:$F,""),""))),"")</f>
        <v/>
      </c>
      <c r="O686" t="str">
        <f>IF(M686,IF(B686="Fe",_xludf.XLOOKUP(A686,'Standards Catalogue'!$A:$A,'Standards Catalogue'!$C:$C,""),IF(B686="P",_xludf.XLOOKUP(A686,'Standards Catalogue'!$A:$A,'Standards Catalogue'!$E:$E,""),IF(B686="S",_xludf.XLOOKUP(A686,'Standards Catalogue'!$A:$A,'Standards Catalogue'!$G:$G,""),""))),"")</f>
        <v/>
      </c>
      <c r="P686" t="str">
        <f t="shared" si="52"/>
        <v/>
      </c>
      <c r="Q686" t="str">
        <f t="shared" si="53"/>
        <v/>
      </c>
      <c r="R686" t="str">
        <f t="shared" si="54"/>
        <v/>
      </c>
    </row>
    <row r="687" spans="12:18" x14ac:dyDescent="0.25">
      <c r="L687" t="str">
        <f t="shared" si="50"/>
        <v/>
      </c>
      <c r="M687" t="b">
        <f t="shared" si="51"/>
        <v>0</v>
      </c>
      <c r="N687" t="str">
        <f>IF(M687,IF(B687="Fe",_xludf.XLOOKUP(A687,'Standards Catalogue'!$A:$A,'Standards Catalogue'!$B:$B,""),IF(B687="P",_xludf.XLOOKUP(A687,'Standards Catalogue'!$A:$A,'Standards Catalogue'!$D:$D,""),IF(B687="S",_xludf.XLOOKUP(A687,'Standards Catalogue'!$A:$A,'Standards Catalogue'!$F:$F,""),""))),"")</f>
        <v/>
      </c>
      <c r="O687" t="str">
        <f>IF(M687,IF(B687="Fe",_xludf.XLOOKUP(A687,'Standards Catalogue'!$A:$A,'Standards Catalogue'!$C:$C,""),IF(B687="P",_xludf.XLOOKUP(A687,'Standards Catalogue'!$A:$A,'Standards Catalogue'!$E:$E,""),IF(B687="S",_xludf.XLOOKUP(A687,'Standards Catalogue'!$A:$A,'Standards Catalogue'!$G:$G,""),""))),"")</f>
        <v/>
      </c>
      <c r="P687" t="str">
        <f t="shared" si="52"/>
        <v/>
      </c>
      <c r="Q687" t="str">
        <f t="shared" si="53"/>
        <v/>
      </c>
      <c r="R687" t="str">
        <f t="shared" si="54"/>
        <v/>
      </c>
    </row>
    <row r="688" spans="12:18" x14ac:dyDescent="0.25">
      <c r="L688" t="str">
        <f t="shared" si="50"/>
        <v/>
      </c>
      <c r="M688" t="b">
        <f t="shared" si="51"/>
        <v>0</v>
      </c>
      <c r="N688" t="str">
        <f>IF(M688,IF(B688="Fe",_xludf.XLOOKUP(A688,'Standards Catalogue'!$A:$A,'Standards Catalogue'!$B:$B,""),IF(B688="P",_xludf.XLOOKUP(A688,'Standards Catalogue'!$A:$A,'Standards Catalogue'!$D:$D,""),IF(B688="S",_xludf.XLOOKUP(A688,'Standards Catalogue'!$A:$A,'Standards Catalogue'!$F:$F,""),""))),"")</f>
        <v/>
      </c>
      <c r="O688" t="str">
        <f>IF(M688,IF(B688="Fe",_xludf.XLOOKUP(A688,'Standards Catalogue'!$A:$A,'Standards Catalogue'!$C:$C,""),IF(B688="P",_xludf.XLOOKUP(A688,'Standards Catalogue'!$A:$A,'Standards Catalogue'!$E:$E,""),IF(B688="S",_xludf.XLOOKUP(A688,'Standards Catalogue'!$A:$A,'Standards Catalogue'!$G:$G,""),""))),"")</f>
        <v/>
      </c>
      <c r="P688" t="str">
        <f t="shared" si="52"/>
        <v/>
      </c>
      <c r="Q688" t="str">
        <f t="shared" si="53"/>
        <v/>
      </c>
      <c r="R688" t="str">
        <f t="shared" si="54"/>
        <v/>
      </c>
    </row>
    <row r="689" spans="12:18" x14ac:dyDescent="0.25">
      <c r="L689" t="str">
        <f t="shared" si="50"/>
        <v/>
      </c>
      <c r="M689" t="b">
        <f t="shared" si="51"/>
        <v>0</v>
      </c>
      <c r="N689" t="str">
        <f>IF(M689,IF(B689="Fe",_xludf.XLOOKUP(A689,'Standards Catalogue'!$A:$A,'Standards Catalogue'!$B:$B,""),IF(B689="P",_xludf.XLOOKUP(A689,'Standards Catalogue'!$A:$A,'Standards Catalogue'!$D:$D,""),IF(B689="S",_xludf.XLOOKUP(A689,'Standards Catalogue'!$A:$A,'Standards Catalogue'!$F:$F,""),""))),"")</f>
        <v/>
      </c>
      <c r="O689" t="str">
        <f>IF(M689,IF(B689="Fe",_xludf.XLOOKUP(A689,'Standards Catalogue'!$A:$A,'Standards Catalogue'!$C:$C,""),IF(B689="P",_xludf.XLOOKUP(A689,'Standards Catalogue'!$A:$A,'Standards Catalogue'!$E:$E,""),IF(B689="S",_xludf.XLOOKUP(A689,'Standards Catalogue'!$A:$A,'Standards Catalogue'!$G:$G,""),""))),"")</f>
        <v/>
      </c>
      <c r="P689" t="str">
        <f t="shared" si="52"/>
        <v/>
      </c>
      <c r="Q689" t="str">
        <f t="shared" si="53"/>
        <v/>
      </c>
      <c r="R689" t="str">
        <f t="shared" si="54"/>
        <v/>
      </c>
    </row>
    <row r="690" spans="12:18" x14ac:dyDescent="0.25">
      <c r="L690" t="str">
        <f t="shared" si="50"/>
        <v/>
      </c>
      <c r="M690" t="b">
        <f t="shared" si="51"/>
        <v>0</v>
      </c>
      <c r="N690" t="str">
        <f>IF(M690,IF(B690="Fe",_xludf.XLOOKUP(A690,'Standards Catalogue'!$A:$A,'Standards Catalogue'!$B:$B,""),IF(B690="P",_xludf.XLOOKUP(A690,'Standards Catalogue'!$A:$A,'Standards Catalogue'!$D:$D,""),IF(B690="S",_xludf.XLOOKUP(A690,'Standards Catalogue'!$A:$A,'Standards Catalogue'!$F:$F,""),""))),"")</f>
        <v/>
      </c>
      <c r="O690" t="str">
        <f>IF(M690,IF(B690="Fe",_xludf.XLOOKUP(A690,'Standards Catalogue'!$A:$A,'Standards Catalogue'!$C:$C,""),IF(B690="P",_xludf.XLOOKUP(A690,'Standards Catalogue'!$A:$A,'Standards Catalogue'!$E:$E,""),IF(B690="S",_xludf.XLOOKUP(A690,'Standards Catalogue'!$A:$A,'Standards Catalogue'!$G:$G,""),""))),"")</f>
        <v/>
      </c>
      <c r="P690" t="str">
        <f t="shared" si="52"/>
        <v/>
      </c>
      <c r="Q690" t="str">
        <f t="shared" si="53"/>
        <v/>
      </c>
      <c r="R690" t="str">
        <f t="shared" si="54"/>
        <v/>
      </c>
    </row>
    <row r="691" spans="12:18" x14ac:dyDescent="0.25">
      <c r="L691" t="str">
        <f t="shared" si="50"/>
        <v/>
      </c>
      <c r="M691" t="b">
        <f t="shared" si="51"/>
        <v>0</v>
      </c>
      <c r="N691" t="str">
        <f>IF(M691,IF(B691="Fe",_xludf.XLOOKUP(A691,'Standards Catalogue'!$A:$A,'Standards Catalogue'!$B:$B,""),IF(B691="P",_xludf.XLOOKUP(A691,'Standards Catalogue'!$A:$A,'Standards Catalogue'!$D:$D,""),IF(B691="S",_xludf.XLOOKUP(A691,'Standards Catalogue'!$A:$A,'Standards Catalogue'!$F:$F,""),""))),"")</f>
        <v/>
      </c>
      <c r="O691" t="str">
        <f>IF(M691,IF(B691="Fe",_xludf.XLOOKUP(A691,'Standards Catalogue'!$A:$A,'Standards Catalogue'!$C:$C,""),IF(B691="P",_xludf.XLOOKUP(A691,'Standards Catalogue'!$A:$A,'Standards Catalogue'!$E:$E,""),IF(B691="S",_xludf.XLOOKUP(A691,'Standards Catalogue'!$A:$A,'Standards Catalogue'!$G:$G,""),""))),"")</f>
        <v/>
      </c>
      <c r="P691" t="str">
        <f t="shared" si="52"/>
        <v/>
      </c>
      <c r="Q691" t="str">
        <f t="shared" si="53"/>
        <v/>
      </c>
      <c r="R691" t="str">
        <f t="shared" si="54"/>
        <v/>
      </c>
    </row>
    <row r="692" spans="12:18" x14ac:dyDescent="0.25">
      <c r="L692" t="str">
        <f t="shared" si="50"/>
        <v/>
      </c>
      <c r="M692" t="b">
        <f t="shared" si="51"/>
        <v>0</v>
      </c>
      <c r="N692" t="str">
        <f>IF(M692,IF(B692="Fe",_xludf.XLOOKUP(A692,'Standards Catalogue'!$A:$A,'Standards Catalogue'!$B:$B,""),IF(B692="P",_xludf.XLOOKUP(A692,'Standards Catalogue'!$A:$A,'Standards Catalogue'!$D:$D,""),IF(B692="S",_xludf.XLOOKUP(A692,'Standards Catalogue'!$A:$A,'Standards Catalogue'!$F:$F,""),""))),"")</f>
        <v/>
      </c>
      <c r="O692" t="str">
        <f>IF(M692,IF(B692="Fe",_xludf.XLOOKUP(A692,'Standards Catalogue'!$A:$A,'Standards Catalogue'!$C:$C,""),IF(B692="P",_xludf.XLOOKUP(A692,'Standards Catalogue'!$A:$A,'Standards Catalogue'!$E:$E,""),IF(B692="S",_xludf.XLOOKUP(A692,'Standards Catalogue'!$A:$A,'Standards Catalogue'!$G:$G,""),""))),"")</f>
        <v/>
      </c>
      <c r="P692" t="str">
        <f t="shared" si="52"/>
        <v/>
      </c>
      <c r="Q692" t="str">
        <f t="shared" si="53"/>
        <v/>
      </c>
      <c r="R692" t="str">
        <f t="shared" si="54"/>
        <v/>
      </c>
    </row>
    <row r="693" spans="12:18" x14ac:dyDescent="0.25">
      <c r="L693" t="str">
        <f t="shared" si="50"/>
        <v/>
      </c>
      <c r="M693" t="b">
        <f t="shared" si="51"/>
        <v>0</v>
      </c>
      <c r="N693" t="str">
        <f>IF(M693,IF(B693="Fe",_xludf.XLOOKUP(A693,'Standards Catalogue'!$A:$A,'Standards Catalogue'!$B:$B,""),IF(B693="P",_xludf.XLOOKUP(A693,'Standards Catalogue'!$A:$A,'Standards Catalogue'!$D:$D,""),IF(B693="S",_xludf.XLOOKUP(A693,'Standards Catalogue'!$A:$A,'Standards Catalogue'!$F:$F,""),""))),"")</f>
        <v/>
      </c>
      <c r="O693" t="str">
        <f>IF(M693,IF(B693="Fe",_xludf.XLOOKUP(A693,'Standards Catalogue'!$A:$A,'Standards Catalogue'!$C:$C,""),IF(B693="P",_xludf.XLOOKUP(A693,'Standards Catalogue'!$A:$A,'Standards Catalogue'!$E:$E,""),IF(B693="S",_xludf.XLOOKUP(A693,'Standards Catalogue'!$A:$A,'Standards Catalogue'!$G:$G,""),""))),"")</f>
        <v/>
      </c>
      <c r="P693" t="str">
        <f t="shared" si="52"/>
        <v/>
      </c>
      <c r="Q693" t="str">
        <f t="shared" si="53"/>
        <v/>
      </c>
      <c r="R693" t="str">
        <f t="shared" si="54"/>
        <v/>
      </c>
    </row>
    <row r="694" spans="12:18" x14ac:dyDescent="0.25">
      <c r="L694" t="str">
        <f t="shared" si="50"/>
        <v/>
      </c>
      <c r="M694" t="b">
        <f t="shared" si="51"/>
        <v>0</v>
      </c>
      <c r="N694" t="str">
        <f>IF(M694,IF(B694="Fe",_xludf.XLOOKUP(A694,'Standards Catalogue'!$A:$A,'Standards Catalogue'!$B:$B,""),IF(B694="P",_xludf.XLOOKUP(A694,'Standards Catalogue'!$A:$A,'Standards Catalogue'!$D:$D,""),IF(B694="S",_xludf.XLOOKUP(A694,'Standards Catalogue'!$A:$A,'Standards Catalogue'!$F:$F,""),""))),"")</f>
        <v/>
      </c>
      <c r="O694" t="str">
        <f>IF(M694,IF(B694="Fe",_xludf.XLOOKUP(A694,'Standards Catalogue'!$A:$A,'Standards Catalogue'!$C:$C,""),IF(B694="P",_xludf.XLOOKUP(A694,'Standards Catalogue'!$A:$A,'Standards Catalogue'!$E:$E,""),IF(B694="S",_xludf.XLOOKUP(A694,'Standards Catalogue'!$A:$A,'Standards Catalogue'!$G:$G,""),""))),"")</f>
        <v/>
      </c>
      <c r="P694" t="str">
        <f t="shared" si="52"/>
        <v/>
      </c>
      <c r="Q694" t="str">
        <f t="shared" si="53"/>
        <v/>
      </c>
      <c r="R694" t="str">
        <f t="shared" si="54"/>
        <v/>
      </c>
    </row>
    <row r="695" spans="12:18" x14ac:dyDescent="0.25">
      <c r="L695" t="str">
        <f t="shared" si="50"/>
        <v/>
      </c>
      <c r="M695" t="b">
        <f t="shared" si="51"/>
        <v>0</v>
      </c>
      <c r="N695" t="str">
        <f>IF(M695,IF(B695="Fe",_xludf.XLOOKUP(A695,'Standards Catalogue'!$A:$A,'Standards Catalogue'!$B:$B,""),IF(B695="P",_xludf.XLOOKUP(A695,'Standards Catalogue'!$A:$A,'Standards Catalogue'!$D:$D,""),IF(B695="S",_xludf.XLOOKUP(A695,'Standards Catalogue'!$A:$A,'Standards Catalogue'!$F:$F,""),""))),"")</f>
        <v/>
      </c>
      <c r="O695" t="str">
        <f>IF(M695,IF(B695="Fe",_xludf.XLOOKUP(A695,'Standards Catalogue'!$A:$A,'Standards Catalogue'!$C:$C,""),IF(B695="P",_xludf.XLOOKUP(A695,'Standards Catalogue'!$A:$A,'Standards Catalogue'!$E:$E,""),IF(B695="S",_xludf.XLOOKUP(A695,'Standards Catalogue'!$A:$A,'Standards Catalogue'!$G:$G,""),""))),"")</f>
        <v/>
      </c>
      <c r="P695" t="str">
        <f t="shared" si="52"/>
        <v/>
      </c>
      <c r="Q695" t="str">
        <f t="shared" si="53"/>
        <v/>
      </c>
      <c r="R695" t="str">
        <f t="shared" si="54"/>
        <v/>
      </c>
    </row>
    <row r="696" spans="12:18" x14ac:dyDescent="0.25">
      <c r="L696" t="str">
        <f t="shared" si="50"/>
        <v/>
      </c>
      <c r="M696" t="b">
        <f t="shared" si="51"/>
        <v>0</v>
      </c>
      <c r="N696" t="str">
        <f>IF(M696,IF(B696="Fe",_xludf.XLOOKUP(A696,'Standards Catalogue'!$A:$A,'Standards Catalogue'!$B:$B,""),IF(B696="P",_xludf.XLOOKUP(A696,'Standards Catalogue'!$A:$A,'Standards Catalogue'!$D:$D,""),IF(B696="S",_xludf.XLOOKUP(A696,'Standards Catalogue'!$A:$A,'Standards Catalogue'!$F:$F,""),""))),"")</f>
        <v/>
      </c>
      <c r="O696" t="str">
        <f>IF(M696,IF(B696="Fe",_xludf.XLOOKUP(A696,'Standards Catalogue'!$A:$A,'Standards Catalogue'!$C:$C,""),IF(B696="P",_xludf.XLOOKUP(A696,'Standards Catalogue'!$A:$A,'Standards Catalogue'!$E:$E,""),IF(B696="S",_xludf.XLOOKUP(A696,'Standards Catalogue'!$A:$A,'Standards Catalogue'!$G:$G,""),""))),"")</f>
        <v/>
      </c>
      <c r="P696" t="str">
        <f t="shared" si="52"/>
        <v/>
      </c>
      <c r="Q696" t="str">
        <f t="shared" si="53"/>
        <v/>
      </c>
      <c r="R696" t="str">
        <f t="shared" si="54"/>
        <v/>
      </c>
    </row>
    <row r="697" spans="12:18" x14ac:dyDescent="0.25">
      <c r="L697" t="str">
        <f t="shared" si="50"/>
        <v/>
      </c>
      <c r="M697" t="b">
        <f t="shared" si="51"/>
        <v>0</v>
      </c>
      <c r="N697" t="str">
        <f>IF(M697,IF(B697="Fe",_xludf.XLOOKUP(A697,'Standards Catalogue'!$A:$A,'Standards Catalogue'!$B:$B,""),IF(B697="P",_xludf.XLOOKUP(A697,'Standards Catalogue'!$A:$A,'Standards Catalogue'!$D:$D,""),IF(B697="S",_xludf.XLOOKUP(A697,'Standards Catalogue'!$A:$A,'Standards Catalogue'!$F:$F,""),""))),"")</f>
        <v/>
      </c>
      <c r="O697" t="str">
        <f>IF(M697,IF(B697="Fe",_xludf.XLOOKUP(A697,'Standards Catalogue'!$A:$A,'Standards Catalogue'!$C:$C,""),IF(B697="P",_xludf.XLOOKUP(A697,'Standards Catalogue'!$A:$A,'Standards Catalogue'!$E:$E,""),IF(B697="S",_xludf.XLOOKUP(A697,'Standards Catalogue'!$A:$A,'Standards Catalogue'!$G:$G,""),""))),"")</f>
        <v/>
      </c>
      <c r="P697" t="str">
        <f t="shared" si="52"/>
        <v/>
      </c>
      <c r="Q697" t="str">
        <f t="shared" si="53"/>
        <v/>
      </c>
      <c r="R697" t="str">
        <f t="shared" si="54"/>
        <v/>
      </c>
    </row>
    <row r="698" spans="12:18" x14ac:dyDescent="0.25">
      <c r="L698" t="str">
        <f t="shared" si="50"/>
        <v/>
      </c>
      <c r="M698" t="b">
        <f t="shared" si="51"/>
        <v>0</v>
      </c>
      <c r="N698" t="str">
        <f>IF(M698,IF(B698="Fe",_xludf.XLOOKUP(A698,'Standards Catalogue'!$A:$A,'Standards Catalogue'!$B:$B,""),IF(B698="P",_xludf.XLOOKUP(A698,'Standards Catalogue'!$A:$A,'Standards Catalogue'!$D:$D,""),IF(B698="S",_xludf.XLOOKUP(A698,'Standards Catalogue'!$A:$A,'Standards Catalogue'!$F:$F,""),""))),"")</f>
        <v/>
      </c>
      <c r="O698" t="str">
        <f>IF(M698,IF(B698="Fe",_xludf.XLOOKUP(A698,'Standards Catalogue'!$A:$A,'Standards Catalogue'!$C:$C,""),IF(B698="P",_xludf.XLOOKUP(A698,'Standards Catalogue'!$A:$A,'Standards Catalogue'!$E:$E,""),IF(B698="S",_xludf.XLOOKUP(A698,'Standards Catalogue'!$A:$A,'Standards Catalogue'!$G:$G,""),""))),"")</f>
        <v/>
      </c>
      <c r="P698" t="str">
        <f t="shared" si="52"/>
        <v/>
      </c>
      <c r="Q698" t="str">
        <f t="shared" si="53"/>
        <v/>
      </c>
      <c r="R698" t="str">
        <f t="shared" si="54"/>
        <v/>
      </c>
    </row>
    <row r="699" spans="12:18" x14ac:dyDescent="0.25">
      <c r="L699" t="str">
        <f t="shared" si="50"/>
        <v/>
      </c>
      <c r="M699" t="b">
        <f t="shared" si="51"/>
        <v>0</v>
      </c>
      <c r="N699" t="str">
        <f>IF(M699,IF(B699="Fe",_xludf.XLOOKUP(A699,'Standards Catalogue'!$A:$A,'Standards Catalogue'!$B:$B,""),IF(B699="P",_xludf.XLOOKUP(A699,'Standards Catalogue'!$A:$A,'Standards Catalogue'!$D:$D,""),IF(B699="S",_xludf.XLOOKUP(A699,'Standards Catalogue'!$A:$A,'Standards Catalogue'!$F:$F,""),""))),"")</f>
        <v/>
      </c>
      <c r="O699" t="str">
        <f>IF(M699,IF(B699="Fe",_xludf.XLOOKUP(A699,'Standards Catalogue'!$A:$A,'Standards Catalogue'!$C:$C,""),IF(B699="P",_xludf.XLOOKUP(A699,'Standards Catalogue'!$A:$A,'Standards Catalogue'!$E:$E,""),IF(B699="S",_xludf.XLOOKUP(A699,'Standards Catalogue'!$A:$A,'Standards Catalogue'!$G:$G,""),""))),"")</f>
        <v/>
      </c>
      <c r="P699" t="str">
        <f t="shared" si="52"/>
        <v/>
      </c>
      <c r="Q699" t="str">
        <f t="shared" si="53"/>
        <v/>
      </c>
      <c r="R699" t="str">
        <f t="shared" si="54"/>
        <v/>
      </c>
    </row>
    <row r="700" spans="12:18" x14ac:dyDescent="0.25">
      <c r="L700" t="str">
        <f t="shared" si="50"/>
        <v/>
      </c>
      <c r="M700" t="b">
        <f t="shared" si="51"/>
        <v>0</v>
      </c>
      <c r="N700" t="str">
        <f>IF(M700,IF(B700="Fe",_xludf.XLOOKUP(A700,'Standards Catalogue'!$A:$A,'Standards Catalogue'!$B:$B,""),IF(B700="P",_xludf.XLOOKUP(A700,'Standards Catalogue'!$A:$A,'Standards Catalogue'!$D:$D,""),IF(B700="S",_xludf.XLOOKUP(A700,'Standards Catalogue'!$A:$A,'Standards Catalogue'!$F:$F,""),""))),"")</f>
        <v/>
      </c>
      <c r="O700" t="str">
        <f>IF(M700,IF(B700="Fe",_xludf.XLOOKUP(A700,'Standards Catalogue'!$A:$A,'Standards Catalogue'!$C:$C,""),IF(B700="P",_xludf.XLOOKUP(A700,'Standards Catalogue'!$A:$A,'Standards Catalogue'!$E:$E,""),IF(B700="S",_xludf.XLOOKUP(A700,'Standards Catalogue'!$A:$A,'Standards Catalogue'!$G:$G,""),""))),"")</f>
        <v/>
      </c>
      <c r="P700" t="str">
        <f t="shared" si="52"/>
        <v/>
      </c>
      <c r="Q700" t="str">
        <f t="shared" si="53"/>
        <v/>
      </c>
      <c r="R700" t="str">
        <f t="shared" si="54"/>
        <v/>
      </c>
    </row>
    <row r="701" spans="12:18" x14ac:dyDescent="0.25">
      <c r="L701" t="str">
        <f t="shared" si="50"/>
        <v/>
      </c>
      <c r="M701" t="b">
        <f t="shared" si="51"/>
        <v>0</v>
      </c>
      <c r="N701" t="str">
        <f>IF(M701,IF(B701="Fe",_xludf.XLOOKUP(A701,'Standards Catalogue'!$A:$A,'Standards Catalogue'!$B:$B,""),IF(B701="P",_xludf.XLOOKUP(A701,'Standards Catalogue'!$A:$A,'Standards Catalogue'!$D:$D,""),IF(B701="S",_xludf.XLOOKUP(A701,'Standards Catalogue'!$A:$A,'Standards Catalogue'!$F:$F,""),""))),"")</f>
        <v/>
      </c>
      <c r="O701" t="str">
        <f>IF(M701,IF(B701="Fe",_xludf.XLOOKUP(A701,'Standards Catalogue'!$A:$A,'Standards Catalogue'!$C:$C,""),IF(B701="P",_xludf.XLOOKUP(A701,'Standards Catalogue'!$A:$A,'Standards Catalogue'!$E:$E,""),IF(B701="S",_xludf.XLOOKUP(A701,'Standards Catalogue'!$A:$A,'Standards Catalogue'!$G:$G,""),""))),"")</f>
        <v/>
      </c>
      <c r="P701" t="str">
        <f t="shared" si="52"/>
        <v/>
      </c>
      <c r="Q701" t="str">
        <f t="shared" si="53"/>
        <v/>
      </c>
      <c r="R701" t="str">
        <f t="shared" si="54"/>
        <v/>
      </c>
    </row>
    <row r="702" spans="12:18" x14ac:dyDescent="0.25">
      <c r="L702" t="str">
        <f t="shared" si="50"/>
        <v/>
      </c>
      <c r="M702" t="b">
        <f t="shared" si="51"/>
        <v>0</v>
      </c>
      <c r="N702" t="str">
        <f>IF(M702,IF(B702="Fe",_xludf.XLOOKUP(A702,'Standards Catalogue'!$A:$A,'Standards Catalogue'!$B:$B,""),IF(B702="P",_xludf.XLOOKUP(A702,'Standards Catalogue'!$A:$A,'Standards Catalogue'!$D:$D,""),IF(B702="S",_xludf.XLOOKUP(A702,'Standards Catalogue'!$A:$A,'Standards Catalogue'!$F:$F,""),""))),"")</f>
        <v/>
      </c>
      <c r="O702" t="str">
        <f>IF(M702,IF(B702="Fe",_xludf.XLOOKUP(A702,'Standards Catalogue'!$A:$A,'Standards Catalogue'!$C:$C,""),IF(B702="P",_xludf.XLOOKUP(A702,'Standards Catalogue'!$A:$A,'Standards Catalogue'!$E:$E,""),IF(B702="S",_xludf.XLOOKUP(A702,'Standards Catalogue'!$A:$A,'Standards Catalogue'!$G:$G,""),""))),"")</f>
        <v/>
      </c>
      <c r="P702" t="str">
        <f t="shared" si="52"/>
        <v/>
      </c>
      <c r="Q702" t="str">
        <f t="shared" si="53"/>
        <v/>
      </c>
      <c r="R702" t="str">
        <f t="shared" si="54"/>
        <v/>
      </c>
    </row>
    <row r="703" spans="12:18" x14ac:dyDescent="0.25">
      <c r="L703" t="str">
        <f t="shared" si="50"/>
        <v/>
      </c>
      <c r="M703" t="b">
        <f t="shared" si="51"/>
        <v>0</v>
      </c>
      <c r="N703" t="str">
        <f>IF(M703,IF(B703="Fe",_xludf.XLOOKUP(A703,'Standards Catalogue'!$A:$A,'Standards Catalogue'!$B:$B,""),IF(B703="P",_xludf.XLOOKUP(A703,'Standards Catalogue'!$A:$A,'Standards Catalogue'!$D:$D,""),IF(B703="S",_xludf.XLOOKUP(A703,'Standards Catalogue'!$A:$A,'Standards Catalogue'!$F:$F,""),""))),"")</f>
        <v/>
      </c>
      <c r="O703" t="str">
        <f>IF(M703,IF(B703="Fe",_xludf.XLOOKUP(A703,'Standards Catalogue'!$A:$A,'Standards Catalogue'!$C:$C,""),IF(B703="P",_xludf.XLOOKUP(A703,'Standards Catalogue'!$A:$A,'Standards Catalogue'!$E:$E,""),IF(B703="S",_xludf.XLOOKUP(A703,'Standards Catalogue'!$A:$A,'Standards Catalogue'!$G:$G,""),""))),"")</f>
        <v/>
      </c>
      <c r="P703" t="str">
        <f t="shared" si="52"/>
        <v/>
      </c>
      <c r="Q703" t="str">
        <f t="shared" si="53"/>
        <v/>
      </c>
      <c r="R703" t="str">
        <f t="shared" si="54"/>
        <v/>
      </c>
    </row>
    <row r="704" spans="12:18" x14ac:dyDescent="0.25">
      <c r="L704" t="str">
        <f t="shared" si="50"/>
        <v/>
      </c>
      <c r="M704" t="b">
        <f t="shared" si="51"/>
        <v>0</v>
      </c>
      <c r="N704" t="str">
        <f>IF(M704,IF(B704="Fe",_xludf.XLOOKUP(A704,'Standards Catalogue'!$A:$A,'Standards Catalogue'!$B:$B,""),IF(B704="P",_xludf.XLOOKUP(A704,'Standards Catalogue'!$A:$A,'Standards Catalogue'!$D:$D,""),IF(B704="S",_xludf.XLOOKUP(A704,'Standards Catalogue'!$A:$A,'Standards Catalogue'!$F:$F,""),""))),"")</f>
        <v/>
      </c>
      <c r="O704" t="str">
        <f>IF(M704,IF(B704="Fe",_xludf.XLOOKUP(A704,'Standards Catalogue'!$A:$A,'Standards Catalogue'!$C:$C,""),IF(B704="P",_xludf.XLOOKUP(A704,'Standards Catalogue'!$A:$A,'Standards Catalogue'!$E:$E,""),IF(B704="S",_xludf.XLOOKUP(A704,'Standards Catalogue'!$A:$A,'Standards Catalogue'!$G:$G,""),""))),"")</f>
        <v/>
      </c>
      <c r="P704" t="str">
        <f t="shared" si="52"/>
        <v/>
      </c>
      <c r="Q704" t="str">
        <f t="shared" si="53"/>
        <v/>
      </c>
      <c r="R704" t="str">
        <f t="shared" si="54"/>
        <v/>
      </c>
    </row>
    <row r="705" spans="12:18" x14ac:dyDescent="0.25">
      <c r="L705" t="str">
        <f t="shared" si="50"/>
        <v/>
      </c>
      <c r="M705" t="b">
        <f t="shared" si="51"/>
        <v>0</v>
      </c>
      <c r="N705" t="str">
        <f>IF(M705,IF(B705="Fe",_xludf.XLOOKUP(A705,'Standards Catalogue'!$A:$A,'Standards Catalogue'!$B:$B,""),IF(B705="P",_xludf.XLOOKUP(A705,'Standards Catalogue'!$A:$A,'Standards Catalogue'!$D:$D,""),IF(B705="S",_xludf.XLOOKUP(A705,'Standards Catalogue'!$A:$A,'Standards Catalogue'!$F:$F,""),""))),"")</f>
        <v/>
      </c>
      <c r="O705" t="str">
        <f>IF(M705,IF(B705="Fe",_xludf.XLOOKUP(A705,'Standards Catalogue'!$A:$A,'Standards Catalogue'!$C:$C,""),IF(B705="P",_xludf.XLOOKUP(A705,'Standards Catalogue'!$A:$A,'Standards Catalogue'!$E:$E,""),IF(B705="S",_xludf.XLOOKUP(A705,'Standards Catalogue'!$A:$A,'Standards Catalogue'!$G:$G,""),""))),"")</f>
        <v/>
      </c>
      <c r="P705" t="str">
        <f t="shared" si="52"/>
        <v/>
      </c>
      <c r="Q705" t="str">
        <f t="shared" si="53"/>
        <v/>
      </c>
      <c r="R705" t="str">
        <f t="shared" si="54"/>
        <v/>
      </c>
    </row>
    <row r="706" spans="12:18" x14ac:dyDescent="0.25">
      <c r="L706" t="str">
        <f t="shared" ref="L706:L769" si="55">IF(AND(A706&lt;&gt;"",B706&lt;&gt;""),A706&amp;"|"&amp;B706,"")</f>
        <v/>
      </c>
      <c r="M706" t="b">
        <f t="shared" ref="M706:M769" si="56">IF(COUNTIF(STANDARDS_IDS,A706)&gt;0,TRUE,FALSE)</f>
        <v>0</v>
      </c>
      <c r="N706" t="str">
        <f>IF(M706,IF(B706="Fe",_xludf.XLOOKUP(A706,'Standards Catalogue'!$A:$A,'Standards Catalogue'!$B:$B,""),IF(B706="P",_xludf.XLOOKUP(A706,'Standards Catalogue'!$A:$A,'Standards Catalogue'!$D:$D,""),IF(B706="S",_xludf.XLOOKUP(A706,'Standards Catalogue'!$A:$A,'Standards Catalogue'!$F:$F,""),""))),"")</f>
        <v/>
      </c>
      <c r="O706" t="str">
        <f>IF(M706,IF(B706="Fe",_xludf.XLOOKUP(A706,'Standards Catalogue'!$A:$A,'Standards Catalogue'!$C:$C,""),IF(B706="P",_xludf.XLOOKUP(A706,'Standards Catalogue'!$A:$A,'Standards Catalogue'!$E:$E,""),IF(B706="S",_xludf.XLOOKUP(A706,'Standards Catalogue'!$A:$A,'Standards Catalogue'!$G:$G,""),""))),"")</f>
        <v/>
      </c>
      <c r="P706" t="str">
        <f t="shared" ref="P706:P769" si="57">IF(M706,N706-2*O706,"")</f>
        <v/>
      </c>
      <c r="Q706" t="str">
        <f t="shared" ref="Q706:Q769" si="58">IF(M706,N706+2*O706,"")</f>
        <v/>
      </c>
      <c r="R706" t="str">
        <f t="shared" ref="R706:R769" si="59">IF(M706,IF(OR(C706="",N706="",O706=""),"",IF(AND(C706&gt;=P706,C706&lt;=Q706),"PASS","FAIL")),"")</f>
        <v/>
      </c>
    </row>
    <row r="707" spans="12:18" x14ac:dyDescent="0.25">
      <c r="L707" t="str">
        <f t="shared" si="55"/>
        <v/>
      </c>
      <c r="M707" t="b">
        <f t="shared" si="56"/>
        <v>0</v>
      </c>
      <c r="N707" t="str">
        <f>IF(M707,IF(B707="Fe",_xludf.XLOOKUP(A707,'Standards Catalogue'!$A:$A,'Standards Catalogue'!$B:$B,""),IF(B707="P",_xludf.XLOOKUP(A707,'Standards Catalogue'!$A:$A,'Standards Catalogue'!$D:$D,""),IF(B707="S",_xludf.XLOOKUP(A707,'Standards Catalogue'!$A:$A,'Standards Catalogue'!$F:$F,""),""))),"")</f>
        <v/>
      </c>
      <c r="O707" t="str">
        <f>IF(M707,IF(B707="Fe",_xludf.XLOOKUP(A707,'Standards Catalogue'!$A:$A,'Standards Catalogue'!$C:$C,""),IF(B707="P",_xludf.XLOOKUP(A707,'Standards Catalogue'!$A:$A,'Standards Catalogue'!$E:$E,""),IF(B707="S",_xludf.XLOOKUP(A707,'Standards Catalogue'!$A:$A,'Standards Catalogue'!$G:$G,""),""))),"")</f>
        <v/>
      </c>
      <c r="P707" t="str">
        <f t="shared" si="57"/>
        <v/>
      </c>
      <c r="Q707" t="str">
        <f t="shared" si="58"/>
        <v/>
      </c>
      <c r="R707" t="str">
        <f t="shared" si="59"/>
        <v/>
      </c>
    </row>
    <row r="708" spans="12:18" x14ac:dyDescent="0.25">
      <c r="L708" t="str">
        <f t="shared" si="55"/>
        <v/>
      </c>
      <c r="M708" t="b">
        <f t="shared" si="56"/>
        <v>0</v>
      </c>
      <c r="N708" t="str">
        <f>IF(M708,IF(B708="Fe",_xludf.XLOOKUP(A708,'Standards Catalogue'!$A:$A,'Standards Catalogue'!$B:$B,""),IF(B708="P",_xludf.XLOOKUP(A708,'Standards Catalogue'!$A:$A,'Standards Catalogue'!$D:$D,""),IF(B708="S",_xludf.XLOOKUP(A708,'Standards Catalogue'!$A:$A,'Standards Catalogue'!$F:$F,""),""))),"")</f>
        <v/>
      </c>
      <c r="O708" t="str">
        <f>IF(M708,IF(B708="Fe",_xludf.XLOOKUP(A708,'Standards Catalogue'!$A:$A,'Standards Catalogue'!$C:$C,""),IF(B708="P",_xludf.XLOOKUP(A708,'Standards Catalogue'!$A:$A,'Standards Catalogue'!$E:$E,""),IF(B708="S",_xludf.XLOOKUP(A708,'Standards Catalogue'!$A:$A,'Standards Catalogue'!$G:$G,""),""))),"")</f>
        <v/>
      </c>
      <c r="P708" t="str">
        <f t="shared" si="57"/>
        <v/>
      </c>
      <c r="Q708" t="str">
        <f t="shared" si="58"/>
        <v/>
      </c>
      <c r="R708" t="str">
        <f t="shared" si="59"/>
        <v/>
      </c>
    </row>
    <row r="709" spans="12:18" x14ac:dyDescent="0.25">
      <c r="L709" t="str">
        <f t="shared" si="55"/>
        <v/>
      </c>
      <c r="M709" t="b">
        <f t="shared" si="56"/>
        <v>0</v>
      </c>
      <c r="N709" t="str">
        <f>IF(M709,IF(B709="Fe",_xludf.XLOOKUP(A709,'Standards Catalogue'!$A:$A,'Standards Catalogue'!$B:$B,""),IF(B709="P",_xludf.XLOOKUP(A709,'Standards Catalogue'!$A:$A,'Standards Catalogue'!$D:$D,""),IF(B709="S",_xludf.XLOOKUP(A709,'Standards Catalogue'!$A:$A,'Standards Catalogue'!$F:$F,""),""))),"")</f>
        <v/>
      </c>
      <c r="O709" t="str">
        <f>IF(M709,IF(B709="Fe",_xludf.XLOOKUP(A709,'Standards Catalogue'!$A:$A,'Standards Catalogue'!$C:$C,""),IF(B709="P",_xludf.XLOOKUP(A709,'Standards Catalogue'!$A:$A,'Standards Catalogue'!$E:$E,""),IF(B709="S",_xludf.XLOOKUP(A709,'Standards Catalogue'!$A:$A,'Standards Catalogue'!$G:$G,""),""))),"")</f>
        <v/>
      </c>
      <c r="P709" t="str">
        <f t="shared" si="57"/>
        <v/>
      </c>
      <c r="Q709" t="str">
        <f t="shared" si="58"/>
        <v/>
      </c>
      <c r="R709" t="str">
        <f t="shared" si="59"/>
        <v/>
      </c>
    </row>
    <row r="710" spans="12:18" x14ac:dyDescent="0.25">
      <c r="L710" t="str">
        <f t="shared" si="55"/>
        <v/>
      </c>
      <c r="M710" t="b">
        <f t="shared" si="56"/>
        <v>0</v>
      </c>
      <c r="N710" t="str">
        <f>IF(M710,IF(B710="Fe",_xludf.XLOOKUP(A710,'Standards Catalogue'!$A:$A,'Standards Catalogue'!$B:$B,""),IF(B710="P",_xludf.XLOOKUP(A710,'Standards Catalogue'!$A:$A,'Standards Catalogue'!$D:$D,""),IF(B710="S",_xludf.XLOOKUP(A710,'Standards Catalogue'!$A:$A,'Standards Catalogue'!$F:$F,""),""))),"")</f>
        <v/>
      </c>
      <c r="O710" t="str">
        <f>IF(M710,IF(B710="Fe",_xludf.XLOOKUP(A710,'Standards Catalogue'!$A:$A,'Standards Catalogue'!$C:$C,""),IF(B710="P",_xludf.XLOOKUP(A710,'Standards Catalogue'!$A:$A,'Standards Catalogue'!$E:$E,""),IF(B710="S",_xludf.XLOOKUP(A710,'Standards Catalogue'!$A:$A,'Standards Catalogue'!$G:$G,""),""))),"")</f>
        <v/>
      </c>
      <c r="P710" t="str">
        <f t="shared" si="57"/>
        <v/>
      </c>
      <c r="Q710" t="str">
        <f t="shared" si="58"/>
        <v/>
      </c>
      <c r="R710" t="str">
        <f t="shared" si="59"/>
        <v/>
      </c>
    </row>
    <row r="711" spans="12:18" x14ac:dyDescent="0.25">
      <c r="L711" t="str">
        <f t="shared" si="55"/>
        <v/>
      </c>
      <c r="M711" t="b">
        <f t="shared" si="56"/>
        <v>0</v>
      </c>
      <c r="N711" t="str">
        <f>IF(M711,IF(B711="Fe",_xludf.XLOOKUP(A711,'Standards Catalogue'!$A:$A,'Standards Catalogue'!$B:$B,""),IF(B711="P",_xludf.XLOOKUP(A711,'Standards Catalogue'!$A:$A,'Standards Catalogue'!$D:$D,""),IF(B711="S",_xludf.XLOOKUP(A711,'Standards Catalogue'!$A:$A,'Standards Catalogue'!$F:$F,""),""))),"")</f>
        <v/>
      </c>
      <c r="O711" t="str">
        <f>IF(M711,IF(B711="Fe",_xludf.XLOOKUP(A711,'Standards Catalogue'!$A:$A,'Standards Catalogue'!$C:$C,""),IF(B711="P",_xludf.XLOOKUP(A711,'Standards Catalogue'!$A:$A,'Standards Catalogue'!$E:$E,""),IF(B711="S",_xludf.XLOOKUP(A711,'Standards Catalogue'!$A:$A,'Standards Catalogue'!$G:$G,""),""))),"")</f>
        <v/>
      </c>
      <c r="P711" t="str">
        <f t="shared" si="57"/>
        <v/>
      </c>
      <c r="Q711" t="str">
        <f t="shared" si="58"/>
        <v/>
      </c>
      <c r="R711" t="str">
        <f t="shared" si="59"/>
        <v/>
      </c>
    </row>
    <row r="712" spans="12:18" x14ac:dyDescent="0.25">
      <c r="L712" t="str">
        <f t="shared" si="55"/>
        <v/>
      </c>
      <c r="M712" t="b">
        <f t="shared" si="56"/>
        <v>0</v>
      </c>
      <c r="N712" t="str">
        <f>IF(M712,IF(B712="Fe",_xludf.XLOOKUP(A712,'Standards Catalogue'!$A:$A,'Standards Catalogue'!$B:$B,""),IF(B712="P",_xludf.XLOOKUP(A712,'Standards Catalogue'!$A:$A,'Standards Catalogue'!$D:$D,""),IF(B712="S",_xludf.XLOOKUP(A712,'Standards Catalogue'!$A:$A,'Standards Catalogue'!$F:$F,""),""))),"")</f>
        <v/>
      </c>
      <c r="O712" t="str">
        <f>IF(M712,IF(B712="Fe",_xludf.XLOOKUP(A712,'Standards Catalogue'!$A:$A,'Standards Catalogue'!$C:$C,""),IF(B712="P",_xludf.XLOOKUP(A712,'Standards Catalogue'!$A:$A,'Standards Catalogue'!$E:$E,""),IF(B712="S",_xludf.XLOOKUP(A712,'Standards Catalogue'!$A:$A,'Standards Catalogue'!$G:$G,""),""))),"")</f>
        <v/>
      </c>
      <c r="P712" t="str">
        <f t="shared" si="57"/>
        <v/>
      </c>
      <c r="Q712" t="str">
        <f t="shared" si="58"/>
        <v/>
      </c>
      <c r="R712" t="str">
        <f t="shared" si="59"/>
        <v/>
      </c>
    </row>
    <row r="713" spans="12:18" x14ac:dyDescent="0.25">
      <c r="L713" t="str">
        <f t="shared" si="55"/>
        <v/>
      </c>
      <c r="M713" t="b">
        <f t="shared" si="56"/>
        <v>0</v>
      </c>
      <c r="N713" t="str">
        <f>IF(M713,IF(B713="Fe",_xludf.XLOOKUP(A713,'Standards Catalogue'!$A:$A,'Standards Catalogue'!$B:$B,""),IF(B713="P",_xludf.XLOOKUP(A713,'Standards Catalogue'!$A:$A,'Standards Catalogue'!$D:$D,""),IF(B713="S",_xludf.XLOOKUP(A713,'Standards Catalogue'!$A:$A,'Standards Catalogue'!$F:$F,""),""))),"")</f>
        <v/>
      </c>
      <c r="O713" t="str">
        <f>IF(M713,IF(B713="Fe",_xludf.XLOOKUP(A713,'Standards Catalogue'!$A:$A,'Standards Catalogue'!$C:$C,""),IF(B713="P",_xludf.XLOOKUP(A713,'Standards Catalogue'!$A:$A,'Standards Catalogue'!$E:$E,""),IF(B713="S",_xludf.XLOOKUP(A713,'Standards Catalogue'!$A:$A,'Standards Catalogue'!$G:$G,""),""))),"")</f>
        <v/>
      </c>
      <c r="P713" t="str">
        <f t="shared" si="57"/>
        <v/>
      </c>
      <c r="Q713" t="str">
        <f t="shared" si="58"/>
        <v/>
      </c>
      <c r="R713" t="str">
        <f t="shared" si="59"/>
        <v/>
      </c>
    </row>
    <row r="714" spans="12:18" x14ac:dyDescent="0.25">
      <c r="L714" t="str">
        <f t="shared" si="55"/>
        <v/>
      </c>
      <c r="M714" t="b">
        <f t="shared" si="56"/>
        <v>0</v>
      </c>
      <c r="N714" t="str">
        <f>IF(M714,IF(B714="Fe",_xludf.XLOOKUP(A714,'Standards Catalogue'!$A:$A,'Standards Catalogue'!$B:$B,""),IF(B714="P",_xludf.XLOOKUP(A714,'Standards Catalogue'!$A:$A,'Standards Catalogue'!$D:$D,""),IF(B714="S",_xludf.XLOOKUP(A714,'Standards Catalogue'!$A:$A,'Standards Catalogue'!$F:$F,""),""))),"")</f>
        <v/>
      </c>
      <c r="O714" t="str">
        <f>IF(M714,IF(B714="Fe",_xludf.XLOOKUP(A714,'Standards Catalogue'!$A:$A,'Standards Catalogue'!$C:$C,""),IF(B714="P",_xludf.XLOOKUP(A714,'Standards Catalogue'!$A:$A,'Standards Catalogue'!$E:$E,""),IF(B714="S",_xludf.XLOOKUP(A714,'Standards Catalogue'!$A:$A,'Standards Catalogue'!$G:$G,""),""))),"")</f>
        <v/>
      </c>
      <c r="P714" t="str">
        <f t="shared" si="57"/>
        <v/>
      </c>
      <c r="Q714" t="str">
        <f t="shared" si="58"/>
        <v/>
      </c>
      <c r="R714" t="str">
        <f t="shared" si="59"/>
        <v/>
      </c>
    </row>
    <row r="715" spans="12:18" x14ac:dyDescent="0.25">
      <c r="L715" t="str">
        <f t="shared" si="55"/>
        <v/>
      </c>
      <c r="M715" t="b">
        <f t="shared" si="56"/>
        <v>0</v>
      </c>
      <c r="N715" t="str">
        <f>IF(M715,IF(B715="Fe",_xludf.XLOOKUP(A715,'Standards Catalogue'!$A:$A,'Standards Catalogue'!$B:$B,""),IF(B715="P",_xludf.XLOOKUP(A715,'Standards Catalogue'!$A:$A,'Standards Catalogue'!$D:$D,""),IF(B715="S",_xludf.XLOOKUP(A715,'Standards Catalogue'!$A:$A,'Standards Catalogue'!$F:$F,""),""))),"")</f>
        <v/>
      </c>
      <c r="O715" t="str">
        <f>IF(M715,IF(B715="Fe",_xludf.XLOOKUP(A715,'Standards Catalogue'!$A:$A,'Standards Catalogue'!$C:$C,""),IF(B715="P",_xludf.XLOOKUP(A715,'Standards Catalogue'!$A:$A,'Standards Catalogue'!$E:$E,""),IF(B715="S",_xludf.XLOOKUP(A715,'Standards Catalogue'!$A:$A,'Standards Catalogue'!$G:$G,""),""))),"")</f>
        <v/>
      </c>
      <c r="P715" t="str">
        <f t="shared" si="57"/>
        <v/>
      </c>
      <c r="Q715" t="str">
        <f t="shared" si="58"/>
        <v/>
      </c>
      <c r="R715" t="str">
        <f t="shared" si="59"/>
        <v/>
      </c>
    </row>
    <row r="716" spans="12:18" x14ac:dyDescent="0.25">
      <c r="L716" t="str">
        <f t="shared" si="55"/>
        <v/>
      </c>
      <c r="M716" t="b">
        <f t="shared" si="56"/>
        <v>0</v>
      </c>
      <c r="N716" t="str">
        <f>IF(M716,IF(B716="Fe",_xludf.XLOOKUP(A716,'Standards Catalogue'!$A:$A,'Standards Catalogue'!$B:$B,""),IF(B716="P",_xludf.XLOOKUP(A716,'Standards Catalogue'!$A:$A,'Standards Catalogue'!$D:$D,""),IF(B716="S",_xludf.XLOOKUP(A716,'Standards Catalogue'!$A:$A,'Standards Catalogue'!$F:$F,""),""))),"")</f>
        <v/>
      </c>
      <c r="O716" t="str">
        <f>IF(M716,IF(B716="Fe",_xludf.XLOOKUP(A716,'Standards Catalogue'!$A:$A,'Standards Catalogue'!$C:$C,""),IF(B716="P",_xludf.XLOOKUP(A716,'Standards Catalogue'!$A:$A,'Standards Catalogue'!$E:$E,""),IF(B716="S",_xludf.XLOOKUP(A716,'Standards Catalogue'!$A:$A,'Standards Catalogue'!$G:$G,""),""))),"")</f>
        <v/>
      </c>
      <c r="P716" t="str">
        <f t="shared" si="57"/>
        <v/>
      </c>
      <c r="Q716" t="str">
        <f t="shared" si="58"/>
        <v/>
      </c>
      <c r="R716" t="str">
        <f t="shared" si="59"/>
        <v/>
      </c>
    </row>
    <row r="717" spans="12:18" x14ac:dyDescent="0.25">
      <c r="L717" t="str">
        <f t="shared" si="55"/>
        <v/>
      </c>
      <c r="M717" t="b">
        <f t="shared" si="56"/>
        <v>0</v>
      </c>
      <c r="N717" t="str">
        <f>IF(M717,IF(B717="Fe",_xludf.XLOOKUP(A717,'Standards Catalogue'!$A:$A,'Standards Catalogue'!$B:$B,""),IF(B717="P",_xludf.XLOOKUP(A717,'Standards Catalogue'!$A:$A,'Standards Catalogue'!$D:$D,""),IF(B717="S",_xludf.XLOOKUP(A717,'Standards Catalogue'!$A:$A,'Standards Catalogue'!$F:$F,""),""))),"")</f>
        <v/>
      </c>
      <c r="O717" t="str">
        <f>IF(M717,IF(B717="Fe",_xludf.XLOOKUP(A717,'Standards Catalogue'!$A:$A,'Standards Catalogue'!$C:$C,""),IF(B717="P",_xludf.XLOOKUP(A717,'Standards Catalogue'!$A:$A,'Standards Catalogue'!$E:$E,""),IF(B717="S",_xludf.XLOOKUP(A717,'Standards Catalogue'!$A:$A,'Standards Catalogue'!$G:$G,""),""))),"")</f>
        <v/>
      </c>
      <c r="P717" t="str">
        <f t="shared" si="57"/>
        <v/>
      </c>
      <c r="Q717" t="str">
        <f t="shared" si="58"/>
        <v/>
      </c>
      <c r="R717" t="str">
        <f t="shared" si="59"/>
        <v/>
      </c>
    </row>
    <row r="718" spans="12:18" x14ac:dyDescent="0.25">
      <c r="L718" t="str">
        <f t="shared" si="55"/>
        <v/>
      </c>
      <c r="M718" t="b">
        <f t="shared" si="56"/>
        <v>0</v>
      </c>
      <c r="N718" t="str">
        <f>IF(M718,IF(B718="Fe",_xludf.XLOOKUP(A718,'Standards Catalogue'!$A:$A,'Standards Catalogue'!$B:$B,""),IF(B718="P",_xludf.XLOOKUP(A718,'Standards Catalogue'!$A:$A,'Standards Catalogue'!$D:$D,""),IF(B718="S",_xludf.XLOOKUP(A718,'Standards Catalogue'!$A:$A,'Standards Catalogue'!$F:$F,""),""))),"")</f>
        <v/>
      </c>
      <c r="O718" t="str">
        <f>IF(M718,IF(B718="Fe",_xludf.XLOOKUP(A718,'Standards Catalogue'!$A:$A,'Standards Catalogue'!$C:$C,""),IF(B718="P",_xludf.XLOOKUP(A718,'Standards Catalogue'!$A:$A,'Standards Catalogue'!$E:$E,""),IF(B718="S",_xludf.XLOOKUP(A718,'Standards Catalogue'!$A:$A,'Standards Catalogue'!$G:$G,""),""))),"")</f>
        <v/>
      </c>
      <c r="P718" t="str">
        <f t="shared" si="57"/>
        <v/>
      </c>
      <c r="Q718" t="str">
        <f t="shared" si="58"/>
        <v/>
      </c>
      <c r="R718" t="str">
        <f t="shared" si="59"/>
        <v/>
      </c>
    </row>
    <row r="719" spans="12:18" x14ac:dyDescent="0.25">
      <c r="L719" t="str">
        <f t="shared" si="55"/>
        <v/>
      </c>
      <c r="M719" t="b">
        <f t="shared" si="56"/>
        <v>0</v>
      </c>
      <c r="N719" t="str">
        <f>IF(M719,IF(B719="Fe",_xludf.XLOOKUP(A719,'Standards Catalogue'!$A:$A,'Standards Catalogue'!$B:$B,""),IF(B719="P",_xludf.XLOOKUP(A719,'Standards Catalogue'!$A:$A,'Standards Catalogue'!$D:$D,""),IF(B719="S",_xludf.XLOOKUP(A719,'Standards Catalogue'!$A:$A,'Standards Catalogue'!$F:$F,""),""))),"")</f>
        <v/>
      </c>
      <c r="O719" t="str">
        <f>IF(M719,IF(B719="Fe",_xludf.XLOOKUP(A719,'Standards Catalogue'!$A:$A,'Standards Catalogue'!$C:$C,""),IF(B719="P",_xludf.XLOOKUP(A719,'Standards Catalogue'!$A:$A,'Standards Catalogue'!$E:$E,""),IF(B719="S",_xludf.XLOOKUP(A719,'Standards Catalogue'!$A:$A,'Standards Catalogue'!$G:$G,""),""))),"")</f>
        <v/>
      </c>
      <c r="P719" t="str">
        <f t="shared" si="57"/>
        <v/>
      </c>
      <c r="Q719" t="str">
        <f t="shared" si="58"/>
        <v/>
      </c>
      <c r="R719" t="str">
        <f t="shared" si="59"/>
        <v/>
      </c>
    </row>
    <row r="720" spans="12:18" x14ac:dyDescent="0.25">
      <c r="L720" t="str">
        <f t="shared" si="55"/>
        <v/>
      </c>
      <c r="M720" t="b">
        <f t="shared" si="56"/>
        <v>0</v>
      </c>
      <c r="N720" t="str">
        <f>IF(M720,IF(B720="Fe",_xludf.XLOOKUP(A720,'Standards Catalogue'!$A:$A,'Standards Catalogue'!$B:$B,""),IF(B720="P",_xludf.XLOOKUP(A720,'Standards Catalogue'!$A:$A,'Standards Catalogue'!$D:$D,""),IF(B720="S",_xludf.XLOOKUP(A720,'Standards Catalogue'!$A:$A,'Standards Catalogue'!$F:$F,""),""))),"")</f>
        <v/>
      </c>
      <c r="O720" t="str">
        <f>IF(M720,IF(B720="Fe",_xludf.XLOOKUP(A720,'Standards Catalogue'!$A:$A,'Standards Catalogue'!$C:$C,""),IF(B720="P",_xludf.XLOOKUP(A720,'Standards Catalogue'!$A:$A,'Standards Catalogue'!$E:$E,""),IF(B720="S",_xludf.XLOOKUP(A720,'Standards Catalogue'!$A:$A,'Standards Catalogue'!$G:$G,""),""))),"")</f>
        <v/>
      </c>
      <c r="P720" t="str">
        <f t="shared" si="57"/>
        <v/>
      </c>
      <c r="Q720" t="str">
        <f t="shared" si="58"/>
        <v/>
      </c>
      <c r="R720" t="str">
        <f t="shared" si="59"/>
        <v/>
      </c>
    </row>
    <row r="721" spans="12:18" x14ac:dyDescent="0.25">
      <c r="L721" t="str">
        <f t="shared" si="55"/>
        <v/>
      </c>
      <c r="M721" t="b">
        <f t="shared" si="56"/>
        <v>0</v>
      </c>
      <c r="N721" t="str">
        <f>IF(M721,IF(B721="Fe",_xludf.XLOOKUP(A721,'Standards Catalogue'!$A:$A,'Standards Catalogue'!$B:$B,""),IF(B721="P",_xludf.XLOOKUP(A721,'Standards Catalogue'!$A:$A,'Standards Catalogue'!$D:$D,""),IF(B721="S",_xludf.XLOOKUP(A721,'Standards Catalogue'!$A:$A,'Standards Catalogue'!$F:$F,""),""))),"")</f>
        <v/>
      </c>
      <c r="O721" t="str">
        <f>IF(M721,IF(B721="Fe",_xludf.XLOOKUP(A721,'Standards Catalogue'!$A:$A,'Standards Catalogue'!$C:$C,""),IF(B721="P",_xludf.XLOOKUP(A721,'Standards Catalogue'!$A:$A,'Standards Catalogue'!$E:$E,""),IF(B721="S",_xludf.XLOOKUP(A721,'Standards Catalogue'!$A:$A,'Standards Catalogue'!$G:$G,""),""))),"")</f>
        <v/>
      </c>
      <c r="P721" t="str">
        <f t="shared" si="57"/>
        <v/>
      </c>
      <c r="Q721" t="str">
        <f t="shared" si="58"/>
        <v/>
      </c>
      <c r="R721" t="str">
        <f t="shared" si="59"/>
        <v/>
      </c>
    </row>
    <row r="722" spans="12:18" x14ac:dyDescent="0.25">
      <c r="L722" t="str">
        <f t="shared" si="55"/>
        <v/>
      </c>
      <c r="M722" t="b">
        <f t="shared" si="56"/>
        <v>0</v>
      </c>
      <c r="N722" t="str">
        <f>IF(M722,IF(B722="Fe",_xludf.XLOOKUP(A722,'Standards Catalogue'!$A:$A,'Standards Catalogue'!$B:$B,""),IF(B722="P",_xludf.XLOOKUP(A722,'Standards Catalogue'!$A:$A,'Standards Catalogue'!$D:$D,""),IF(B722="S",_xludf.XLOOKUP(A722,'Standards Catalogue'!$A:$A,'Standards Catalogue'!$F:$F,""),""))),"")</f>
        <v/>
      </c>
      <c r="O722" t="str">
        <f>IF(M722,IF(B722="Fe",_xludf.XLOOKUP(A722,'Standards Catalogue'!$A:$A,'Standards Catalogue'!$C:$C,""),IF(B722="P",_xludf.XLOOKUP(A722,'Standards Catalogue'!$A:$A,'Standards Catalogue'!$E:$E,""),IF(B722="S",_xludf.XLOOKUP(A722,'Standards Catalogue'!$A:$A,'Standards Catalogue'!$G:$G,""),""))),"")</f>
        <v/>
      </c>
      <c r="P722" t="str">
        <f t="shared" si="57"/>
        <v/>
      </c>
      <c r="Q722" t="str">
        <f t="shared" si="58"/>
        <v/>
      </c>
      <c r="R722" t="str">
        <f t="shared" si="59"/>
        <v/>
      </c>
    </row>
    <row r="723" spans="12:18" x14ac:dyDescent="0.25">
      <c r="L723" t="str">
        <f t="shared" si="55"/>
        <v/>
      </c>
      <c r="M723" t="b">
        <f t="shared" si="56"/>
        <v>0</v>
      </c>
      <c r="N723" t="str">
        <f>IF(M723,IF(B723="Fe",_xludf.XLOOKUP(A723,'Standards Catalogue'!$A:$A,'Standards Catalogue'!$B:$B,""),IF(B723="P",_xludf.XLOOKUP(A723,'Standards Catalogue'!$A:$A,'Standards Catalogue'!$D:$D,""),IF(B723="S",_xludf.XLOOKUP(A723,'Standards Catalogue'!$A:$A,'Standards Catalogue'!$F:$F,""),""))),"")</f>
        <v/>
      </c>
      <c r="O723" t="str">
        <f>IF(M723,IF(B723="Fe",_xludf.XLOOKUP(A723,'Standards Catalogue'!$A:$A,'Standards Catalogue'!$C:$C,""),IF(B723="P",_xludf.XLOOKUP(A723,'Standards Catalogue'!$A:$A,'Standards Catalogue'!$E:$E,""),IF(B723="S",_xludf.XLOOKUP(A723,'Standards Catalogue'!$A:$A,'Standards Catalogue'!$G:$G,""),""))),"")</f>
        <v/>
      </c>
      <c r="P723" t="str">
        <f t="shared" si="57"/>
        <v/>
      </c>
      <c r="Q723" t="str">
        <f t="shared" si="58"/>
        <v/>
      </c>
      <c r="R723" t="str">
        <f t="shared" si="59"/>
        <v/>
      </c>
    </row>
    <row r="724" spans="12:18" x14ac:dyDescent="0.25">
      <c r="L724" t="str">
        <f t="shared" si="55"/>
        <v/>
      </c>
      <c r="M724" t="b">
        <f t="shared" si="56"/>
        <v>0</v>
      </c>
      <c r="N724" t="str">
        <f>IF(M724,IF(B724="Fe",_xludf.XLOOKUP(A724,'Standards Catalogue'!$A:$A,'Standards Catalogue'!$B:$B,""),IF(B724="P",_xludf.XLOOKUP(A724,'Standards Catalogue'!$A:$A,'Standards Catalogue'!$D:$D,""),IF(B724="S",_xludf.XLOOKUP(A724,'Standards Catalogue'!$A:$A,'Standards Catalogue'!$F:$F,""),""))),"")</f>
        <v/>
      </c>
      <c r="O724" t="str">
        <f>IF(M724,IF(B724="Fe",_xludf.XLOOKUP(A724,'Standards Catalogue'!$A:$A,'Standards Catalogue'!$C:$C,""),IF(B724="P",_xludf.XLOOKUP(A724,'Standards Catalogue'!$A:$A,'Standards Catalogue'!$E:$E,""),IF(B724="S",_xludf.XLOOKUP(A724,'Standards Catalogue'!$A:$A,'Standards Catalogue'!$G:$G,""),""))),"")</f>
        <v/>
      </c>
      <c r="P724" t="str">
        <f t="shared" si="57"/>
        <v/>
      </c>
      <c r="Q724" t="str">
        <f t="shared" si="58"/>
        <v/>
      </c>
      <c r="R724" t="str">
        <f t="shared" si="59"/>
        <v/>
      </c>
    </row>
    <row r="725" spans="12:18" x14ac:dyDescent="0.25">
      <c r="L725" t="str">
        <f t="shared" si="55"/>
        <v/>
      </c>
      <c r="M725" t="b">
        <f t="shared" si="56"/>
        <v>0</v>
      </c>
      <c r="N725" t="str">
        <f>IF(M725,IF(B725="Fe",_xludf.XLOOKUP(A725,'Standards Catalogue'!$A:$A,'Standards Catalogue'!$B:$B,""),IF(B725="P",_xludf.XLOOKUP(A725,'Standards Catalogue'!$A:$A,'Standards Catalogue'!$D:$D,""),IF(B725="S",_xludf.XLOOKUP(A725,'Standards Catalogue'!$A:$A,'Standards Catalogue'!$F:$F,""),""))),"")</f>
        <v/>
      </c>
      <c r="O725" t="str">
        <f>IF(M725,IF(B725="Fe",_xludf.XLOOKUP(A725,'Standards Catalogue'!$A:$A,'Standards Catalogue'!$C:$C,""),IF(B725="P",_xludf.XLOOKUP(A725,'Standards Catalogue'!$A:$A,'Standards Catalogue'!$E:$E,""),IF(B725="S",_xludf.XLOOKUP(A725,'Standards Catalogue'!$A:$A,'Standards Catalogue'!$G:$G,""),""))),"")</f>
        <v/>
      </c>
      <c r="P725" t="str">
        <f t="shared" si="57"/>
        <v/>
      </c>
      <c r="Q725" t="str">
        <f t="shared" si="58"/>
        <v/>
      </c>
      <c r="R725" t="str">
        <f t="shared" si="59"/>
        <v/>
      </c>
    </row>
    <row r="726" spans="12:18" x14ac:dyDescent="0.25">
      <c r="L726" t="str">
        <f t="shared" si="55"/>
        <v/>
      </c>
      <c r="M726" t="b">
        <f t="shared" si="56"/>
        <v>0</v>
      </c>
      <c r="N726" t="str">
        <f>IF(M726,IF(B726="Fe",_xludf.XLOOKUP(A726,'Standards Catalogue'!$A:$A,'Standards Catalogue'!$B:$B,""),IF(B726="P",_xludf.XLOOKUP(A726,'Standards Catalogue'!$A:$A,'Standards Catalogue'!$D:$D,""),IF(B726="S",_xludf.XLOOKUP(A726,'Standards Catalogue'!$A:$A,'Standards Catalogue'!$F:$F,""),""))),"")</f>
        <v/>
      </c>
      <c r="O726" t="str">
        <f>IF(M726,IF(B726="Fe",_xludf.XLOOKUP(A726,'Standards Catalogue'!$A:$A,'Standards Catalogue'!$C:$C,""),IF(B726="P",_xludf.XLOOKUP(A726,'Standards Catalogue'!$A:$A,'Standards Catalogue'!$E:$E,""),IF(B726="S",_xludf.XLOOKUP(A726,'Standards Catalogue'!$A:$A,'Standards Catalogue'!$G:$G,""),""))),"")</f>
        <v/>
      </c>
      <c r="P726" t="str">
        <f t="shared" si="57"/>
        <v/>
      </c>
      <c r="Q726" t="str">
        <f t="shared" si="58"/>
        <v/>
      </c>
      <c r="R726" t="str">
        <f t="shared" si="59"/>
        <v/>
      </c>
    </row>
    <row r="727" spans="12:18" x14ac:dyDescent="0.25">
      <c r="L727" t="str">
        <f t="shared" si="55"/>
        <v/>
      </c>
      <c r="M727" t="b">
        <f t="shared" si="56"/>
        <v>0</v>
      </c>
      <c r="N727" t="str">
        <f>IF(M727,IF(B727="Fe",_xludf.XLOOKUP(A727,'Standards Catalogue'!$A:$A,'Standards Catalogue'!$B:$B,""),IF(B727="P",_xludf.XLOOKUP(A727,'Standards Catalogue'!$A:$A,'Standards Catalogue'!$D:$D,""),IF(B727="S",_xludf.XLOOKUP(A727,'Standards Catalogue'!$A:$A,'Standards Catalogue'!$F:$F,""),""))),"")</f>
        <v/>
      </c>
      <c r="O727" t="str">
        <f>IF(M727,IF(B727="Fe",_xludf.XLOOKUP(A727,'Standards Catalogue'!$A:$A,'Standards Catalogue'!$C:$C,""),IF(B727="P",_xludf.XLOOKUP(A727,'Standards Catalogue'!$A:$A,'Standards Catalogue'!$E:$E,""),IF(B727="S",_xludf.XLOOKUP(A727,'Standards Catalogue'!$A:$A,'Standards Catalogue'!$G:$G,""),""))),"")</f>
        <v/>
      </c>
      <c r="P727" t="str">
        <f t="shared" si="57"/>
        <v/>
      </c>
      <c r="Q727" t="str">
        <f t="shared" si="58"/>
        <v/>
      </c>
      <c r="R727" t="str">
        <f t="shared" si="59"/>
        <v/>
      </c>
    </row>
    <row r="728" spans="12:18" x14ac:dyDescent="0.25">
      <c r="L728" t="str">
        <f t="shared" si="55"/>
        <v/>
      </c>
      <c r="M728" t="b">
        <f t="shared" si="56"/>
        <v>0</v>
      </c>
      <c r="N728" t="str">
        <f>IF(M728,IF(B728="Fe",_xludf.XLOOKUP(A728,'Standards Catalogue'!$A:$A,'Standards Catalogue'!$B:$B,""),IF(B728="P",_xludf.XLOOKUP(A728,'Standards Catalogue'!$A:$A,'Standards Catalogue'!$D:$D,""),IF(B728="S",_xludf.XLOOKUP(A728,'Standards Catalogue'!$A:$A,'Standards Catalogue'!$F:$F,""),""))),"")</f>
        <v/>
      </c>
      <c r="O728" t="str">
        <f>IF(M728,IF(B728="Fe",_xludf.XLOOKUP(A728,'Standards Catalogue'!$A:$A,'Standards Catalogue'!$C:$C,""),IF(B728="P",_xludf.XLOOKUP(A728,'Standards Catalogue'!$A:$A,'Standards Catalogue'!$E:$E,""),IF(B728="S",_xludf.XLOOKUP(A728,'Standards Catalogue'!$A:$A,'Standards Catalogue'!$G:$G,""),""))),"")</f>
        <v/>
      </c>
      <c r="P728" t="str">
        <f t="shared" si="57"/>
        <v/>
      </c>
      <c r="Q728" t="str">
        <f t="shared" si="58"/>
        <v/>
      </c>
      <c r="R728" t="str">
        <f t="shared" si="59"/>
        <v/>
      </c>
    </row>
    <row r="729" spans="12:18" x14ac:dyDescent="0.25">
      <c r="L729" t="str">
        <f t="shared" si="55"/>
        <v/>
      </c>
      <c r="M729" t="b">
        <f t="shared" si="56"/>
        <v>0</v>
      </c>
      <c r="N729" t="str">
        <f>IF(M729,IF(B729="Fe",_xludf.XLOOKUP(A729,'Standards Catalogue'!$A:$A,'Standards Catalogue'!$B:$B,""),IF(B729="P",_xludf.XLOOKUP(A729,'Standards Catalogue'!$A:$A,'Standards Catalogue'!$D:$D,""),IF(B729="S",_xludf.XLOOKUP(A729,'Standards Catalogue'!$A:$A,'Standards Catalogue'!$F:$F,""),""))),"")</f>
        <v/>
      </c>
      <c r="O729" t="str">
        <f>IF(M729,IF(B729="Fe",_xludf.XLOOKUP(A729,'Standards Catalogue'!$A:$A,'Standards Catalogue'!$C:$C,""),IF(B729="P",_xludf.XLOOKUP(A729,'Standards Catalogue'!$A:$A,'Standards Catalogue'!$E:$E,""),IF(B729="S",_xludf.XLOOKUP(A729,'Standards Catalogue'!$A:$A,'Standards Catalogue'!$G:$G,""),""))),"")</f>
        <v/>
      </c>
      <c r="P729" t="str">
        <f t="shared" si="57"/>
        <v/>
      </c>
      <c r="Q729" t="str">
        <f t="shared" si="58"/>
        <v/>
      </c>
      <c r="R729" t="str">
        <f t="shared" si="59"/>
        <v/>
      </c>
    </row>
    <row r="730" spans="12:18" x14ac:dyDescent="0.25">
      <c r="L730" t="str">
        <f t="shared" si="55"/>
        <v/>
      </c>
      <c r="M730" t="b">
        <f t="shared" si="56"/>
        <v>0</v>
      </c>
      <c r="N730" t="str">
        <f>IF(M730,IF(B730="Fe",_xludf.XLOOKUP(A730,'Standards Catalogue'!$A:$A,'Standards Catalogue'!$B:$B,""),IF(B730="P",_xludf.XLOOKUP(A730,'Standards Catalogue'!$A:$A,'Standards Catalogue'!$D:$D,""),IF(B730="S",_xludf.XLOOKUP(A730,'Standards Catalogue'!$A:$A,'Standards Catalogue'!$F:$F,""),""))),"")</f>
        <v/>
      </c>
      <c r="O730" t="str">
        <f>IF(M730,IF(B730="Fe",_xludf.XLOOKUP(A730,'Standards Catalogue'!$A:$A,'Standards Catalogue'!$C:$C,""),IF(B730="P",_xludf.XLOOKUP(A730,'Standards Catalogue'!$A:$A,'Standards Catalogue'!$E:$E,""),IF(B730="S",_xludf.XLOOKUP(A730,'Standards Catalogue'!$A:$A,'Standards Catalogue'!$G:$G,""),""))),"")</f>
        <v/>
      </c>
      <c r="P730" t="str">
        <f t="shared" si="57"/>
        <v/>
      </c>
      <c r="Q730" t="str">
        <f t="shared" si="58"/>
        <v/>
      </c>
      <c r="R730" t="str">
        <f t="shared" si="59"/>
        <v/>
      </c>
    </row>
    <row r="731" spans="12:18" x14ac:dyDescent="0.25">
      <c r="L731" t="str">
        <f t="shared" si="55"/>
        <v/>
      </c>
      <c r="M731" t="b">
        <f t="shared" si="56"/>
        <v>0</v>
      </c>
      <c r="N731" t="str">
        <f>IF(M731,IF(B731="Fe",_xludf.XLOOKUP(A731,'Standards Catalogue'!$A:$A,'Standards Catalogue'!$B:$B,""),IF(B731="P",_xludf.XLOOKUP(A731,'Standards Catalogue'!$A:$A,'Standards Catalogue'!$D:$D,""),IF(B731="S",_xludf.XLOOKUP(A731,'Standards Catalogue'!$A:$A,'Standards Catalogue'!$F:$F,""),""))),"")</f>
        <v/>
      </c>
      <c r="O731" t="str">
        <f>IF(M731,IF(B731="Fe",_xludf.XLOOKUP(A731,'Standards Catalogue'!$A:$A,'Standards Catalogue'!$C:$C,""),IF(B731="P",_xludf.XLOOKUP(A731,'Standards Catalogue'!$A:$A,'Standards Catalogue'!$E:$E,""),IF(B731="S",_xludf.XLOOKUP(A731,'Standards Catalogue'!$A:$A,'Standards Catalogue'!$G:$G,""),""))),"")</f>
        <v/>
      </c>
      <c r="P731" t="str">
        <f t="shared" si="57"/>
        <v/>
      </c>
      <c r="Q731" t="str">
        <f t="shared" si="58"/>
        <v/>
      </c>
      <c r="R731" t="str">
        <f t="shared" si="59"/>
        <v/>
      </c>
    </row>
    <row r="732" spans="12:18" x14ac:dyDescent="0.25">
      <c r="L732" t="str">
        <f t="shared" si="55"/>
        <v/>
      </c>
      <c r="M732" t="b">
        <f t="shared" si="56"/>
        <v>0</v>
      </c>
      <c r="N732" t="str">
        <f>IF(M732,IF(B732="Fe",_xludf.XLOOKUP(A732,'Standards Catalogue'!$A:$A,'Standards Catalogue'!$B:$B,""),IF(B732="P",_xludf.XLOOKUP(A732,'Standards Catalogue'!$A:$A,'Standards Catalogue'!$D:$D,""),IF(B732="S",_xludf.XLOOKUP(A732,'Standards Catalogue'!$A:$A,'Standards Catalogue'!$F:$F,""),""))),"")</f>
        <v/>
      </c>
      <c r="O732" t="str">
        <f>IF(M732,IF(B732="Fe",_xludf.XLOOKUP(A732,'Standards Catalogue'!$A:$A,'Standards Catalogue'!$C:$C,""),IF(B732="P",_xludf.XLOOKUP(A732,'Standards Catalogue'!$A:$A,'Standards Catalogue'!$E:$E,""),IF(B732="S",_xludf.XLOOKUP(A732,'Standards Catalogue'!$A:$A,'Standards Catalogue'!$G:$G,""),""))),"")</f>
        <v/>
      </c>
      <c r="P732" t="str">
        <f t="shared" si="57"/>
        <v/>
      </c>
      <c r="Q732" t="str">
        <f t="shared" si="58"/>
        <v/>
      </c>
      <c r="R732" t="str">
        <f t="shared" si="59"/>
        <v/>
      </c>
    </row>
    <row r="733" spans="12:18" x14ac:dyDescent="0.25">
      <c r="L733" t="str">
        <f t="shared" si="55"/>
        <v/>
      </c>
      <c r="M733" t="b">
        <f t="shared" si="56"/>
        <v>0</v>
      </c>
      <c r="N733" t="str">
        <f>IF(M733,IF(B733="Fe",_xludf.XLOOKUP(A733,'Standards Catalogue'!$A:$A,'Standards Catalogue'!$B:$B,""),IF(B733="P",_xludf.XLOOKUP(A733,'Standards Catalogue'!$A:$A,'Standards Catalogue'!$D:$D,""),IF(B733="S",_xludf.XLOOKUP(A733,'Standards Catalogue'!$A:$A,'Standards Catalogue'!$F:$F,""),""))),"")</f>
        <v/>
      </c>
      <c r="O733" t="str">
        <f>IF(M733,IF(B733="Fe",_xludf.XLOOKUP(A733,'Standards Catalogue'!$A:$A,'Standards Catalogue'!$C:$C,""),IF(B733="P",_xludf.XLOOKUP(A733,'Standards Catalogue'!$A:$A,'Standards Catalogue'!$E:$E,""),IF(B733="S",_xludf.XLOOKUP(A733,'Standards Catalogue'!$A:$A,'Standards Catalogue'!$G:$G,""),""))),"")</f>
        <v/>
      </c>
      <c r="P733" t="str">
        <f t="shared" si="57"/>
        <v/>
      </c>
      <c r="Q733" t="str">
        <f t="shared" si="58"/>
        <v/>
      </c>
      <c r="R733" t="str">
        <f t="shared" si="59"/>
        <v/>
      </c>
    </row>
    <row r="734" spans="12:18" x14ac:dyDescent="0.25">
      <c r="L734" t="str">
        <f t="shared" si="55"/>
        <v/>
      </c>
      <c r="M734" t="b">
        <f t="shared" si="56"/>
        <v>0</v>
      </c>
      <c r="N734" t="str">
        <f>IF(M734,IF(B734="Fe",_xludf.XLOOKUP(A734,'Standards Catalogue'!$A:$A,'Standards Catalogue'!$B:$B,""),IF(B734="P",_xludf.XLOOKUP(A734,'Standards Catalogue'!$A:$A,'Standards Catalogue'!$D:$D,""),IF(B734="S",_xludf.XLOOKUP(A734,'Standards Catalogue'!$A:$A,'Standards Catalogue'!$F:$F,""),""))),"")</f>
        <v/>
      </c>
      <c r="O734" t="str">
        <f>IF(M734,IF(B734="Fe",_xludf.XLOOKUP(A734,'Standards Catalogue'!$A:$A,'Standards Catalogue'!$C:$C,""),IF(B734="P",_xludf.XLOOKUP(A734,'Standards Catalogue'!$A:$A,'Standards Catalogue'!$E:$E,""),IF(B734="S",_xludf.XLOOKUP(A734,'Standards Catalogue'!$A:$A,'Standards Catalogue'!$G:$G,""),""))),"")</f>
        <v/>
      </c>
      <c r="P734" t="str">
        <f t="shared" si="57"/>
        <v/>
      </c>
      <c r="Q734" t="str">
        <f t="shared" si="58"/>
        <v/>
      </c>
      <c r="R734" t="str">
        <f t="shared" si="59"/>
        <v/>
      </c>
    </row>
    <row r="735" spans="12:18" x14ac:dyDescent="0.25">
      <c r="L735" t="str">
        <f t="shared" si="55"/>
        <v/>
      </c>
      <c r="M735" t="b">
        <f t="shared" si="56"/>
        <v>0</v>
      </c>
      <c r="N735" t="str">
        <f>IF(M735,IF(B735="Fe",_xludf.XLOOKUP(A735,'Standards Catalogue'!$A:$A,'Standards Catalogue'!$B:$B,""),IF(B735="P",_xludf.XLOOKUP(A735,'Standards Catalogue'!$A:$A,'Standards Catalogue'!$D:$D,""),IF(B735="S",_xludf.XLOOKUP(A735,'Standards Catalogue'!$A:$A,'Standards Catalogue'!$F:$F,""),""))),"")</f>
        <v/>
      </c>
      <c r="O735" t="str">
        <f>IF(M735,IF(B735="Fe",_xludf.XLOOKUP(A735,'Standards Catalogue'!$A:$A,'Standards Catalogue'!$C:$C,""),IF(B735="P",_xludf.XLOOKUP(A735,'Standards Catalogue'!$A:$A,'Standards Catalogue'!$E:$E,""),IF(B735="S",_xludf.XLOOKUP(A735,'Standards Catalogue'!$A:$A,'Standards Catalogue'!$G:$G,""),""))),"")</f>
        <v/>
      </c>
      <c r="P735" t="str">
        <f t="shared" si="57"/>
        <v/>
      </c>
      <c r="Q735" t="str">
        <f t="shared" si="58"/>
        <v/>
      </c>
      <c r="R735" t="str">
        <f t="shared" si="59"/>
        <v/>
      </c>
    </row>
    <row r="736" spans="12:18" x14ac:dyDescent="0.25">
      <c r="L736" t="str">
        <f t="shared" si="55"/>
        <v/>
      </c>
      <c r="M736" t="b">
        <f t="shared" si="56"/>
        <v>0</v>
      </c>
      <c r="N736" t="str">
        <f>IF(M736,IF(B736="Fe",_xludf.XLOOKUP(A736,'Standards Catalogue'!$A:$A,'Standards Catalogue'!$B:$B,""),IF(B736="P",_xludf.XLOOKUP(A736,'Standards Catalogue'!$A:$A,'Standards Catalogue'!$D:$D,""),IF(B736="S",_xludf.XLOOKUP(A736,'Standards Catalogue'!$A:$A,'Standards Catalogue'!$F:$F,""),""))),"")</f>
        <v/>
      </c>
      <c r="O736" t="str">
        <f>IF(M736,IF(B736="Fe",_xludf.XLOOKUP(A736,'Standards Catalogue'!$A:$A,'Standards Catalogue'!$C:$C,""),IF(B736="P",_xludf.XLOOKUP(A736,'Standards Catalogue'!$A:$A,'Standards Catalogue'!$E:$E,""),IF(B736="S",_xludf.XLOOKUP(A736,'Standards Catalogue'!$A:$A,'Standards Catalogue'!$G:$G,""),""))),"")</f>
        <v/>
      </c>
      <c r="P736" t="str">
        <f t="shared" si="57"/>
        <v/>
      </c>
      <c r="Q736" t="str">
        <f t="shared" si="58"/>
        <v/>
      </c>
      <c r="R736" t="str">
        <f t="shared" si="59"/>
        <v/>
      </c>
    </row>
    <row r="737" spans="12:18" x14ac:dyDescent="0.25">
      <c r="L737" t="str">
        <f t="shared" si="55"/>
        <v/>
      </c>
      <c r="M737" t="b">
        <f t="shared" si="56"/>
        <v>0</v>
      </c>
      <c r="N737" t="str">
        <f>IF(M737,IF(B737="Fe",_xludf.XLOOKUP(A737,'Standards Catalogue'!$A:$A,'Standards Catalogue'!$B:$B,""),IF(B737="P",_xludf.XLOOKUP(A737,'Standards Catalogue'!$A:$A,'Standards Catalogue'!$D:$D,""),IF(B737="S",_xludf.XLOOKUP(A737,'Standards Catalogue'!$A:$A,'Standards Catalogue'!$F:$F,""),""))),"")</f>
        <v/>
      </c>
      <c r="O737" t="str">
        <f>IF(M737,IF(B737="Fe",_xludf.XLOOKUP(A737,'Standards Catalogue'!$A:$A,'Standards Catalogue'!$C:$C,""),IF(B737="P",_xludf.XLOOKUP(A737,'Standards Catalogue'!$A:$A,'Standards Catalogue'!$E:$E,""),IF(B737="S",_xludf.XLOOKUP(A737,'Standards Catalogue'!$A:$A,'Standards Catalogue'!$G:$G,""),""))),"")</f>
        <v/>
      </c>
      <c r="P737" t="str">
        <f t="shared" si="57"/>
        <v/>
      </c>
      <c r="Q737" t="str">
        <f t="shared" si="58"/>
        <v/>
      </c>
      <c r="R737" t="str">
        <f t="shared" si="59"/>
        <v/>
      </c>
    </row>
    <row r="738" spans="12:18" x14ac:dyDescent="0.25">
      <c r="L738" t="str">
        <f t="shared" si="55"/>
        <v/>
      </c>
      <c r="M738" t="b">
        <f t="shared" si="56"/>
        <v>0</v>
      </c>
      <c r="N738" t="str">
        <f>IF(M738,IF(B738="Fe",_xludf.XLOOKUP(A738,'Standards Catalogue'!$A:$A,'Standards Catalogue'!$B:$B,""),IF(B738="P",_xludf.XLOOKUP(A738,'Standards Catalogue'!$A:$A,'Standards Catalogue'!$D:$D,""),IF(B738="S",_xludf.XLOOKUP(A738,'Standards Catalogue'!$A:$A,'Standards Catalogue'!$F:$F,""),""))),"")</f>
        <v/>
      </c>
      <c r="O738" t="str">
        <f>IF(M738,IF(B738="Fe",_xludf.XLOOKUP(A738,'Standards Catalogue'!$A:$A,'Standards Catalogue'!$C:$C,""),IF(B738="P",_xludf.XLOOKUP(A738,'Standards Catalogue'!$A:$A,'Standards Catalogue'!$E:$E,""),IF(B738="S",_xludf.XLOOKUP(A738,'Standards Catalogue'!$A:$A,'Standards Catalogue'!$G:$G,""),""))),"")</f>
        <v/>
      </c>
      <c r="P738" t="str">
        <f t="shared" si="57"/>
        <v/>
      </c>
      <c r="Q738" t="str">
        <f t="shared" si="58"/>
        <v/>
      </c>
      <c r="R738" t="str">
        <f t="shared" si="59"/>
        <v/>
      </c>
    </row>
    <row r="739" spans="12:18" x14ac:dyDescent="0.25">
      <c r="L739" t="str">
        <f t="shared" si="55"/>
        <v/>
      </c>
      <c r="M739" t="b">
        <f t="shared" si="56"/>
        <v>0</v>
      </c>
      <c r="N739" t="str">
        <f>IF(M739,IF(B739="Fe",_xludf.XLOOKUP(A739,'Standards Catalogue'!$A:$A,'Standards Catalogue'!$B:$B,""),IF(B739="P",_xludf.XLOOKUP(A739,'Standards Catalogue'!$A:$A,'Standards Catalogue'!$D:$D,""),IF(B739="S",_xludf.XLOOKUP(A739,'Standards Catalogue'!$A:$A,'Standards Catalogue'!$F:$F,""),""))),"")</f>
        <v/>
      </c>
      <c r="O739" t="str">
        <f>IF(M739,IF(B739="Fe",_xludf.XLOOKUP(A739,'Standards Catalogue'!$A:$A,'Standards Catalogue'!$C:$C,""),IF(B739="P",_xludf.XLOOKUP(A739,'Standards Catalogue'!$A:$A,'Standards Catalogue'!$E:$E,""),IF(B739="S",_xludf.XLOOKUP(A739,'Standards Catalogue'!$A:$A,'Standards Catalogue'!$G:$G,""),""))),"")</f>
        <v/>
      </c>
      <c r="P739" t="str">
        <f t="shared" si="57"/>
        <v/>
      </c>
      <c r="Q739" t="str">
        <f t="shared" si="58"/>
        <v/>
      </c>
      <c r="R739" t="str">
        <f t="shared" si="59"/>
        <v/>
      </c>
    </row>
    <row r="740" spans="12:18" x14ac:dyDescent="0.25">
      <c r="L740" t="str">
        <f t="shared" si="55"/>
        <v/>
      </c>
      <c r="M740" t="b">
        <f t="shared" si="56"/>
        <v>0</v>
      </c>
      <c r="N740" t="str">
        <f>IF(M740,IF(B740="Fe",_xludf.XLOOKUP(A740,'Standards Catalogue'!$A:$A,'Standards Catalogue'!$B:$B,""),IF(B740="P",_xludf.XLOOKUP(A740,'Standards Catalogue'!$A:$A,'Standards Catalogue'!$D:$D,""),IF(B740="S",_xludf.XLOOKUP(A740,'Standards Catalogue'!$A:$A,'Standards Catalogue'!$F:$F,""),""))),"")</f>
        <v/>
      </c>
      <c r="O740" t="str">
        <f>IF(M740,IF(B740="Fe",_xludf.XLOOKUP(A740,'Standards Catalogue'!$A:$A,'Standards Catalogue'!$C:$C,""),IF(B740="P",_xludf.XLOOKUP(A740,'Standards Catalogue'!$A:$A,'Standards Catalogue'!$E:$E,""),IF(B740="S",_xludf.XLOOKUP(A740,'Standards Catalogue'!$A:$A,'Standards Catalogue'!$G:$G,""),""))),"")</f>
        <v/>
      </c>
      <c r="P740" t="str">
        <f t="shared" si="57"/>
        <v/>
      </c>
      <c r="Q740" t="str">
        <f t="shared" si="58"/>
        <v/>
      </c>
      <c r="R740" t="str">
        <f t="shared" si="59"/>
        <v/>
      </c>
    </row>
    <row r="741" spans="12:18" x14ac:dyDescent="0.25">
      <c r="L741" t="str">
        <f t="shared" si="55"/>
        <v/>
      </c>
      <c r="M741" t="b">
        <f t="shared" si="56"/>
        <v>0</v>
      </c>
      <c r="N741" t="str">
        <f>IF(M741,IF(B741="Fe",_xludf.XLOOKUP(A741,'Standards Catalogue'!$A:$A,'Standards Catalogue'!$B:$B,""),IF(B741="P",_xludf.XLOOKUP(A741,'Standards Catalogue'!$A:$A,'Standards Catalogue'!$D:$D,""),IF(B741="S",_xludf.XLOOKUP(A741,'Standards Catalogue'!$A:$A,'Standards Catalogue'!$F:$F,""),""))),"")</f>
        <v/>
      </c>
      <c r="O741" t="str">
        <f>IF(M741,IF(B741="Fe",_xludf.XLOOKUP(A741,'Standards Catalogue'!$A:$A,'Standards Catalogue'!$C:$C,""),IF(B741="P",_xludf.XLOOKUP(A741,'Standards Catalogue'!$A:$A,'Standards Catalogue'!$E:$E,""),IF(B741="S",_xludf.XLOOKUP(A741,'Standards Catalogue'!$A:$A,'Standards Catalogue'!$G:$G,""),""))),"")</f>
        <v/>
      </c>
      <c r="P741" t="str">
        <f t="shared" si="57"/>
        <v/>
      </c>
      <c r="Q741" t="str">
        <f t="shared" si="58"/>
        <v/>
      </c>
      <c r="R741" t="str">
        <f t="shared" si="59"/>
        <v/>
      </c>
    </row>
    <row r="742" spans="12:18" x14ac:dyDescent="0.25">
      <c r="L742" t="str">
        <f t="shared" si="55"/>
        <v/>
      </c>
      <c r="M742" t="b">
        <f t="shared" si="56"/>
        <v>0</v>
      </c>
      <c r="N742" t="str">
        <f>IF(M742,IF(B742="Fe",_xludf.XLOOKUP(A742,'Standards Catalogue'!$A:$A,'Standards Catalogue'!$B:$B,""),IF(B742="P",_xludf.XLOOKUP(A742,'Standards Catalogue'!$A:$A,'Standards Catalogue'!$D:$D,""),IF(B742="S",_xludf.XLOOKUP(A742,'Standards Catalogue'!$A:$A,'Standards Catalogue'!$F:$F,""),""))),"")</f>
        <v/>
      </c>
      <c r="O742" t="str">
        <f>IF(M742,IF(B742="Fe",_xludf.XLOOKUP(A742,'Standards Catalogue'!$A:$A,'Standards Catalogue'!$C:$C,""),IF(B742="P",_xludf.XLOOKUP(A742,'Standards Catalogue'!$A:$A,'Standards Catalogue'!$E:$E,""),IF(B742="S",_xludf.XLOOKUP(A742,'Standards Catalogue'!$A:$A,'Standards Catalogue'!$G:$G,""),""))),"")</f>
        <v/>
      </c>
      <c r="P742" t="str">
        <f t="shared" si="57"/>
        <v/>
      </c>
      <c r="Q742" t="str">
        <f t="shared" si="58"/>
        <v/>
      </c>
      <c r="R742" t="str">
        <f t="shared" si="59"/>
        <v/>
      </c>
    </row>
    <row r="743" spans="12:18" x14ac:dyDescent="0.25">
      <c r="L743" t="str">
        <f t="shared" si="55"/>
        <v/>
      </c>
      <c r="M743" t="b">
        <f t="shared" si="56"/>
        <v>0</v>
      </c>
      <c r="N743" t="str">
        <f>IF(M743,IF(B743="Fe",_xludf.XLOOKUP(A743,'Standards Catalogue'!$A:$A,'Standards Catalogue'!$B:$B,""),IF(B743="P",_xludf.XLOOKUP(A743,'Standards Catalogue'!$A:$A,'Standards Catalogue'!$D:$D,""),IF(B743="S",_xludf.XLOOKUP(A743,'Standards Catalogue'!$A:$A,'Standards Catalogue'!$F:$F,""),""))),"")</f>
        <v/>
      </c>
      <c r="O743" t="str">
        <f>IF(M743,IF(B743="Fe",_xludf.XLOOKUP(A743,'Standards Catalogue'!$A:$A,'Standards Catalogue'!$C:$C,""),IF(B743="P",_xludf.XLOOKUP(A743,'Standards Catalogue'!$A:$A,'Standards Catalogue'!$E:$E,""),IF(B743="S",_xludf.XLOOKUP(A743,'Standards Catalogue'!$A:$A,'Standards Catalogue'!$G:$G,""),""))),"")</f>
        <v/>
      </c>
      <c r="P743" t="str">
        <f t="shared" si="57"/>
        <v/>
      </c>
      <c r="Q743" t="str">
        <f t="shared" si="58"/>
        <v/>
      </c>
      <c r="R743" t="str">
        <f t="shared" si="59"/>
        <v/>
      </c>
    </row>
    <row r="744" spans="12:18" x14ac:dyDescent="0.25">
      <c r="L744" t="str">
        <f t="shared" si="55"/>
        <v/>
      </c>
      <c r="M744" t="b">
        <f t="shared" si="56"/>
        <v>0</v>
      </c>
      <c r="N744" t="str">
        <f>IF(M744,IF(B744="Fe",_xludf.XLOOKUP(A744,'Standards Catalogue'!$A:$A,'Standards Catalogue'!$B:$B,""),IF(B744="P",_xludf.XLOOKUP(A744,'Standards Catalogue'!$A:$A,'Standards Catalogue'!$D:$D,""),IF(B744="S",_xludf.XLOOKUP(A744,'Standards Catalogue'!$A:$A,'Standards Catalogue'!$F:$F,""),""))),"")</f>
        <v/>
      </c>
      <c r="O744" t="str">
        <f>IF(M744,IF(B744="Fe",_xludf.XLOOKUP(A744,'Standards Catalogue'!$A:$A,'Standards Catalogue'!$C:$C,""),IF(B744="P",_xludf.XLOOKUP(A744,'Standards Catalogue'!$A:$A,'Standards Catalogue'!$E:$E,""),IF(B744="S",_xludf.XLOOKUP(A744,'Standards Catalogue'!$A:$A,'Standards Catalogue'!$G:$G,""),""))),"")</f>
        <v/>
      </c>
      <c r="P744" t="str">
        <f t="shared" si="57"/>
        <v/>
      </c>
      <c r="Q744" t="str">
        <f t="shared" si="58"/>
        <v/>
      </c>
      <c r="R744" t="str">
        <f t="shared" si="59"/>
        <v/>
      </c>
    </row>
    <row r="745" spans="12:18" x14ac:dyDescent="0.25">
      <c r="L745" t="str">
        <f t="shared" si="55"/>
        <v/>
      </c>
      <c r="M745" t="b">
        <f t="shared" si="56"/>
        <v>0</v>
      </c>
      <c r="N745" t="str">
        <f>IF(M745,IF(B745="Fe",_xludf.XLOOKUP(A745,'Standards Catalogue'!$A:$A,'Standards Catalogue'!$B:$B,""),IF(B745="P",_xludf.XLOOKUP(A745,'Standards Catalogue'!$A:$A,'Standards Catalogue'!$D:$D,""),IF(B745="S",_xludf.XLOOKUP(A745,'Standards Catalogue'!$A:$A,'Standards Catalogue'!$F:$F,""),""))),"")</f>
        <v/>
      </c>
      <c r="O745" t="str">
        <f>IF(M745,IF(B745="Fe",_xludf.XLOOKUP(A745,'Standards Catalogue'!$A:$A,'Standards Catalogue'!$C:$C,""),IF(B745="P",_xludf.XLOOKUP(A745,'Standards Catalogue'!$A:$A,'Standards Catalogue'!$E:$E,""),IF(B745="S",_xludf.XLOOKUP(A745,'Standards Catalogue'!$A:$A,'Standards Catalogue'!$G:$G,""),""))),"")</f>
        <v/>
      </c>
      <c r="P745" t="str">
        <f t="shared" si="57"/>
        <v/>
      </c>
      <c r="Q745" t="str">
        <f t="shared" si="58"/>
        <v/>
      </c>
      <c r="R745" t="str">
        <f t="shared" si="59"/>
        <v/>
      </c>
    </row>
    <row r="746" spans="12:18" x14ac:dyDescent="0.25">
      <c r="L746" t="str">
        <f t="shared" si="55"/>
        <v/>
      </c>
      <c r="M746" t="b">
        <f t="shared" si="56"/>
        <v>0</v>
      </c>
      <c r="N746" t="str">
        <f>IF(M746,IF(B746="Fe",_xludf.XLOOKUP(A746,'Standards Catalogue'!$A:$A,'Standards Catalogue'!$B:$B,""),IF(B746="P",_xludf.XLOOKUP(A746,'Standards Catalogue'!$A:$A,'Standards Catalogue'!$D:$D,""),IF(B746="S",_xludf.XLOOKUP(A746,'Standards Catalogue'!$A:$A,'Standards Catalogue'!$F:$F,""),""))),"")</f>
        <v/>
      </c>
      <c r="O746" t="str">
        <f>IF(M746,IF(B746="Fe",_xludf.XLOOKUP(A746,'Standards Catalogue'!$A:$A,'Standards Catalogue'!$C:$C,""),IF(B746="P",_xludf.XLOOKUP(A746,'Standards Catalogue'!$A:$A,'Standards Catalogue'!$E:$E,""),IF(B746="S",_xludf.XLOOKUP(A746,'Standards Catalogue'!$A:$A,'Standards Catalogue'!$G:$G,""),""))),"")</f>
        <v/>
      </c>
      <c r="P746" t="str">
        <f t="shared" si="57"/>
        <v/>
      </c>
      <c r="Q746" t="str">
        <f t="shared" si="58"/>
        <v/>
      </c>
      <c r="R746" t="str">
        <f t="shared" si="59"/>
        <v/>
      </c>
    </row>
    <row r="747" spans="12:18" x14ac:dyDescent="0.25">
      <c r="L747" t="str">
        <f t="shared" si="55"/>
        <v/>
      </c>
      <c r="M747" t="b">
        <f t="shared" si="56"/>
        <v>0</v>
      </c>
      <c r="N747" t="str">
        <f>IF(M747,IF(B747="Fe",_xludf.XLOOKUP(A747,'Standards Catalogue'!$A:$A,'Standards Catalogue'!$B:$B,""),IF(B747="P",_xludf.XLOOKUP(A747,'Standards Catalogue'!$A:$A,'Standards Catalogue'!$D:$D,""),IF(B747="S",_xludf.XLOOKUP(A747,'Standards Catalogue'!$A:$A,'Standards Catalogue'!$F:$F,""),""))),"")</f>
        <v/>
      </c>
      <c r="O747" t="str">
        <f>IF(M747,IF(B747="Fe",_xludf.XLOOKUP(A747,'Standards Catalogue'!$A:$A,'Standards Catalogue'!$C:$C,""),IF(B747="P",_xludf.XLOOKUP(A747,'Standards Catalogue'!$A:$A,'Standards Catalogue'!$E:$E,""),IF(B747="S",_xludf.XLOOKUP(A747,'Standards Catalogue'!$A:$A,'Standards Catalogue'!$G:$G,""),""))),"")</f>
        <v/>
      </c>
      <c r="P747" t="str">
        <f t="shared" si="57"/>
        <v/>
      </c>
      <c r="Q747" t="str">
        <f t="shared" si="58"/>
        <v/>
      </c>
      <c r="R747" t="str">
        <f t="shared" si="59"/>
        <v/>
      </c>
    </row>
    <row r="748" spans="12:18" x14ac:dyDescent="0.25">
      <c r="L748" t="str">
        <f t="shared" si="55"/>
        <v/>
      </c>
      <c r="M748" t="b">
        <f t="shared" si="56"/>
        <v>0</v>
      </c>
      <c r="N748" t="str">
        <f>IF(M748,IF(B748="Fe",_xludf.XLOOKUP(A748,'Standards Catalogue'!$A:$A,'Standards Catalogue'!$B:$B,""),IF(B748="P",_xludf.XLOOKUP(A748,'Standards Catalogue'!$A:$A,'Standards Catalogue'!$D:$D,""),IF(B748="S",_xludf.XLOOKUP(A748,'Standards Catalogue'!$A:$A,'Standards Catalogue'!$F:$F,""),""))),"")</f>
        <v/>
      </c>
      <c r="O748" t="str">
        <f>IF(M748,IF(B748="Fe",_xludf.XLOOKUP(A748,'Standards Catalogue'!$A:$A,'Standards Catalogue'!$C:$C,""),IF(B748="P",_xludf.XLOOKUP(A748,'Standards Catalogue'!$A:$A,'Standards Catalogue'!$E:$E,""),IF(B748="S",_xludf.XLOOKUP(A748,'Standards Catalogue'!$A:$A,'Standards Catalogue'!$G:$G,""),""))),"")</f>
        <v/>
      </c>
      <c r="P748" t="str">
        <f t="shared" si="57"/>
        <v/>
      </c>
      <c r="Q748" t="str">
        <f t="shared" si="58"/>
        <v/>
      </c>
      <c r="R748" t="str">
        <f t="shared" si="59"/>
        <v/>
      </c>
    </row>
    <row r="749" spans="12:18" x14ac:dyDescent="0.25">
      <c r="L749" t="str">
        <f t="shared" si="55"/>
        <v/>
      </c>
      <c r="M749" t="b">
        <f t="shared" si="56"/>
        <v>0</v>
      </c>
      <c r="N749" t="str">
        <f>IF(M749,IF(B749="Fe",_xludf.XLOOKUP(A749,'Standards Catalogue'!$A:$A,'Standards Catalogue'!$B:$B,""),IF(B749="P",_xludf.XLOOKUP(A749,'Standards Catalogue'!$A:$A,'Standards Catalogue'!$D:$D,""),IF(B749="S",_xludf.XLOOKUP(A749,'Standards Catalogue'!$A:$A,'Standards Catalogue'!$F:$F,""),""))),"")</f>
        <v/>
      </c>
      <c r="O749" t="str">
        <f>IF(M749,IF(B749="Fe",_xludf.XLOOKUP(A749,'Standards Catalogue'!$A:$A,'Standards Catalogue'!$C:$C,""),IF(B749="P",_xludf.XLOOKUP(A749,'Standards Catalogue'!$A:$A,'Standards Catalogue'!$E:$E,""),IF(B749="S",_xludf.XLOOKUP(A749,'Standards Catalogue'!$A:$A,'Standards Catalogue'!$G:$G,""),""))),"")</f>
        <v/>
      </c>
      <c r="P749" t="str">
        <f t="shared" si="57"/>
        <v/>
      </c>
      <c r="Q749" t="str">
        <f t="shared" si="58"/>
        <v/>
      </c>
      <c r="R749" t="str">
        <f t="shared" si="59"/>
        <v/>
      </c>
    </row>
    <row r="750" spans="12:18" x14ac:dyDescent="0.25">
      <c r="L750" t="str">
        <f t="shared" si="55"/>
        <v/>
      </c>
      <c r="M750" t="b">
        <f t="shared" si="56"/>
        <v>0</v>
      </c>
      <c r="N750" t="str">
        <f>IF(M750,IF(B750="Fe",_xludf.XLOOKUP(A750,'Standards Catalogue'!$A:$A,'Standards Catalogue'!$B:$B,""),IF(B750="P",_xludf.XLOOKUP(A750,'Standards Catalogue'!$A:$A,'Standards Catalogue'!$D:$D,""),IF(B750="S",_xludf.XLOOKUP(A750,'Standards Catalogue'!$A:$A,'Standards Catalogue'!$F:$F,""),""))),"")</f>
        <v/>
      </c>
      <c r="O750" t="str">
        <f>IF(M750,IF(B750="Fe",_xludf.XLOOKUP(A750,'Standards Catalogue'!$A:$A,'Standards Catalogue'!$C:$C,""),IF(B750="P",_xludf.XLOOKUP(A750,'Standards Catalogue'!$A:$A,'Standards Catalogue'!$E:$E,""),IF(B750="S",_xludf.XLOOKUP(A750,'Standards Catalogue'!$A:$A,'Standards Catalogue'!$G:$G,""),""))),"")</f>
        <v/>
      </c>
      <c r="P750" t="str">
        <f t="shared" si="57"/>
        <v/>
      </c>
      <c r="Q750" t="str">
        <f t="shared" si="58"/>
        <v/>
      </c>
      <c r="R750" t="str">
        <f t="shared" si="59"/>
        <v/>
      </c>
    </row>
    <row r="751" spans="12:18" x14ac:dyDescent="0.25">
      <c r="L751" t="str">
        <f t="shared" si="55"/>
        <v/>
      </c>
      <c r="M751" t="b">
        <f t="shared" si="56"/>
        <v>0</v>
      </c>
      <c r="N751" t="str">
        <f>IF(M751,IF(B751="Fe",_xludf.XLOOKUP(A751,'Standards Catalogue'!$A:$A,'Standards Catalogue'!$B:$B,""),IF(B751="P",_xludf.XLOOKUP(A751,'Standards Catalogue'!$A:$A,'Standards Catalogue'!$D:$D,""),IF(B751="S",_xludf.XLOOKUP(A751,'Standards Catalogue'!$A:$A,'Standards Catalogue'!$F:$F,""),""))),"")</f>
        <v/>
      </c>
      <c r="O751" t="str">
        <f>IF(M751,IF(B751="Fe",_xludf.XLOOKUP(A751,'Standards Catalogue'!$A:$A,'Standards Catalogue'!$C:$C,""),IF(B751="P",_xludf.XLOOKUP(A751,'Standards Catalogue'!$A:$A,'Standards Catalogue'!$E:$E,""),IF(B751="S",_xludf.XLOOKUP(A751,'Standards Catalogue'!$A:$A,'Standards Catalogue'!$G:$G,""),""))),"")</f>
        <v/>
      </c>
      <c r="P751" t="str">
        <f t="shared" si="57"/>
        <v/>
      </c>
      <c r="Q751" t="str">
        <f t="shared" si="58"/>
        <v/>
      </c>
      <c r="R751" t="str">
        <f t="shared" si="59"/>
        <v/>
      </c>
    </row>
    <row r="752" spans="12:18" x14ac:dyDescent="0.25">
      <c r="L752" t="str">
        <f t="shared" si="55"/>
        <v/>
      </c>
      <c r="M752" t="b">
        <f t="shared" si="56"/>
        <v>0</v>
      </c>
      <c r="N752" t="str">
        <f>IF(M752,IF(B752="Fe",_xludf.XLOOKUP(A752,'Standards Catalogue'!$A:$A,'Standards Catalogue'!$B:$B,""),IF(B752="P",_xludf.XLOOKUP(A752,'Standards Catalogue'!$A:$A,'Standards Catalogue'!$D:$D,""),IF(B752="S",_xludf.XLOOKUP(A752,'Standards Catalogue'!$A:$A,'Standards Catalogue'!$F:$F,""),""))),"")</f>
        <v/>
      </c>
      <c r="O752" t="str">
        <f>IF(M752,IF(B752="Fe",_xludf.XLOOKUP(A752,'Standards Catalogue'!$A:$A,'Standards Catalogue'!$C:$C,""),IF(B752="P",_xludf.XLOOKUP(A752,'Standards Catalogue'!$A:$A,'Standards Catalogue'!$E:$E,""),IF(B752="S",_xludf.XLOOKUP(A752,'Standards Catalogue'!$A:$A,'Standards Catalogue'!$G:$G,""),""))),"")</f>
        <v/>
      </c>
      <c r="P752" t="str">
        <f t="shared" si="57"/>
        <v/>
      </c>
      <c r="Q752" t="str">
        <f t="shared" si="58"/>
        <v/>
      </c>
      <c r="R752" t="str">
        <f t="shared" si="59"/>
        <v/>
      </c>
    </row>
    <row r="753" spans="12:18" x14ac:dyDescent="0.25">
      <c r="L753" t="str">
        <f t="shared" si="55"/>
        <v/>
      </c>
      <c r="M753" t="b">
        <f t="shared" si="56"/>
        <v>0</v>
      </c>
      <c r="N753" t="str">
        <f>IF(M753,IF(B753="Fe",_xludf.XLOOKUP(A753,'Standards Catalogue'!$A:$A,'Standards Catalogue'!$B:$B,""),IF(B753="P",_xludf.XLOOKUP(A753,'Standards Catalogue'!$A:$A,'Standards Catalogue'!$D:$D,""),IF(B753="S",_xludf.XLOOKUP(A753,'Standards Catalogue'!$A:$A,'Standards Catalogue'!$F:$F,""),""))),"")</f>
        <v/>
      </c>
      <c r="O753" t="str">
        <f>IF(M753,IF(B753="Fe",_xludf.XLOOKUP(A753,'Standards Catalogue'!$A:$A,'Standards Catalogue'!$C:$C,""),IF(B753="P",_xludf.XLOOKUP(A753,'Standards Catalogue'!$A:$A,'Standards Catalogue'!$E:$E,""),IF(B753="S",_xludf.XLOOKUP(A753,'Standards Catalogue'!$A:$A,'Standards Catalogue'!$G:$G,""),""))),"")</f>
        <v/>
      </c>
      <c r="P753" t="str">
        <f t="shared" si="57"/>
        <v/>
      </c>
      <c r="Q753" t="str">
        <f t="shared" si="58"/>
        <v/>
      </c>
      <c r="R753" t="str">
        <f t="shared" si="59"/>
        <v/>
      </c>
    </row>
    <row r="754" spans="12:18" x14ac:dyDescent="0.25">
      <c r="L754" t="str">
        <f t="shared" si="55"/>
        <v/>
      </c>
      <c r="M754" t="b">
        <f t="shared" si="56"/>
        <v>0</v>
      </c>
      <c r="N754" t="str">
        <f>IF(M754,IF(B754="Fe",_xludf.XLOOKUP(A754,'Standards Catalogue'!$A:$A,'Standards Catalogue'!$B:$B,""),IF(B754="P",_xludf.XLOOKUP(A754,'Standards Catalogue'!$A:$A,'Standards Catalogue'!$D:$D,""),IF(B754="S",_xludf.XLOOKUP(A754,'Standards Catalogue'!$A:$A,'Standards Catalogue'!$F:$F,""),""))),"")</f>
        <v/>
      </c>
      <c r="O754" t="str">
        <f>IF(M754,IF(B754="Fe",_xludf.XLOOKUP(A754,'Standards Catalogue'!$A:$A,'Standards Catalogue'!$C:$C,""),IF(B754="P",_xludf.XLOOKUP(A754,'Standards Catalogue'!$A:$A,'Standards Catalogue'!$E:$E,""),IF(B754="S",_xludf.XLOOKUP(A754,'Standards Catalogue'!$A:$A,'Standards Catalogue'!$G:$G,""),""))),"")</f>
        <v/>
      </c>
      <c r="P754" t="str">
        <f t="shared" si="57"/>
        <v/>
      </c>
      <c r="Q754" t="str">
        <f t="shared" si="58"/>
        <v/>
      </c>
      <c r="R754" t="str">
        <f t="shared" si="59"/>
        <v/>
      </c>
    </row>
    <row r="755" spans="12:18" x14ac:dyDescent="0.25">
      <c r="L755" t="str">
        <f t="shared" si="55"/>
        <v/>
      </c>
      <c r="M755" t="b">
        <f t="shared" si="56"/>
        <v>0</v>
      </c>
      <c r="N755" t="str">
        <f>IF(M755,IF(B755="Fe",_xludf.XLOOKUP(A755,'Standards Catalogue'!$A:$A,'Standards Catalogue'!$B:$B,""),IF(B755="P",_xludf.XLOOKUP(A755,'Standards Catalogue'!$A:$A,'Standards Catalogue'!$D:$D,""),IF(B755="S",_xludf.XLOOKUP(A755,'Standards Catalogue'!$A:$A,'Standards Catalogue'!$F:$F,""),""))),"")</f>
        <v/>
      </c>
      <c r="O755" t="str">
        <f>IF(M755,IF(B755="Fe",_xludf.XLOOKUP(A755,'Standards Catalogue'!$A:$A,'Standards Catalogue'!$C:$C,""),IF(B755="P",_xludf.XLOOKUP(A755,'Standards Catalogue'!$A:$A,'Standards Catalogue'!$E:$E,""),IF(B755="S",_xludf.XLOOKUP(A755,'Standards Catalogue'!$A:$A,'Standards Catalogue'!$G:$G,""),""))),"")</f>
        <v/>
      </c>
      <c r="P755" t="str">
        <f t="shared" si="57"/>
        <v/>
      </c>
      <c r="Q755" t="str">
        <f t="shared" si="58"/>
        <v/>
      </c>
      <c r="R755" t="str">
        <f t="shared" si="59"/>
        <v/>
      </c>
    </row>
    <row r="756" spans="12:18" x14ac:dyDescent="0.25">
      <c r="L756" t="str">
        <f t="shared" si="55"/>
        <v/>
      </c>
      <c r="M756" t="b">
        <f t="shared" si="56"/>
        <v>0</v>
      </c>
      <c r="N756" t="str">
        <f>IF(M756,IF(B756="Fe",_xludf.XLOOKUP(A756,'Standards Catalogue'!$A:$A,'Standards Catalogue'!$B:$B,""),IF(B756="P",_xludf.XLOOKUP(A756,'Standards Catalogue'!$A:$A,'Standards Catalogue'!$D:$D,""),IF(B756="S",_xludf.XLOOKUP(A756,'Standards Catalogue'!$A:$A,'Standards Catalogue'!$F:$F,""),""))),"")</f>
        <v/>
      </c>
      <c r="O756" t="str">
        <f>IF(M756,IF(B756="Fe",_xludf.XLOOKUP(A756,'Standards Catalogue'!$A:$A,'Standards Catalogue'!$C:$C,""),IF(B756="P",_xludf.XLOOKUP(A756,'Standards Catalogue'!$A:$A,'Standards Catalogue'!$E:$E,""),IF(B756="S",_xludf.XLOOKUP(A756,'Standards Catalogue'!$A:$A,'Standards Catalogue'!$G:$G,""),""))),"")</f>
        <v/>
      </c>
      <c r="P756" t="str">
        <f t="shared" si="57"/>
        <v/>
      </c>
      <c r="Q756" t="str">
        <f t="shared" si="58"/>
        <v/>
      </c>
      <c r="R756" t="str">
        <f t="shared" si="59"/>
        <v/>
      </c>
    </row>
    <row r="757" spans="12:18" x14ac:dyDescent="0.25">
      <c r="L757" t="str">
        <f t="shared" si="55"/>
        <v/>
      </c>
      <c r="M757" t="b">
        <f t="shared" si="56"/>
        <v>0</v>
      </c>
      <c r="N757" t="str">
        <f>IF(M757,IF(B757="Fe",_xludf.XLOOKUP(A757,'Standards Catalogue'!$A:$A,'Standards Catalogue'!$B:$B,""),IF(B757="P",_xludf.XLOOKUP(A757,'Standards Catalogue'!$A:$A,'Standards Catalogue'!$D:$D,""),IF(B757="S",_xludf.XLOOKUP(A757,'Standards Catalogue'!$A:$A,'Standards Catalogue'!$F:$F,""),""))),"")</f>
        <v/>
      </c>
      <c r="O757" t="str">
        <f>IF(M757,IF(B757="Fe",_xludf.XLOOKUP(A757,'Standards Catalogue'!$A:$A,'Standards Catalogue'!$C:$C,""),IF(B757="P",_xludf.XLOOKUP(A757,'Standards Catalogue'!$A:$A,'Standards Catalogue'!$E:$E,""),IF(B757="S",_xludf.XLOOKUP(A757,'Standards Catalogue'!$A:$A,'Standards Catalogue'!$G:$G,""),""))),"")</f>
        <v/>
      </c>
      <c r="P757" t="str">
        <f t="shared" si="57"/>
        <v/>
      </c>
      <c r="Q757" t="str">
        <f t="shared" si="58"/>
        <v/>
      </c>
      <c r="R757" t="str">
        <f t="shared" si="59"/>
        <v/>
      </c>
    </row>
    <row r="758" spans="12:18" x14ac:dyDescent="0.25">
      <c r="L758" t="str">
        <f t="shared" si="55"/>
        <v/>
      </c>
      <c r="M758" t="b">
        <f t="shared" si="56"/>
        <v>0</v>
      </c>
      <c r="N758" t="str">
        <f>IF(M758,IF(B758="Fe",_xludf.XLOOKUP(A758,'Standards Catalogue'!$A:$A,'Standards Catalogue'!$B:$B,""),IF(B758="P",_xludf.XLOOKUP(A758,'Standards Catalogue'!$A:$A,'Standards Catalogue'!$D:$D,""),IF(B758="S",_xludf.XLOOKUP(A758,'Standards Catalogue'!$A:$A,'Standards Catalogue'!$F:$F,""),""))),"")</f>
        <v/>
      </c>
      <c r="O758" t="str">
        <f>IF(M758,IF(B758="Fe",_xludf.XLOOKUP(A758,'Standards Catalogue'!$A:$A,'Standards Catalogue'!$C:$C,""),IF(B758="P",_xludf.XLOOKUP(A758,'Standards Catalogue'!$A:$A,'Standards Catalogue'!$E:$E,""),IF(B758="S",_xludf.XLOOKUP(A758,'Standards Catalogue'!$A:$A,'Standards Catalogue'!$G:$G,""),""))),"")</f>
        <v/>
      </c>
      <c r="P758" t="str">
        <f t="shared" si="57"/>
        <v/>
      </c>
      <c r="Q758" t="str">
        <f t="shared" si="58"/>
        <v/>
      </c>
      <c r="R758" t="str">
        <f t="shared" si="59"/>
        <v/>
      </c>
    </row>
    <row r="759" spans="12:18" x14ac:dyDescent="0.25">
      <c r="L759" t="str">
        <f t="shared" si="55"/>
        <v/>
      </c>
      <c r="M759" t="b">
        <f t="shared" si="56"/>
        <v>0</v>
      </c>
      <c r="N759" t="str">
        <f>IF(M759,IF(B759="Fe",_xludf.XLOOKUP(A759,'Standards Catalogue'!$A:$A,'Standards Catalogue'!$B:$B,""),IF(B759="P",_xludf.XLOOKUP(A759,'Standards Catalogue'!$A:$A,'Standards Catalogue'!$D:$D,""),IF(B759="S",_xludf.XLOOKUP(A759,'Standards Catalogue'!$A:$A,'Standards Catalogue'!$F:$F,""),""))),"")</f>
        <v/>
      </c>
      <c r="O759" t="str">
        <f>IF(M759,IF(B759="Fe",_xludf.XLOOKUP(A759,'Standards Catalogue'!$A:$A,'Standards Catalogue'!$C:$C,""),IF(B759="P",_xludf.XLOOKUP(A759,'Standards Catalogue'!$A:$A,'Standards Catalogue'!$E:$E,""),IF(B759="S",_xludf.XLOOKUP(A759,'Standards Catalogue'!$A:$A,'Standards Catalogue'!$G:$G,""),""))),"")</f>
        <v/>
      </c>
      <c r="P759" t="str">
        <f t="shared" si="57"/>
        <v/>
      </c>
      <c r="Q759" t="str">
        <f t="shared" si="58"/>
        <v/>
      </c>
      <c r="R759" t="str">
        <f t="shared" si="59"/>
        <v/>
      </c>
    </row>
    <row r="760" spans="12:18" x14ac:dyDescent="0.25">
      <c r="L760" t="str">
        <f t="shared" si="55"/>
        <v/>
      </c>
      <c r="M760" t="b">
        <f t="shared" si="56"/>
        <v>0</v>
      </c>
      <c r="N760" t="str">
        <f>IF(M760,IF(B760="Fe",_xludf.XLOOKUP(A760,'Standards Catalogue'!$A:$A,'Standards Catalogue'!$B:$B,""),IF(B760="P",_xludf.XLOOKUP(A760,'Standards Catalogue'!$A:$A,'Standards Catalogue'!$D:$D,""),IF(B760="S",_xludf.XLOOKUP(A760,'Standards Catalogue'!$A:$A,'Standards Catalogue'!$F:$F,""),""))),"")</f>
        <v/>
      </c>
      <c r="O760" t="str">
        <f>IF(M760,IF(B760="Fe",_xludf.XLOOKUP(A760,'Standards Catalogue'!$A:$A,'Standards Catalogue'!$C:$C,""),IF(B760="P",_xludf.XLOOKUP(A760,'Standards Catalogue'!$A:$A,'Standards Catalogue'!$E:$E,""),IF(B760="S",_xludf.XLOOKUP(A760,'Standards Catalogue'!$A:$A,'Standards Catalogue'!$G:$G,""),""))),"")</f>
        <v/>
      </c>
      <c r="P760" t="str">
        <f t="shared" si="57"/>
        <v/>
      </c>
      <c r="Q760" t="str">
        <f t="shared" si="58"/>
        <v/>
      </c>
      <c r="R760" t="str">
        <f t="shared" si="59"/>
        <v/>
      </c>
    </row>
    <row r="761" spans="12:18" x14ac:dyDescent="0.25">
      <c r="L761" t="str">
        <f t="shared" si="55"/>
        <v/>
      </c>
      <c r="M761" t="b">
        <f t="shared" si="56"/>
        <v>0</v>
      </c>
      <c r="N761" t="str">
        <f>IF(M761,IF(B761="Fe",_xludf.XLOOKUP(A761,'Standards Catalogue'!$A:$A,'Standards Catalogue'!$B:$B,""),IF(B761="P",_xludf.XLOOKUP(A761,'Standards Catalogue'!$A:$A,'Standards Catalogue'!$D:$D,""),IF(B761="S",_xludf.XLOOKUP(A761,'Standards Catalogue'!$A:$A,'Standards Catalogue'!$F:$F,""),""))),"")</f>
        <v/>
      </c>
      <c r="O761" t="str">
        <f>IF(M761,IF(B761="Fe",_xludf.XLOOKUP(A761,'Standards Catalogue'!$A:$A,'Standards Catalogue'!$C:$C,""),IF(B761="P",_xludf.XLOOKUP(A761,'Standards Catalogue'!$A:$A,'Standards Catalogue'!$E:$E,""),IF(B761="S",_xludf.XLOOKUP(A761,'Standards Catalogue'!$A:$A,'Standards Catalogue'!$G:$G,""),""))),"")</f>
        <v/>
      </c>
      <c r="P761" t="str">
        <f t="shared" si="57"/>
        <v/>
      </c>
      <c r="Q761" t="str">
        <f t="shared" si="58"/>
        <v/>
      </c>
      <c r="R761" t="str">
        <f t="shared" si="59"/>
        <v/>
      </c>
    </row>
    <row r="762" spans="12:18" x14ac:dyDescent="0.25">
      <c r="L762" t="str">
        <f t="shared" si="55"/>
        <v/>
      </c>
      <c r="M762" t="b">
        <f t="shared" si="56"/>
        <v>0</v>
      </c>
      <c r="N762" t="str">
        <f>IF(M762,IF(B762="Fe",_xludf.XLOOKUP(A762,'Standards Catalogue'!$A:$A,'Standards Catalogue'!$B:$B,""),IF(B762="P",_xludf.XLOOKUP(A762,'Standards Catalogue'!$A:$A,'Standards Catalogue'!$D:$D,""),IF(B762="S",_xludf.XLOOKUP(A762,'Standards Catalogue'!$A:$A,'Standards Catalogue'!$F:$F,""),""))),"")</f>
        <v/>
      </c>
      <c r="O762" t="str">
        <f>IF(M762,IF(B762="Fe",_xludf.XLOOKUP(A762,'Standards Catalogue'!$A:$A,'Standards Catalogue'!$C:$C,""),IF(B762="P",_xludf.XLOOKUP(A762,'Standards Catalogue'!$A:$A,'Standards Catalogue'!$E:$E,""),IF(B762="S",_xludf.XLOOKUP(A762,'Standards Catalogue'!$A:$A,'Standards Catalogue'!$G:$G,""),""))),"")</f>
        <v/>
      </c>
      <c r="P762" t="str">
        <f t="shared" si="57"/>
        <v/>
      </c>
      <c r="Q762" t="str">
        <f t="shared" si="58"/>
        <v/>
      </c>
      <c r="R762" t="str">
        <f t="shared" si="59"/>
        <v/>
      </c>
    </row>
    <row r="763" spans="12:18" x14ac:dyDescent="0.25">
      <c r="L763" t="str">
        <f t="shared" si="55"/>
        <v/>
      </c>
      <c r="M763" t="b">
        <f t="shared" si="56"/>
        <v>0</v>
      </c>
      <c r="N763" t="str">
        <f>IF(M763,IF(B763="Fe",_xludf.XLOOKUP(A763,'Standards Catalogue'!$A:$A,'Standards Catalogue'!$B:$B,""),IF(B763="P",_xludf.XLOOKUP(A763,'Standards Catalogue'!$A:$A,'Standards Catalogue'!$D:$D,""),IF(B763="S",_xludf.XLOOKUP(A763,'Standards Catalogue'!$A:$A,'Standards Catalogue'!$F:$F,""),""))),"")</f>
        <v/>
      </c>
      <c r="O763" t="str">
        <f>IF(M763,IF(B763="Fe",_xludf.XLOOKUP(A763,'Standards Catalogue'!$A:$A,'Standards Catalogue'!$C:$C,""),IF(B763="P",_xludf.XLOOKUP(A763,'Standards Catalogue'!$A:$A,'Standards Catalogue'!$E:$E,""),IF(B763="S",_xludf.XLOOKUP(A763,'Standards Catalogue'!$A:$A,'Standards Catalogue'!$G:$G,""),""))),"")</f>
        <v/>
      </c>
      <c r="P763" t="str">
        <f t="shared" si="57"/>
        <v/>
      </c>
      <c r="Q763" t="str">
        <f t="shared" si="58"/>
        <v/>
      </c>
      <c r="R763" t="str">
        <f t="shared" si="59"/>
        <v/>
      </c>
    </row>
    <row r="764" spans="12:18" x14ac:dyDescent="0.25">
      <c r="L764" t="str">
        <f t="shared" si="55"/>
        <v/>
      </c>
      <c r="M764" t="b">
        <f t="shared" si="56"/>
        <v>0</v>
      </c>
      <c r="N764" t="str">
        <f>IF(M764,IF(B764="Fe",_xludf.XLOOKUP(A764,'Standards Catalogue'!$A:$A,'Standards Catalogue'!$B:$B,""),IF(B764="P",_xludf.XLOOKUP(A764,'Standards Catalogue'!$A:$A,'Standards Catalogue'!$D:$D,""),IF(B764="S",_xludf.XLOOKUP(A764,'Standards Catalogue'!$A:$A,'Standards Catalogue'!$F:$F,""),""))),"")</f>
        <v/>
      </c>
      <c r="O764" t="str">
        <f>IF(M764,IF(B764="Fe",_xludf.XLOOKUP(A764,'Standards Catalogue'!$A:$A,'Standards Catalogue'!$C:$C,""),IF(B764="P",_xludf.XLOOKUP(A764,'Standards Catalogue'!$A:$A,'Standards Catalogue'!$E:$E,""),IF(B764="S",_xludf.XLOOKUP(A764,'Standards Catalogue'!$A:$A,'Standards Catalogue'!$G:$G,""),""))),"")</f>
        <v/>
      </c>
      <c r="P764" t="str">
        <f t="shared" si="57"/>
        <v/>
      </c>
      <c r="Q764" t="str">
        <f t="shared" si="58"/>
        <v/>
      </c>
      <c r="R764" t="str">
        <f t="shared" si="59"/>
        <v/>
      </c>
    </row>
    <row r="765" spans="12:18" x14ac:dyDescent="0.25">
      <c r="L765" t="str">
        <f t="shared" si="55"/>
        <v/>
      </c>
      <c r="M765" t="b">
        <f t="shared" si="56"/>
        <v>0</v>
      </c>
      <c r="N765" t="str">
        <f>IF(M765,IF(B765="Fe",_xludf.XLOOKUP(A765,'Standards Catalogue'!$A:$A,'Standards Catalogue'!$B:$B,""),IF(B765="P",_xludf.XLOOKUP(A765,'Standards Catalogue'!$A:$A,'Standards Catalogue'!$D:$D,""),IF(B765="S",_xludf.XLOOKUP(A765,'Standards Catalogue'!$A:$A,'Standards Catalogue'!$F:$F,""),""))),"")</f>
        <v/>
      </c>
      <c r="O765" t="str">
        <f>IF(M765,IF(B765="Fe",_xludf.XLOOKUP(A765,'Standards Catalogue'!$A:$A,'Standards Catalogue'!$C:$C,""),IF(B765="P",_xludf.XLOOKUP(A765,'Standards Catalogue'!$A:$A,'Standards Catalogue'!$E:$E,""),IF(B765="S",_xludf.XLOOKUP(A765,'Standards Catalogue'!$A:$A,'Standards Catalogue'!$G:$G,""),""))),"")</f>
        <v/>
      </c>
      <c r="P765" t="str">
        <f t="shared" si="57"/>
        <v/>
      </c>
      <c r="Q765" t="str">
        <f t="shared" si="58"/>
        <v/>
      </c>
      <c r="R765" t="str">
        <f t="shared" si="59"/>
        <v/>
      </c>
    </row>
    <row r="766" spans="12:18" x14ac:dyDescent="0.25">
      <c r="L766" t="str">
        <f t="shared" si="55"/>
        <v/>
      </c>
      <c r="M766" t="b">
        <f t="shared" si="56"/>
        <v>0</v>
      </c>
      <c r="N766" t="str">
        <f>IF(M766,IF(B766="Fe",_xludf.XLOOKUP(A766,'Standards Catalogue'!$A:$A,'Standards Catalogue'!$B:$B,""),IF(B766="P",_xludf.XLOOKUP(A766,'Standards Catalogue'!$A:$A,'Standards Catalogue'!$D:$D,""),IF(B766="S",_xludf.XLOOKUP(A766,'Standards Catalogue'!$A:$A,'Standards Catalogue'!$F:$F,""),""))),"")</f>
        <v/>
      </c>
      <c r="O766" t="str">
        <f>IF(M766,IF(B766="Fe",_xludf.XLOOKUP(A766,'Standards Catalogue'!$A:$A,'Standards Catalogue'!$C:$C,""),IF(B766="P",_xludf.XLOOKUP(A766,'Standards Catalogue'!$A:$A,'Standards Catalogue'!$E:$E,""),IF(B766="S",_xludf.XLOOKUP(A766,'Standards Catalogue'!$A:$A,'Standards Catalogue'!$G:$G,""),""))),"")</f>
        <v/>
      </c>
      <c r="P766" t="str">
        <f t="shared" si="57"/>
        <v/>
      </c>
      <c r="Q766" t="str">
        <f t="shared" si="58"/>
        <v/>
      </c>
      <c r="R766" t="str">
        <f t="shared" si="59"/>
        <v/>
      </c>
    </row>
    <row r="767" spans="12:18" x14ac:dyDescent="0.25">
      <c r="L767" t="str">
        <f t="shared" si="55"/>
        <v/>
      </c>
      <c r="M767" t="b">
        <f t="shared" si="56"/>
        <v>0</v>
      </c>
      <c r="N767" t="str">
        <f>IF(M767,IF(B767="Fe",_xludf.XLOOKUP(A767,'Standards Catalogue'!$A:$A,'Standards Catalogue'!$B:$B,""),IF(B767="P",_xludf.XLOOKUP(A767,'Standards Catalogue'!$A:$A,'Standards Catalogue'!$D:$D,""),IF(B767="S",_xludf.XLOOKUP(A767,'Standards Catalogue'!$A:$A,'Standards Catalogue'!$F:$F,""),""))),"")</f>
        <v/>
      </c>
      <c r="O767" t="str">
        <f>IF(M767,IF(B767="Fe",_xludf.XLOOKUP(A767,'Standards Catalogue'!$A:$A,'Standards Catalogue'!$C:$C,""),IF(B767="P",_xludf.XLOOKUP(A767,'Standards Catalogue'!$A:$A,'Standards Catalogue'!$E:$E,""),IF(B767="S",_xludf.XLOOKUP(A767,'Standards Catalogue'!$A:$A,'Standards Catalogue'!$G:$G,""),""))),"")</f>
        <v/>
      </c>
      <c r="P767" t="str">
        <f t="shared" si="57"/>
        <v/>
      </c>
      <c r="Q767" t="str">
        <f t="shared" si="58"/>
        <v/>
      </c>
      <c r="R767" t="str">
        <f t="shared" si="59"/>
        <v/>
      </c>
    </row>
    <row r="768" spans="12:18" x14ac:dyDescent="0.25">
      <c r="L768" t="str">
        <f t="shared" si="55"/>
        <v/>
      </c>
      <c r="M768" t="b">
        <f t="shared" si="56"/>
        <v>0</v>
      </c>
      <c r="N768" t="str">
        <f>IF(M768,IF(B768="Fe",_xludf.XLOOKUP(A768,'Standards Catalogue'!$A:$A,'Standards Catalogue'!$B:$B,""),IF(B768="P",_xludf.XLOOKUP(A768,'Standards Catalogue'!$A:$A,'Standards Catalogue'!$D:$D,""),IF(B768="S",_xludf.XLOOKUP(A768,'Standards Catalogue'!$A:$A,'Standards Catalogue'!$F:$F,""),""))),"")</f>
        <v/>
      </c>
      <c r="O768" t="str">
        <f>IF(M768,IF(B768="Fe",_xludf.XLOOKUP(A768,'Standards Catalogue'!$A:$A,'Standards Catalogue'!$C:$C,""),IF(B768="P",_xludf.XLOOKUP(A768,'Standards Catalogue'!$A:$A,'Standards Catalogue'!$E:$E,""),IF(B768="S",_xludf.XLOOKUP(A768,'Standards Catalogue'!$A:$A,'Standards Catalogue'!$G:$G,""),""))),"")</f>
        <v/>
      </c>
      <c r="P768" t="str">
        <f t="shared" si="57"/>
        <v/>
      </c>
      <c r="Q768" t="str">
        <f t="shared" si="58"/>
        <v/>
      </c>
      <c r="R768" t="str">
        <f t="shared" si="59"/>
        <v/>
      </c>
    </row>
    <row r="769" spans="12:18" x14ac:dyDescent="0.25">
      <c r="L769" t="str">
        <f t="shared" si="55"/>
        <v/>
      </c>
      <c r="M769" t="b">
        <f t="shared" si="56"/>
        <v>0</v>
      </c>
      <c r="N769" t="str">
        <f>IF(M769,IF(B769="Fe",_xludf.XLOOKUP(A769,'Standards Catalogue'!$A:$A,'Standards Catalogue'!$B:$B,""),IF(B769="P",_xludf.XLOOKUP(A769,'Standards Catalogue'!$A:$A,'Standards Catalogue'!$D:$D,""),IF(B769="S",_xludf.XLOOKUP(A769,'Standards Catalogue'!$A:$A,'Standards Catalogue'!$F:$F,""),""))),"")</f>
        <v/>
      </c>
      <c r="O769" t="str">
        <f>IF(M769,IF(B769="Fe",_xludf.XLOOKUP(A769,'Standards Catalogue'!$A:$A,'Standards Catalogue'!$C:$C,""),IF(B769="P",_xludf.XLOOKUP(A769,'Standards Catalogue'!$A:$A,'Standards Catalogue'!$E:$E,""),IF(B769="S",_xludf.XLOOKUP(A769,'Standards Catalogue'!$A:$A,'Standards Catalogue'!$G:$G,""),""))),"")</f>
        <v/>
      </c>
      <c r="P769" t="str">
        <f t="shared" si="57"/>
        <v/>
      </c>
      <c r="Q769" t="str">
        <f t="shared" si="58"/>
        <v/>
      </c>
      <c r="R769" t="str">
        <f t="shared" si="59"/>
        <v/>
      </c>
    </row>
    <row r="770" spans="12:18" x14ac:dyDescent="0.25">
      <c r="L770" t="str">
        <f t="shared" ref="L770:L833" si="60">IF(AND(A770&lt;&gt;"",B770&lt;&gt;""),A770&amp;"|"&amp;B770,"")</f>
        <v/>
      </c>
      <c r="M770" t="b">
        <f t="shared" ref="M770:M833" si="61">IF(COUNTIF(STANDARDS_IDS,A770)&gt;0,TRUE,FALSE)</f>
        <v>0</v>
      </c>
      <c r="N770" t="str">
        <f>IF(M770,IF(B770="Fe",_xludf.XLOOKUP(A770,'Standards Catalogue'!$A:$A,'Standards Catalogue'!$B:$B,""),IF(B770="P",_xludf.XLOOKUP(A770,'Standards Catalogue'!$A:$A,'Standards Catalogue'!$D:$D,""),IF(B770="S",_xludf.XLOOKUP(A770,'Standards Catalogue'!$A:$A,'Standards Catalogue'!$F:$F,""),""))),"")</f>
        <v/>
      </c>
      <c r="O770" t="str">
        <f>IF(M770,IF(B770="Fe",_xludf.XLOOKUP(A770,'Standards Catalogue'!$A:$A,'Standards Catalogue'!$C:$C,""),IF(B770="P",_xludf.XLOOKUP(A770,'Standards Catalogue'!$A:$A,'Standards Catalogue'!$E:$E,""),IF(B770="S",_xludf.XLOOKUP(A770,'Standards Catalogue'!$A:$A,'Standards Catalogue'!$G:$G,""),""))),"")</f>
        <v/>
      </c>
      <c r="P770" t="str">
        <f t="shared" ref="P770:P833" si="62">IF(M770,N770-2*O770,"")</f>
        <v/>
      </c>
      <c r="Q770" t="str">
        <f t="shared" ref="Q770:Q833" si="63">IF(M770,N770+2*O770,"")</f>
        <v/>
      </c>
      <c r="R770" t="str">
        <f t="shared" ref="R770:R833" si="64">IF(M770,IF(OR(C770="",N770="",O770=""),"",IF(AND(C770&gt;=P770,C770&lt;=Q770),"PASS","FAIL")),"")</f>
        <v/>
      </c>
    </row>
    <row r="771" spans="12:18" x14ac:dyDescent="0.25">
      <c r="L771" t="str">
        <f t="shared" si="60"/>
        <v/>
      </c>
      <c r="M771" t="b">
        <f t="shared" si="61"/>
        <v>0</v>
      </c>
      <c r="N771" t="str">
        <f>IF(M771,IF(B771="Fe",_xludf.XLOOKUP(A771,'Standards Catalogue'!$A:$A,'Standards Catalogue'!$B:$B,""),IF(B771="P",_xludf.XLOOKUP(A771,'Standards Catalogue'!$A:$A,'Standards Catalogue'!$D:$D,""),IF(B771="S",_xludf.XLOOKUP(A771,'Standards Catalogue'!$A:$A,'Standards Catalogue'!$F:$F,""),""))),"")</f>
        <v/>
      </c>
      <c r="O771" t="str">
        <f>IF(M771,IF(B771="Fe",_xludf.XLOOKUP(A771,'Standards Catalogue'!$A:$A,'Standards Catalogue'!$C:$C,""),IF(B771="P",_xludf.XLOOKUP(A771,'Standards Catalogue'!$A:$A,'Standards Catalogue'!$E:$E,""),IF(B771="S",_xludf.XLOOKUP(A771,'Standards Catalogue'!$A:$A,'Standards Catalogue'!$G:$G,""),""))),"")</f>
        <v/>
      </c>
      <c r="P771" t="str">
        <f t="shared" si="62"/>
        <v/>
      </c>
      <c r="Q771" t="str">
        <f t="shared" si="63"/>
        <v/>
      </c>
      <c r="R771" t="str">
        <f t="shared" si="64"/>
        <v/>
      </c>
    </row>
    <row r="772" spans="12:18" x14ac:dyDescent="0.25">
      <c r="L772" t="str">
        <f t="shared" si="60"/>
        <v/>
      </c>
      <c r="M772" t="b">
        <f t="shared" si="61"/>
        <v>0</v>
      </c>
      <c r="N772" t="str">
        <f>IF(M772,IF(B772="Fe",_xludf.XLOOKUP(A772,'Standards Catalogue'!$A:$A,'Standards Catalogue'!$B:$B,""),IF(B772="P",_xludf.XLOOKUP(A772,'Standards Catalogue'!$A:$A,'Standards Catalogue'!$D:$D,""),IF(B772="S",_xludf.XLOOKUP(A772,'Standards Catalogue'!$A:$A,'Standards Catalogue'!$F:$F,""),""))),"")</f>
        <v/>
      </c>
      <c r="O772" t="str">
        <f>IF(M772,IF(B772="Fe",_xludf.XLOOKUP(A772,'Standards Catalogue'!$A:$A,'Standards Catalogue'!$C:$C,""),IF(B772="P",_xludf.XLOOKUP(A772,'Standards Catalogue'!$A:$A,'Standards Catalogue'!$E:$E,""),IF(B772="S",_xludf.XLOOKUP(A772,'Standards Catalogue'!$A:$A,'Standards Catalogue'!$G:$G,""),""))),"")</f>
        <v/>
      </c>
      <c r="P772" t="str">
        <f t="shared" si="62"/>
        <v/>
      </c>
      <c r="Q772" t="str">
        <f t="shared" si="63"/>
        <v/>
      </c>
      <c r="R772" t="str">
        <f t="shared" si="64"/>
        <v/>
      </c>
    </row>
    <row r="773" spans="12:18" x14ac:dyDescent="0.25">
      <c r="L773" t="str">
        <f t="shared" si="60"/>
        <v/>
      </c>
      <c r="M773" t="b">
        <f t="shared" si="61"/>
        <v>0</v>
      </c>
      <c r="N773" t="str">
        <f>IF(M773,IF(B773="Fe",_xludf.XLOOKUP(A773,'Standards Catalogue'!$A:$A,'Standards Catalogue'!$B:$B,""),IF(B773="P",_xludf.XLOOKUP(A773,'Standards Catalogue'!$A:$A,'Standards Catalogue'!$D:$D,""),IF(B773="S",_xludf.XLOOKUP(A773,'Standards Catalogue'!$A:$A,'Standards Catalogue'!$F:$F,""),""))),"")</f>
        <v/>
      </c>
      <c r="O773" t="str">
        <f>IF(M773,IF(B773="Fe",_xludf.XLOOKUP(A773,'Standards Catalogue'!$A:$A,'Standards Catalogue'!$C:$C,""),IF(B773="P",_xludf.XLOOKUP(A773,'Standards Catalogue'!$A:$A,'Standards Catalogue'!$E:$E,""),IF(B773="S",_xludf.XLOOKUP(A773,'Standards Catalogue'!$A:$A,'Standards Catalogue'!$G:$G,""),""))),"")</f>
        <v/>
      </c>
      <c r="P773" t="str">
        <f t="shared" si="62"/>
        <v/>
      </c>
      <c r="Q773" t="str">
        <f t="shared" si="63"/>
        <v/>
      </c>
      <c r="R773" t="str">
        <f t="shared" si="64"/>
        <v/>
      </c>
    </row>
    <row r="774" spans="12:18" x14ac:dyDescent="0.25">
      <c r="L774" t="str">
        <f t="shared" si="60"/>
        <v/>
      </c>
      <c r="M774" t="b">
        <f t="shared" si="61"/>
        <v>0</v>
      </c>
      <c r="N774" t="str">
        <f>IF(M774,IF(B774="Fe",_xludf.XLOOKUP(A774,'Standards Catalogue'!$A:$A,'Standards Catalogue'!$B:$B,""),IF(B774="P",_xludf.XLOOKUP(A774,'Standards Catalogue'!$A:$A,'Standards Catalogue'!$D:$D,""),IF(B774="S",_xludf.XLOOKUP(A774,'Standards Catalogue'!$A:$A,'Standards Catalogue'!$F:$F,""),""))),"")</f>
        <v/>
      </c>
      <c r="O774" t="str">
        <f>IF(M774,IF(B774="Fe",_xludf.XLOOKUP(A774,'Standards Catalogue'!$A:$A,'Standards Catalogue'!$C:$C,""),IF(B774="P",_xludf.XLOOKUP(A774,'Standards Catalogue'!$A:$A,'Standards Catalogue'!$E:$E,""),IF(B774="S",_xludf.XLOOKUP(A774,'Standards Catalogue'!$A:$A,'Standards Catalogue'!$G:$G,""),""))),"")</f>
        <v/>
      </c>
      <c r="P774" t="str">
        <f t="shared" si="62"/>
        <v/>
      </c>
      <c r="Q774" t="str">
        <f t="shared" si="63"/>
        <v/>
      </c>
      <c r="R774" t="str">
        <f t="shared" si="64"/>
        <v/>
      </c>
    </row>
    <row r="775" spans="12:18" x14ac:dyDescent="0.25">
      <c r="L775" t="str">
        <f t="shared" si="60"/>
        <v/>
      </c>
      <c r="M775" t="b">
        <f t="shared" si="61"/>
        <v>0</v>
      </c>
      <c r="N775" t="str">
        <f>IF(M775,IF(B775="Fe",_xludf.XLOOKUP(A775,'Standards Catalogue'!$A:$A,'Standards Catalogue'!$B:$B,""),IF(B775="P",_xludf.XLOOKUP(A775,'Standards Catalogue'!$A:$A,'Standards Catalogue'!$D:$D,""),IF(B775="S",_xludf.XLOOKUP(A775,'Standards Catalogue'!$A:$A,'Standards Catalogue'!$F:$F,""),""))),"")</f>
        <v/>
      </c>
      <c r="O775" t="str">
        <f>IF(M775,IF(B775="Fe",_xludf.XLOOKUP(A775,'Standards Catalogue'!$A:$A,'Standards Catalogue'!$C:$C,""),IF(B775="P",_xludf.XLOOKUP(A775,'Standards Catalogue'!$A:$A,'Standards Catalogue'!$E:$E,""),IF(B775="S",_xludf.XLOOKUP(A775,'Standards Catalogue'!$A:$A,'Standards Catalogue'!$G:$G,""),""))),"")</f>
        <v/>
      </c>
      <c r="P775" t="str">
        <f t="shared" si="62"/>
        <v/>
      </c>
      <c r="Q775" t="str">
        <f t="shared" si="63"/>
        <v/>
      </c>
      <c r="R775" t="str">
        <f t="shared" si="64"/>
        <v/>
      </c>
    </row>
    <row r="776" spans="12:18" x14ac:dyDescent="0.25">
      <c r="L776" t="str">
        <f t="shared" si="60"/>
        <v/>
      </c>
      <c r="M776" t="b">
        <f t="shared" si="61"/>
        <v>0</v>
      </c>
      <c r="N776" t="str">
        <f>IF(M776,IF(B776="Fe",_xludf.XLOOKUP(A776,'Standards Catalogue'!$A:$A,'Standards Catalogue'!$B:$B,""),IF(B776="P",_xludf.XLOOKUP(A776,'Standards Catalogue'!$A:$A,'Standards Catalogue'!$D:$D,""),IF(B776="S",_xludf.XLOOKUP(A776,'Standards Catalogue'!$A:$A,'Standards Catalogue'!$F:$F,""),""))),"")</f>
        <v/>
      </c>
      <c r="O776" t="str">
        <f>IF(M776,IF(B776="Fe",_xludf.XLOOKUP(A776,'Standards Catalogue'!$A:$A,'Standards Catalogue'!$C:$C,""),IF(B776="P",_xludf.XLOOKUP(A776,'Standards Catalogue'!$A:$A,'Standards Catalogue'!$E:$E,""),IF(B776="S",_xludf.XLOOKUP(A776,'Standards Catalogue'!$A:$A,'Standards Catalogue'!$G:$G,""),""))),"")</f>
        <v/>
      </c>
      <c r="P776" t="str">
        <f t="shared" si="62"/>
        <v/>
      </c>
      <c r="Q776" t="str">
        <f t="shared" si="63"/>
        <v/>
      </c>
      <c r="R776" t="str">
        <f t="shared" si="64"/>
        <v/>
      </c>
    </row>
    <row r="777" spans="12:18" x14ac:dyDescent="0.25">
      <c r="L777" t="str">
        <f t="shared" si="60"/>
        <v/>
      </c>
      <c r="M777" t="b">
        <f t="shared" si="61"/>
        <v>0</v>
      </c>
      <c r="N777" t="str">
        <f>IF(M777,IF(B777="Fe",_xludf.XLOOKUP(A777,'Standards Catalogue'!$A:$A,'Standards Catalogue'!$B:$B,""),IF(B777="P",_xludf.XLOOKUP(A777,'Standards Catalogue'!$A:$A,'Standards Catalogue'!$D:$D,""),IF(B777="S",_xludf.XLOOKUP(A777,'Standards Catalogue'!$A:$A,'Standards Catalogue'!$F:$F,""),""))),"")</f>
        <v/>
      </c>
      <c r="O777" t="str">
        <f>IF(M777,IF(B777="Fe",_xludf.XLOOKUP(A777,'Standards Catalogue'!$A:$A,'Standards Catalogue'!$C:$C,""),IF(B777="P",_xludf.XLOOKUP(A777,'Standards Catalogue'!$A:$A,'Standards Catalogue'!$E:$E,""),IF(B777="S",_xludf.XLOOKUP(A777,'Standards Catalogue'!$A:$A,'Standards Catalogue'!$G:$G,""),""))),"")</f>
        <v/>
      </c>
      <c r="P777" t="str">
        <f t="shared" si="62"/>
        <v/>
      </c>
      <c r="Q777" t="str">
        <f t="shared" si="63"/>
        <v/>
      </c>
      <c r="R777" t="str">
        <f t="shared" si="64"/>
        <v/>
      </c>
    </row>
    <row r="778" spans="12:18" x14ac:dyDescent="0.25">
      <c r="L778" t="str">
        <f t="shared" si="60"/>
        <v/>
      </c>
      <c r="M778" t="b">
        <f t="shared" si="61"/>
        <v>0</v>
      </c>
      <c r="N778" t="str">
        <f>IF(M778,IF(B778="Fe",_xludf.XLOOKUP(A778,'Standards Catalogue'!$A:$A,'Standards Catalogue'!$B:$B,""),IF(B778="P",_xludf.XLOOKUP(A778,'Standards Catalogue'!$A:$A,'Standards Catalogue'!$D:$D,""),IF(B778="S",_xludf.XLOOKUP(A778,'Standards Catalogue'!$A:$A,'Standards Catalogue'!$F:$F,""),""))),"")</f>
        <v/>
      </c>
      <c r="O778" t="str">
        <f>IF(M778,IF(B778="Fe",_xludf.XLOOKUP(A778,'Standards Catalogue'!$A:$A,'Standards Catalogue'!$C:$C,""),IF(B778="P",_xludf.XLOOKUP(A778,'Standards Catalogue'!$A:$A,'Standards Catalogue'!$E:$E,""),IF(B778="S",_xludf.XLOOKUP(A778,'Standards Catalogue'!$A:$A,'Standards Catalogue'!$G:$G,""),""))),"")</f>
        <v/>
      </c>
      <c r="P778" t="str">
        <f t="shared" si="62"/>
        <v/>
      </c>
      <c r="Q778" t="str">
        <f t="shared" si="63"/>
        <v/>
      </c>
      <c r="R778" t="str">
        <f t="shared" si="64"/>
        <v/>
      </c>
    </row>
    <row r="779" spans="12:18" x14ac:dyDescent="0.25">
      <c r="L779" t="str">
        <f t="shared" si="60"/>
        <v/>
      </c>
      <c r="M779" t="b">
        <f t="shared" si="61"/>
        <v>0</v>
      </c>
      <c r="N779" t="str">
        <f>IF(M779,IF(B779="Fe",_xludf.XLOOKUP(A779,'Standards Catalogue'!$A:$A,'Standards Catalogue'!$B:$B,""),IF(B779="P",_xludf.XLOOKUP(A779,'Standards Catalogue'!$A:$A,'Standards Catalogue'!$D:$D,""),IF(B779="S",_xludf.XLOOKUP(A779,'Standards Catalogue'!$A:$A,'Standards Catalogue'!$F:$F,""),""))),"")</f>
        <v/>
      </c>
      <c r="O779" t="str">
        <f>IF(M779,IF(B779="Fe",_xludf.XLOOKUP(A779,'Standards Catalogue'!$A:$A,'Standards Catalogue'!$C:$C,""),IF(B779="P",_xludf.XLOOKUP(A779,'Standards Catalogue'!$A:$A,'Standards Catalogue'!$E:$E,""),IF(B779="S",_xludf.XLOOKUP(A779,'Standards Catalogue'!$A:$A,'Standards Catalogue'!$G:$G,""),""))),"")</f>
        <v/>
      </c>
      <c r="P779" t="str">
        <f t="shared" si="62"/>
        <v/>
      </c>
      <c r="Q779" t="str">
        <f t="shared" si="63"/>
        <v/>
      </c>
      <c r="R779" t="str">
        <f t="shared" si="64"/>
        <v/>
      </c>
    </row>
    <row r="780" spans="12:18" x14ac:dyDescent="0.25">
      <c r="L780" t="str">
        <f t="shared" si="60"/>
        <v/>
      </c>
      <c r="M780" t="b">
        <f t="shared" si="61"/>
        <v>0</v>
      </c>
      <c r="N780" t="str">
        <f>IF(M780,IF(B780="Fe",_xludf.XLOOKUP(A780,'Standards Catalogue'!$A:$A,'Standards Catalogue'!$B:$B,""),IF(B780="P",_xludf.XLOOKUP(A780,'Standards Catalogue'!$A:$A,'Standards Catalogue'!$D:$D,""),IF(B780="S",_xludf.XLOOKUP(A780,'Standards Catalogue'!$A:$A,'Standards Catalogue'!$F:$F,""),""))),"")</f>
        <v/>
      </c>
      <c r="O780" t="str">
        <f>IF(M780,IF(B780="Fe",_xludf.XLOOKUP(A780,'Standards Catalogue'!$A:$A,'Standards Catalogue'!$C:$C,""),IF(B780="P",_xludf.XLOOKUP(A780,'Standards Catalogue'!$A:$A,'Standards Catalogue'!$E:$E,""),IF(B780="S",_xludf.XLOOKUP(A780,'Standards Catalogue'!$A:$A,'Standards Catalogue'!$G:$G,""),""))),"")</f>
        <v/>
      </c>
      <c r="P780" t="str">
        <f t="shared" si="62"/>
        <v/>
      </c>
      <c r="Q780" t="str">
        <f t="shared" si="63"/>
        <v/>
      </c>
      <c r="R780" t="str">
        <f t="shared" si="64"/>
        <v/>
      </c>
    </row>
    <row r="781" spans="12:18" x14ac:dyDescent="0.25">
      <c r="L781" t="str">
        <f t="shared" si="60"/>
        <v/>
      </c>
      <c r="M781" t="b">
        <f t="shared" si="61"/>
        <v>0</v>
      </c>
      <c r="N781" t="str">
        <f>IF(M781,IF(B781="Fe",_xludf.XLOOKUP(A781,'Standards Catalogue'!$A:$A,'Standards Catalogue'!$B:$B,""),IF(B781="P",_xludf.XLOOKUP(A781,'Standards Catalogue'!$A:$A,'Standards Catalogue'!$D:$D,""),IF(B781="S",_xludf.XLOOKUP(A781,'Standards Catalogue'!$A:$A,'Standards Catalogue'!$F:$F,""),""))),"")</f>
        <v/>
      </c>
      <c r="O781" t="str">
        <f>IF(M781,IF(B781="Fe",_xludf.XLOOKUP(A781,'Standards Catalogue'!$A:$A,'Standards Catalogue'!$C:$C,""),IF(B781="P",_xludf.XLOOKUP(A781,'Standards Catalogue'!$A:$A,'Standards Catalogue'!$E:$E,""),IF(B781="S",_xludf.XLOOKUP(A781,'Standards Catalogue'!$A:$A,'Standards Catalogue'!$G:$G,""),""))),"")</f>
        <v/>
      </c>
      <c r="P781" t="str">
        <f t="shared" si="62"/>
        <v/>
      </c>
      <c r="Q781" t="str">
        <f t="shared" si="63"/>
        <v/>
      </c>
      <c r="R781" t="str">
        <f t="shared" si="64"/>
        <v/>
      </c>
    </row>
    <row r="782" spans="12:18" x14ac:dyDescent="0.25">
      <c r="L782" t="str">
        <f t="shared" si="60"/>
        <v/>
      </c>
      <c r="M782" t="b">
        <f t="shared" si="61"/>
        <v>0</v>
      </c>
      <c r="N782" t="str">
        <f>IF(M782,IF(B782="Fe",_xludf.XLOOKUP(A782,'Standards Catalogue'!$A:$A,'Standards Catalogue'!$B:$B,""),IF(B782="P",_xludf.XLOOKUP(A782,'Standards Catalogue'!$A:$A,'Standards Catalogue'!$D:$D,""),IF(B782="S",_xludf.XLOOKUP(A782,'Standards Catalogue'!$A:$A,'Standards Catalogue'!$F:$F,""),""))),"")</f>
        <v/>
      </c>
      <c r="O782" t="str">
        <f>IF(M782,IF(B782="Fe",_xludf.XLOOKUP(A782,'Standards Catalogue'!$A:$A,'Standards Catalogue'!$C:$C,""),IF(B782="P",_xludf.XLOOKUP(A782,'Standards Catalogue'!$A:$A,'Standards Catalogue'!$E:$E,""),IF(B782="S",_xludf.XLOOKUP(A782,'Standards Catalogue'!$A:$A,'Standards Catalogue'!$G:$G,""),""))),"")</f>
        <v/>
      </c>
      <c r="P782" t="str">
        <f t="shared" si="62"/>
        <v/>
      </c>
      <c r="Q782" t="str">
        <f t="shared" si="63"/>
        <v/>
      </c>
      <c r="R782" t="str">
        <f t="shared" si="64"/>
        <v/>
      </c>
    </row>
    <row r="783" spans="12:18" x14ac:dyDescent="0.25">
      <c r="L783" t="str">
        <f t="shared" si="60"/>
        <v/>
      </c>
      <c r="M783" t="b">
        <f t="shared" si="61"/>
        <v>0</v>
      </c>
      <c r="N783" t="str">
        <f>IF(M783,IF(B783="Fe",_xludf.XLOOKUP(A783,'Standards Catalogue'!$A:$A,'Standards Catalogue'!$B:$B,""),IF(B783="P",_xludf.XLOOKUP(A783,'Standards Catalogue'!$A:$A,'Standards Catalogue'!$D:$D,""),IF(B783="S",_xludf.XLOOKUP(A783,'Standards Catalogue'!$A:$A,'Standards Catalogue'!$F:$F,""),""))),"")</f>
        <v/>
      </c>
      <c r="O783" t="str">
        <f>IF(M783,IF(B783="Fe",_xludf.XLOOKUP(A783,'Standards Catalogue'!$A:$A,'Standards Catalogue'!$C:$C,""),IF(B783="P",_xludf.XLOOKUP(A783,'Standards Catalogue'!$A:$A,'Standards Catalogue'!$E:$E,""),IF(B783="S",_xludf.XLOOKUP(A783,'Standards Catalogue'!$A:$A,'Standards Catalogue'!$G:$G,""),""))),"")</f>
        <v/>
      </c>
      <c r="P783" t="str">
        <f t="shared" si="62"/>
        <v/>
      </c>
      <c r="Q783" t="str">
        <f t="shared" si="63"/>
        <v/>
      </c>
      <c r="R783" t="str">
        <f t="shared" si="64"/>
        <v/>
      </c>
    </row>
    <row r="784" spans="12:18" x14ac:dyDescent="0.25">
      <c r="L784" t="str">
        <f t="shared" si="60"/>
        <v/>
      </c>
      <c r="M784" t="b">
        <f t="shared" si="61"/>
        <v>0</v>
      </c>
      <c r="N784" t="str">
        <f>IF(M784,IF(B784="Fe",_xludf.XLOOKUP(A784,'Standards Catalogue'!$A:$A,'Standards Catalogue'!$B:$B,""),IF(B784="P",_xludf.XLOOKUP(A784,'Standards Catalogue'!$A:$A,'Standards Catalogue'!$D:$D,""),IF(B784="S",_xludf.XLOOKUP(A784,'Standards Catalogue'!$A:$A,'Standards Catalogue'!$F:$F,""),""))),"")</f>
        <v/>
      </c>
      <c r="O784" t="str">
        <f>IF(M784,IF(B784="Fe",_xludf.XLOOKUP(A784,'Standards Catalogue'!$A:$A,'Standards Catalogue'!$C:$C,""),IF(B784="P",_xludf.XLOOKUP(A784,'Standards Catalogue'!$A:$A,'Standards Catalogue'!$E:$E,""),IF(B784="S",_xludf.XLOOKUP(A784,'Standards Catalogue'!$A:$A,'Standards Catalogue'!$G:$G,""),""))),"")</f>
        <v/>
      </c>
      <c r="P784" t="str">
        <f t="shared" si="62"/>
        <v/>
      </c>
      <c r="Q784" t="str">
        <f t="shared" si="63"/>
        <v/>
      </c>
      <c r="R784" t="str">
        <f t="shared" si="64"/>
        <v/>
      </c>
    </row>
    <row r="785" spans="12:18" x14ac:dyDescent="0.25">
      <c r="L785" t="str">
        <f t="shared" si="60"/>
        <v/>
      </c>
      <c r="M785" t="b">
        <f t="shared" si="61"/>
        <v>0</v>
      </c>
      <c r="N785" t="str">
        <f>IF(M785,IF(B785="Fe",_xludf.XLOOKUP(A785,'Standards Catalogue'!$A:$A,'Standards Catalogue'!$B:$B,""),IF(B785="P",_xludf.XLOOKUP(A785,'Standards Catalogue'!$A:$A,'Standards Catalogue'!$D:$D,""),IF(B785="S",_xludf.XLOOKUP(A785,'Standards Catalogue'!$A:$A,'Standards Catalogue'!$F:$F,""),""))),"")</f>
        <v/>
      </c>
      <c r="O785" t="str">
        <f>IF(M785,IF(B785="Fe",_xludf.XLOOKUP(A785,'Standards Catalogue'!$A:$A,'Standards Catalogue'!$C:$C,""),IF(B785="P",_xludf.XLOOKUP(A785,'Standards Catalogue'!$A:$A,'Standards Catalogue'!$E:$E,""),IF(B785="S",_xludf.XLOOKUP(A785,'Standards Catalogue'!$A:$A,'Standards Catalogue'!$G:$G,""),""))),"")</f>
        <v/>
      </c>
      <c r="P785" t="str">
        <f t="shared" si="62"/>
        <v/>
      </c>
      <c r="Q785" t="str">
        <f t="shared" si="63"/>
        <v/>
      </c>
      <c r="R785" t="str">
        <f t="shared" si="64"/>
        <v/>
      </c>
    </row>
    <row r="786" spans="12:18" x14ac:dyDescent="0.25">
      <c r="L786" t="str">
        <f t="shared" si="60"/>
        <v/>
      </c>
      <c r="M786" t="b">
        <f t="shared" si="61"/>
        <v>0</v>
      </c>
      <c r="N786" t="str">
        <f>IF(M786,IF(B786="Fe",_xludf.XLOOKUP(A786,'Standards Catalogue'!$A:$A,'Standards Catalogue'!$B:$B,""),IF(B786="P",_xludf.XLOOKUP(A786,'Standards Catalogue'!$A:$A,'Standards Catalogue'!$D:$D,""),IF(B786="S",_xludf.XLOOKUP(A786,'Standards Catalogue'!$A:$A,'Standards Catalogue'!$F:$F,""),""))),"")</f>
        <v/>
      </c>
      <c r="O786" t="str">
        <f>IF(M786,IF(B786="Fe",_xludf.XLOOKUP(A786,'Standards Catalogue'!$A:$A,'Standards Catalogue'!$C:$C,""),IF(B786="P",_xludf.XLOOKUP(A786,'Standards Catalogue'!$A:$A,'Standards Catalogue'!$E:$E,""),IF(B786="S",_xludf.XLOOKUP(A786,'Standards Catalogue'!$A:$A,'Standards Catalogue'!$G:$G,""),""))),"")</f>
        <v/>
      </c>
      <c r="P786" t="str">
        <f t="shared" si="62"/>
        <v/>
      </c>
      <c r="Q786" t="str">
        <f t="shared" si="63"/>
        <v/>
      </c>
      <c r="R786" t="str">
        <f t="shared" si="64"/>
        <v/>
      </c>
    </row>
    <row r="787" spans="12:18" x14ac:dyDescent="0.25">
      <c r="L787" t="str">
        <f t="shared" si="60"/>
        <v/>
      </c>
      <c r="M787" t="b">
        <f t="shared" si="61"/>
        <v>0</v>
      </c>
      <c r="N787" t="str">
        <f>IF(M787,IF(B787="Fe",_xludf.XLOOKUP(A787,'Standards Catalogue'!$A:$A,'Standards Catalogue'!$B:$B,""),IF(B787="P",_xludf.XLOOKUP(A787,'Standards Catalogue'!$A:$A,'Standards Catalogue'!$D:$D,""),IF(B787="S",_xludf.XLOOKUP(A787,'Standards Catalogue'!$A:$A,'Standards Catalogue'!$F:$F,""),""))),"")</f>
        <v/>
      </c>
      <c r="O787" t="str">
        <f>IF(M787,IF(B787="Fe",_xludf.XLOOKUP(A787,'Standards Catalogue'!$A:$A,'Standards Catalogue'!$C:$C,""),IF(B787="P",_xludf.XLOOKUP(A787,'Standards Catalogue'!$A:$A,'Standards Catalogue'!$E:$E,""),IF(B787="S",_xludf.XLOOKUP(A787,'Standards Catalogue'!$A:$A,'Standards Catalogue'!$G:$G,""),""))),"")</f>
        <v/>
      </c>
      <c r="P787" t="str">
        <f t="shared" si="62"/>
        <v/>
      </c>
      <c r="Q787" t="str">
        <f t="shared" si="63"/>
        <v/>
      </c>
      <c r="R787" t="str">
        <f t="shared" si="64"/>
        <v/>
      </c>
    </row>
    <row r="788" spans="12:18" x14ac:dyDescent="0.25">
      <c r="L788" t="str">
        <f t="shared" si="60"/>
        <v/>
      </c>
      <c r="M788" t="b">
        <f t="shared" si="61"/>
        <v>0</v>
      </c>
      <c r="N788" t="str">
        <f>IF(M788,IF(B788="Fe",_xludf.XLOOKUP(A788,'Standards Catalogue'!$A:$A,'Standards Catalogue'!$B:$B,""),IF(B788="P",_xludf.XLOOKUP(A788,'Standards Catalogue'!$A:$A,'Standards Catalogue'!$D:$D,""),IF(B788="S",_xludf.XLOOKUP(A788,'Standards Catalogue'!$A:$A,'Standards Catalogue'!$F:$F,""),""))),"")</f>
        <v/>
      </c>
      <c r="O788" t="str">
        <f>IF(M788,IF(B788="Fe",_xludf.XLOOKUP(A788,'Standards Catalogue'!$A:$A,'Standards Catalogue'!$C:$C,""),IF(B788="P",_xludf.XLOOKUP(A788,'Standards Catalogue'!$A:$A,'Standards Catalogue'!$E:$E,""),IF(B788="S",_xludf.XLOOKUP(A788,'Standards Catalogue'!$A:$A,'Standards Catalogue'!$G:$G,""),""))),"")</f>
        <v/>
      </c>
      <c r="P788" t="str">
        <f t="shared" si="62"/>
        <v/>
      </c>
      <c r="Q788" t="str">
        <f t="shared" si="63"/>
        <v/>
      </c>
      <c r="R788" t="str">
        <f t="shared" si="64"/>
        <v/>
      </c>
    </row>
    <row r="789" spans="12:18" x14ac:dyDescent="0.25">
      <c r="L789" t="str">
        <f t="shared" si="60"/>
        <v/>
      </c>
      <c r="M789" t="b">
        <f t="shared" si="61"/>
        <v>0</v>
      </c>
      <c r="N789" t="str">
        <f>IF(M789,IF(B789="Fe",_xludf.XLOOKUP(A789,'Standards Catalogue'!$A:$A,'Standards Catalogue'!$B:$B,""),IF(B789="P",_xludf.XLOOKUP(A789,'Standards Catalogue'!$A:$A,'Standards Catalogue'!$D:$D,""),IF(B789="S",_xludf.XLOOKUP(A789,'Standards Catalogue'!$A:$A,'Standards Catalogue'!$F:$F,""),""))),"")</f>
        <v/>
      </c>
      <c r="O789" t="str">
        <f>IF(M789,IF(B789="Fe",_xludf.XLOOKUP(A789,'Standards Catalogue'!$A:$A,'Standards Catalogue'!$C:$C,""),IF(B789="P",_xludf.XLOOKUP(A789,'Standards Catalogue'!$A:$A,'Standards Catalogue'!$E:$E,""),IF(B789="S",_xludf.XLOOKUP(A789,'Standards Catalogue'!$A:$A,'Standards Catalogue'!$G:$G,""),""))),"")</f>
        <v/>
      </c>
      <c r="P789" t="str">
        <f t="shared" si="62"/>
        <v/>
      </c>
      <c r="Q789" t="str">
        <f t="shared" si="63"/>
        <v/>
      </c>
      <c r="R789" t="str">
        <f t="shared" si="64"/>
        <v/>
      </c>
    </row>
    <row r="790" spans="12:18" x14ac:dyDescent="0.25">
      <c r="L790" t="str">
        <f t="shared" si="60"/>
        <v/>
      </c>
      <c r="M790" t="b">
        <f t="shared" si="61"/>
        <v>0</v>
      </c>
      <c r="N790" t="str">
        <f>IF(M790,IF(B790="Fe",_xludf.XLOOKUP(A790,'Standards Catalogue'!$A:$A,'Standards Catalogue'!$B:$B,""),IF(B790="P",_xludf.XLOOKUP(A790,'Standards Catalogue'!$A:$A,'Standards Catalogue'!$D:$D,""),IF(B790="S",_xludf.XLOOKUP(A790,'Standards Catalogue'!$A:$A,'Standards Catalogue'!$F:$F,""),""))),"")</f>
        <v/>
      </c>
      <c r="O790" t="str">
        <f>IF(M790,IF(B790="Fe",_xludf.XLOOKUP(A790,'Standards Catalogue'!$A:$A,'Standards Catalogue'!$C:$C,""),IF(B790="P",_xludf.XLOOKUP(A790,'Standards Catalogue'!$A:$A,'Standards Catalogue'!$E:$E,""),IF(B790="S",_xludf.XLOOKUP(A790,'Standards Catalogue'!$A:$A,'Standards Catalogue'!$G:$G,""),""))),"")</f>
        <v/>
      </c>
      <c r="P790" t="str">
        <f t="shared" si="62"/>
        <v/>
      </c>
      <c r="Q790" t="str">
        <f t="shared" si="63"/>
        <v/>
      </c>
      <c r="R790" t="str">
        <f t="shared" si="64"/>
        <v/>
      </c>
    </row>
    <row r="791" spans="12:18" x14ac:dyDescent="0.25">
      <c r="L791" t="str">
        <f t="shared" si="60"/>
        <v/>
      </c>
      <c r="M791" t="b">
        <f t="shared" si="61"/>
        <v>0</v>
      </c>
      <c r="N791" t="str">
        <f>IF(M791,IF(B791="Fe",_xludf.XLOOKUP(A791,'Standards Catalogue'!$A:$A,'Standards Catalogue'!$B:$B,""),IF(B791="P",_xludf.XLOOKUP(A791,'Standards Catalogue'!$A:$A,'Standards Catalogue'!$D:$D,""),IF(B791="S",_xludf.XLOOKUP(A791,'Standards Catalogue'!$A:$A,'Standards Catalogue'!$F:$F,""),""))),"")</f>
        <v/>
      </c>
      <c r="O791" t="str">
        <f>IF(M791,IF(B791="Fe",_xludf.XLOOKUP(A791,'Standards Catalogue'!$A:$A,'Standards Catalogue'!$C:$C,""),IF(B791="P",_xludf.XLOOKUP(A791,'Standards Catalogue'!$A:$A,'Standards Catalogue'!$E:$E,""),IF(B791="S",_xludf.XLOOKUP(A791,'Standards Catalogue'!$A:$A,'Standards Catalogue'!$G:$G,""),""))),"")</f>
        <v/>
      </c>
      <c r="P791" t="str">
        <f t="shared" si="62"/>
        <v/>
      </c>
      <c r="Q791" t="str">
        <f t="shared" si="63"/>
        <v/>
      </c>
      <c r="R791" t="str">
        <f t="shared" si="64"/>
        <v/>
      </c>
    </row>
    <row r="792" spans="12:18" x14ac:dyDescent="0.25">
      <c r="L792" t="str">
        <f t="shared" si="60"/>
        <v/>
      </c>
      <c r="M792" t="b">
        <f t="shared" si="61"/>
        <v>0</v>
      </c>
      <c r="N792" t="str">
        <f>IF(M792,IF(B792="Fe",_xludf.XLOOKUP(A792,'Standards Catalogue'!$A:$A,'Standards Catalogue'!$B:$B,""),IF(B792="P",_xludf.XLOOKUP(A792,'Standards Catalogue'!$A:$A,'Standards Catalogue'!$D:$D,""),IF(B792="S",_xludf.XLOOKUP(A792,'Standards Catalogue'!$A:$A,'Standards Catalogue'!$F:$F,""),""))),"")</f>
        <v/>
      </c>
      <c r="O792" t="str">
        <f>IF(M792,IF(B792="Fe",_xludf.XLOOKUP(A792,'Standards Catalogue'!$A:$A,'Standards Catalogue'!$C:$C,""),IF(B792="P",_xludf.XLOOKUP(A792,'Standards Catalogue'!$A:$A,'Standards Catalogue'!$E:$E,""),IF(B792="S",_xludf.XLOOKUP(A792,'Standards Catalogue'!$A:$A,'Standards Catalogue'!$G:$G,""),""))),"")</f>
        <v/>
      </c>
      <c r="P792" t="str">
        <f t="shared" si="62"/>
        <v/>
      </c>
      <c r="Q792" t="str">
        <f t="shared" si="63"/>
        <v/>
      </c>
      <c r="R792" t="str">
        <f t="shared" si="64"/>
        <v/>
      </c>
    </row>
    <row r="793" spans="12:18" x14ac:dyDescent="0.25">
      <c r="L793" t="str">
        <f t="shared" si="60"/>
        <v/>
      </c>
      <c r="M793" t="b">
        <f t="shared" si="61"/>
        <v>0</v>
      </c>
      <c r="N793" t="str">
        <f>IF(M793,IF(B793="Fe",_xludf.XLOOKUP(A793,'Standards Catalogue'!$A:$A,'Standards Catalogue'!$B:$B,""),IF(B793="P",_xludf.XLOOKUP(A793,'Standards Catalogue'!$A:$A,'Standards Catalogue'!$D:$D,""),IF(B793="S",_xludf.XLOOKUP(A793,'Standards Catalogue'!$A:$A,'Standards Catalogue'!$F:$F,""),""))),"")</f>
        <v/>
      </c>
      <c r="O793" t="str">
        <f>IF(M793,IF(B793="Fe",_xludf.XLOOKUP(A793,'Standards Catalogue'!$A:$A,'Standards Catalogue'!$C:$C,""),IF(B793="P",_xludf.XLOOKUP(A793,'Standards Catalogue'!$A:$A,'Standards Catalogue'!$E:$E,""),IF(B793="S",_xludf.XLOOKUP(A793,'Standards Catalogue'!$A:$A,'Standards Catalogue'!$G:$G,""),""))),"")</f>
        <v/>
      </c>
      <c r="P793" t="str">
        <f t="shared" si="62"/>
        <v/>
      </c>
      <c r="Q793" t="str">
        <f t="shared" si="63"/>
        <v/>
      </c>
      <c r="R793" t="str">
        <f t="shared" si="64"/>
        <v/>
      </c>
    </row>
    <row r="794" spans="12:18" x14ac:dyDescent="0.25">
      <c r="L794" t="str">
        <f t="shared" si="60"/>
        <v/>
      </c>
      <c r="M794" t="b">
        <f t="shared" si="61"/>
        <v>0</v>
      </c>
      <c r="N794" t="str">
        <f>IF(M794,IF(B794="Fe",_xludf.XLOOKUP(A794,'Standards Catalogue'!$A:$A,'Standards Catalogue'!$B:$B,""),IF(B794="P",_xludf.XLOOKUP(A794,'Standards Catalogue'!$A:$A,'Standards Catalogue'!$D:$D,""),IF(B794="S",_xludf.XLOOKUP(A794,'Standards Catalogue'!$A:$A,'Standards Catalogue'!$F:$F,""),""))),"")</f>
        <v/>
      </c>
      <c r="O794" t="str">
        <f>IF(M794,IF(B794="Fe",_xludf.XLOOKUP(A794,'Standards Catalogue'!$A:$A,'Standards Catalogue'!$C:$C,""),IF(B794="P",_xludf.XLOOKUP(A794,'Standards Catalogue'!$A:$A,'Standards Catalogue'!$E:$E,""),IF(B794="S",_xludf.XLOOKUP(A794,'Standards Catalogue'!$A:$A,'Standards Catalogue'!$G:$G,""),""))),"")</f>
        <v/>
      </c>
      <c r="P794" t="str">
        <f t="shared" si="62"/>
        <v/>
      </c>
      <c r="Q794" t="str">
        <f t="shared" si="63"/>
        <v/>
      </c>
      <c r="R794" t="str">
        <f t="shared" si="64"/>
        <v/>
      </c>
    </row>
    <row r="795" spans="12:18" x14ac:dyDescent="0.25">
      <c r="L795" t="str">
        <f t="shared" si="60"/>
        <v/>
      </c>
      <c r="M795" t="b">
        <f t="shared" si="61"/>
        <v>0</v>
      </c>
      <c r="N795" t="str">
        <f>IF(M795,IF(B795="Fe",_xludf.XLOOKUP(A795,'Standards Catalogue'!$A:$A,'Standards Catalogue'!$B:$B,""),IF(B795="P",_xludf.XLOOKUP(A795,'Standards Catalogue'!$A:$A,'Standards Catalogue'!$D:$D,""),IF(B795="S",_xludf.XLOOKUP(A795,'Standards Catalogue'!$A:$A,'Standards Catalogue'!$F:$F,""),""))),"")</f>
        <v/>
      </c>
      <c r="O795" t="str">
        <f>IF(M795,IF(B795="Fe",_xludf.XLOOKUP(A795,'Standards Catalogue'!$A:$A,'Standards Catalogue'!$C:$C,""),IF(B795="P",_xludf.XLOOKUP(A795,'Standards Catalogue'!$A:$A,'Standards Catalogue'!$E:$E,""),IF(B795="S",_xludf.XLOOKUP(A795,'Standards Catalogue'!$A:$A,'Standards Catalogue'!$G:$G,""),""))),"")</f>
        <v/>
      </c>
      <c r="P795" t="str">
        <f t="shared" si="62"/>
        <v/>
      </c>
      <c r="Q795" t="str">
        <f t="shared" si="63"/>
        <v/>
      </c>
      <c r="R795" t="str">
        <f t="shared" si="64"/>
        <v/>
      </c>
    </row>
    <row r="796" spans="12:18" x14ac:dyDescent="0.25">
      <c r="L796" t="str">
        <f t="shared" si="60"/>
        <v/>
      </c>
      <c r="M796" t="b">
        <f t="shared" si="61"/>
        <v>0</v>
      </c>
      <c r="N796" t="str">
        <f>IF(M796,IF(B796="Fe",_xludf.XLOOKUP(A796,'Standards Catalogue'!$A:$A,'Standards Catalogue'!$B:$B,""),IF(B796="P",_xludf.XLOOKUP(A796,'Standards Catalogue'!$A:$A,'Standards Catalogue'!$D:$D,""),IF(B796="S",_xludf.XLOOKUP(A796,'Standards Catalogue'!$A:$A,'Standards Catalogue'!$F:$F,""),""))),"")</f>
        <v/>
      </c>
      <c r="O796" t="str">
        <f>IF(M796,IF(B796="Fe",_xludf.XLOOKUP(A796,'Standards Catalogue'!$A:$A,'Standards Catalogue'!$C:$C,""),IF(B796="P",_xludf.XLOOKUP(A796,'Standards Catalogue'!$A:$A,'Standards Catalogue'!$E:$E,""),IF(B796="S",_xludf.XLOOKUP(A796,'Standards Catalogue'!$A:$A,'Standards Catalogue'!$G:$G,""),""))),"")</f>
        <v/>
      </c>
      <c r="P796" t="str">
        <f t="shared" si="62"/>
        <v/>
      </c>
      <c r="Q796" t="str">
        <f t="shared" si="63"/>
        <v/>
      </c>
      <c r="R796" t="str">
        <f t="shared" si="64"/>
        <v/>
      </c>
    </row>
    <row r="797" spans="12:18" x14ac:dyDescent="0.25">
      <c r="L797" t="str">
        <f t="shared" si="60"/>
        <v/>
      </c>
      <c r="M797" t="b">
        <f t="shared" si="61"/>
        <v>0</v>
      </c>
      <c r="N797" t="str">
        <f>IF(M797,IF(B797="Fe",_xludf.XLOOKUP(A797,'Standards Catalogue'!$A:$A,'Standards Catalogue'!$B:$B,""),IF(B797="P",_xludf.XLOOKUP(A797,'Standards Catalogue'!$A:$A,'Standards Catalogue'!$D:$D,""),IF(B797="S",_xludf.XLOOKUP(A797,'Standards Catalogue'!$A:$A,'Standards Catalogue'!$F:$F,""),""))),"")</f>
        <v/>
      </c>
      <c r="O797" t="str">
        <f>IF(M797,IF(B797="Fe",_xludf.XLOOKUP(A797,'Standards Catalogue'!$A:$A,'Standards Catalogue'!$C:$C,""),IF(B797="P",_xludf.XLOOKUP(A797,'Standards Catalogue'!$A:$A,'Standards Catalogue'!$E:$E,""),IF(B797="S",_xludf.XLOOKUP(A797,'Standards Catalogue'!$A:$A,'Standards Catalogue'!$G:$G,""),""))),"")</f>
        <v/>
      </c>
      <c r="P797" t="str">
        <f t="shared" si="62"/>
        <v/>
      </c>
      <c r="Q797" t="str">
        <f t="shared" si="63"/>
        <v/>
      </c>
      <c r="R797" t="str">
        <f t="shared" si="64"/>
        <v/>
      </c>
    </row>
    <row r="798" spans="12:18" x14ac:dyDescent="0.25">
      <c r="L798" t="str">
        <f t="shared" si="60"/>
        <v/>
      </c>
      <c r="M798" t="b">
        <f t="shared" si="61"/>
        <v>0</v>
      </c>
      <c r="N798" t="str">
        <f>IF(M798,IF(B798="Fe",_xludf.XLOOKUP(A798,'Standards Catalogue'!$A:$A,'Standards Catalogue'!$B:$B,""),IF(B798="P",_xludf.XLOOKUP(A798,'Standards Catalogue'!$A:$A,'Standards Catalogue'!$D:$D,""),IF(B798="S",_xludf.XLOOKUP(A798,'Standards Catalogue'!$A:$A,'Standards Catalogue'!$F:$F,""),""))),"")</f>
        <v/>
      </c>
      <c r="O798" t="str">
        <f>IF(M798,IF(B798="Fe",_xludf.XLOOKUP(A798,'Standards Catalogue'!$A:$A,'Standards Catalogue'!$C:$C,""),IF(B798="P",_xludf.XLOOKUP(A798,'Standards Catalogue'!$A:$A,'Standards Catalogue'!$E:$E,""),IF(B798="S",_xludf.XLOOKUP(A798,'Standards Catalogue'!$A:$A,'Standards Catalogue'!$G:$G,""),""))),"")</f>
        <v/>
      </c>
      <c r="P798" t="str">
        <f t="shared" si="62"/>
        <v/>
      </c>
      <c r="Q798" t="str">
        <f t="shared" si="63"/>
        <v/>
      </c>
      <c r="R798" t="str">
        <f t="shared" si="64"/>
        <v/>
      </c>
    </row>
    <row r="799" spans="12:18" x14ac:dyDescent="0.25">
      <c r="L799" t="str">
        <f t="shared" si="60"/>
        <v/>
      </c>
      <c r="M799" t="b">
        <f t="shared" si="61"/>
        <v>0</v>
      </c>
      <c r="N799" t="str">
        <f>IF(M799,IF(B799="Fe",_xludf.XLOOKUP(A799,'Standards Catalogue'!$A:$A,'Standards Catalogue'!$B:$B,""),IF(B799="P",_xludf.XLOOKUP(A799,'Standards Catalogue'!$A:$A,'Standards Catalogue'!$D:$D,""),IF(B799="S",_xludf.XLOOKUP(A799,'Standards Catalogue'!$A:$A,'Standards Catalogue'!$F:$F,""),""))),"")</f>
        <v/>
      </c>
      <c r="O799" t="str">
        <f>IF(M799,IF(B799="Fe",_xludf.XLOOKUP(A799,'Standards Catalogue'!$A:$A,'Standards Catalogue'!$C:$C,""),IF(B799="P",_xludf.XLOOKUP(A799,'Standards Catalogue'!$A:$A,'Standards Catalogue'!$E:$E,""),IF(B799="S",_xludf.XLOOKUP(A799,'Standards Catalogue'!$A:$A,'Standards Catalogue'!$G:$G,""),""))),"")</f>
        <v/>
      </c>
      <c r="P799" t="str">
        <f t="shared" si="62"/>
        <v/>
      </c>
      <c r="Q799" t="str">
        <f t="shared" si="63"/>
        <v/>
      </c>
      <c r="R799" t="str">
        <f t="shared" si="64"/>
        <v/>
      </c>
    </row>
    <row r="800" spans="12:18" x14ac:dyDescent="0.25">
      <c r="L800" t="str">
        <f t="shared" si="60"/>
        <v/>
      </c>
      <c r="M800" t="b">
        <f t="shared" si="61"/>
        <v>0</v>
      </c>
      <c r="N800" t="str">
        <f>IF(M800,IF(B800="Fe",_xludf.XLOOKUP(A800,'Standards Catalogue'!$A:$A,'Standards Catalogue'!$B:$B,""),IF(B800="P",_xludf.XLOOKUP(A800,'Standards Catalogue'!$A:$A,'Standards Catalogue'!$D:$D,""),IF(B800="S",_xludf.XLOOKUP(A800,'Standards Catalogue'!$A:$A,'Standards Catalogue'!$F:$F,""),""))),"")</f>
        <v/>
      </c>
      <c r="O800" t="str">
        <f>IF(M800,IF(B800="Fe",_xludf.XLOOKUP(A800,'Standards Catalogue'!$A:$A,'Standards Catalogue'!$C:$C,""),IF(B800="P",_xludf.XLOOKUP(A800,'Standards Catalogue'!$A:$A,'Standards Catalogue'!$E:$E,""),IF(B800="S",_xludf.XLOOKUP(A800,'Standards Catalogue'!$A:$A,'Standards Catalogue'!$G:$G,""),""))),"")</f>
        <v/>
      </c>
      <c r="P800" t="str">
        <f t="shared" si="62"/>
        <v/>
      </c>
      <c r="Q800" t="str">
        <f t="shared" si="63"/>
        <v/>
      </c>
      <c r="R800" t="str">
        <f t="shared" si="64"/>
        <v/>
      </c>
    </row>
    <row r="801" spans="12:18" x14ac:dyDescent="0.25">
      <c r="L801" t="str">
        <f t="shared" si="60"/>
        <v/>
      </c>
      <c r="M801" t="b">
        <f t="shared" si="61"/>
        <v>0</v>
      </c>
      <c r="N801" t="str">
        <f>IF(M801,IF(B801="Fe",_xludf.XLOOKUP(A801,'Standards Catalogue'!$A:$A,'Standards Catalogue'!$B:$B,""),IF(B801="P",_xludf.XLOOKUP(A801,'Standards Catalogue'!$A:$A,'Standards Catalogue'!$D:$D,""),IF(B801="S",_xludf.XLOOKUP(A801,'Standards Catalogue'!$A:$A,'Standards Catalogue'!$F:$F,""),""))),"")</f>
        <v/>
      </c>
      <c r="O801" t="str">
        <f>IF(M801,IF(B801="Fe",_xludf.XLOOKUP(A801,'Standards Catalogue'!$A:$A,'Standards Catalogue'!$C:$C,""),IF(B801="P",_xludf.XLOOKUP(A801,'Standards Catalogue'!$A:$A,'Standards Catalogue'!$E:$E,""),IF(B801="S",_xludf.XLOOKUP(A801,'Standards Catalogue'!$A:$A,'Standards Catalogue'!$G:$G,""),""))),"")</f>
        <v/>
      </c>
      <c r="P801" t="str">
        <f t="shared" si="62"/>
        <v/>
      </c>
      <c r="Q801" t="str">
        <f t="shared" si="63"/>
        <v/>
      </c>
      <c r="R801" t="str">
        <f t="shared" si="64"/>
        <v/>
      </c>
    </row>
    <row r="802" spans="12:18" x14ac:dyDescent="0.25">
      <c r="L802" t="str">
        <f t="shared" si="60"/>
        <v/>
      </c>
      <c r="M802" t="b">
        <f t="shared" si="61"/>
        <v>0</v>
      </c>
      <c r="N802" t="str">
        <f>IF(M802,IF(B802="Fe",_xludf.XLOOKUP(A802,'Standards Catalogue'!$A:$A,'Standards Catalogue'!$B:$B,""),IF(B802="P",_xludf.XLOOKUP(A802,'Standards Catalogue'!$A:$A,'Standards Catalogue'!$D:$D,""),IF(B802="S",_xludf.XLOOKUP(A802,'Standards Catalogue'!$A:$A,'Standards Catalogue'!$F:$F,""),""))),"")</f>
        <v/>
      </c>
      <c r="O802" t="str">
        <f>IF(M802,IF(B802="Fe",_xludf.XLOOKUP(A802,'Standards Catalogue'!$A:$A,'Standards Catalogue'!$C:$C,""),IF(B802="P",_xludf.XLOOKUP(A802,'Standards Catalogue'!$A:$A,'Standards Catalogue'!$E:$E,""),IF(B802="S",_xludf.XLOOKUP(A802,'Standards Catalogue'!$A:$A,'Standards Catalogue'!$G:$G,""),""))),"")</f>
        <v/>
      </c>
      <c r="P802" t="str">
        <f t="shared" si="62"/>
        <v/>
      </c>
      <c r="Q802" t="str">
        <f t="shared" si="63"/>
        <v/>
      </c>
      <c r="R802" t="str">
        <f t="shared" si="64"/>
        <v/>
      </c>
    </row>
    <row r="803" spans="12:18" x14ac:dyDescent="0.25">
      <c r="L803" t="str">
        <f t="shared" si="60"/>
        <v/>
      </c>
      <c r="M803" t="b">
        <f t="shared" si="61"/>
        <v>0</v>
      </c>
      <c r="N803" t="str">
        <f>IF(M803,IF(B803="Fe",_xludf.XLOOKUP(A803,'Standards Catalogue'!$A:$A,'Standards Catalogue'!$B:$B,""),IF(B803="P",_xludf.XLOOKUP(A803,'Standards Catalogue'!$A:$A,'Standards Catalogue'!$D:$D,""),IF(B803="S",_xludf.XLOOKUP(A803,'Standards Catalogue'!$A:$A,'Standards Catalogue'!$F:$F,""),""))),"")</f>
        <v/>
      </c>
      <c r="O803" t="str">
        <f>IF(M803,IF(B803="Fe",_xludf.XLOOKUP(A803,'Standards Catalogue'!$A:$A,'Standards Catalogue'!$C:$C,""),IF(B803="P",_xludf.XLOOKUP(A803,'Standards Catalogue'!$A:$A,'Standards Catalogue'!$E:$E,""),IF(B803="S",_xludf.XLOOKUP(A803,'Standards Catalogue'!$A:$A,'Standards Catalogue'!$G:$G,""),""))),"")</f>
        <v/>
      </c>
      <c r="P803" t="str">
        <f t="shared" si="62"/>
        <v/>
      </c>
      <c r="Q803" t="str">
        <f t="shared" si="63"/>
        <v/>
      </c>
      <c r="R803" t="str">
        <f t="shared" si="64"/>
        <v/>
      </c>
    </row>
    <row r="804" spans="12:18" x14ac:dyDescent="0.25">
      <c r="L804" t="str">
        <f t="shared" si="60"/>
        <v/>
      </c>
      <c r="M804" t="b">
        <f t="shared" si="61"/>
        <v>0</v>
      </c>
      <c r="N804" t="str">
        <f>IF(M804,IF(B804="Fe",_xludf.XLOOKUP(A804,'Standards Catalogue'!$A:$A,'Standards Catalogue'!$B:$B,""),IF(B804="P",_xludf.XLOOKUP(A804,'Standards Catalogue'!$A:$A,'Standards Catalogue'!$D:$D,""),IF(B804="S",_xludf.XLOOKUP(A804,'Standards Catalogue'!$A:$A,'Standards Catalogue'!$F:$F,""),""))),"")</f>
        <v/>
      </c>
      <c r="O804" t="str">
        <f>IF(M804,IF(B804="Fe",_xludf.XLOOKUP(A804,'Standards Catalogue'!$A:$A,'Standards Catalogue'!$C:$C,""),IF(B804="P",_xludf.XLOOKUP(A804,'Standards Catalogue'!$A:$A,'Standards Catalogue'!$E:$E,""),IF(B804="S",_xludf.XLOOKUP(A804,'Standards Catalogue'!$A:$A,'Standards Catalogue'!$G:$G,""),""))),"")</f>
        <v/>
      </c>
      <c r="P804" t="str">
        <f t="shared" si="62"/>
        <v/>
      </c>
      <c r="Q804" t="str">
        <f t="shared" si="63"/>
        <v/>
      </c>
      <c r="R804" t="str">
        <f t="shared" si="64"/>
        <v/>
      </c>
    </row>
    <row r="805" spans="12:18" x14ac:dyDescent="0.25">
      <c r="L805" t="str">
        <f t="shared" si="60"/>
        <v/>
      </c>
      <c r="M805" t="b">
        <f t="shared" si="61"/>
        <v>0</v>
      </c>
      <c r="N805" t="str">
        <f>IF(M805,IF(B805="Fe",_xludf.XLOOKUP(A805,'Standards Catalogue'!$A:$A,'Standards Catalogue'!$B:$B,""),IF(B805="P",_xludf.XLOOKUP(A805,'Standards Catalogue'!$A:$A,'Standards Catalogue'!$D:$D,""),IF(B805="S",_xludf.XLOOKUP(A805,'Standards Catalogue'!$A:$A,'Standards Catalogue'!$F:$F,""),""))),"")</f>
        <v/>
      </c>
      <c r="O805" t="str">
        <f>IF(M805,IF(B805="Fe",_xludf.XLOOKUP(A805,'Standards Catalogue'!$A:$A,'Standards Catalogue'!$C:$C,""),IF(B805="P",_xludf.XLOOKUP(A805,'Standards Catalogue'!$A:$A,'Standards Catalogue'!$E:$E,""),IF(B805="S",_xludf.XLOOKUP(A805,'Standards Catalogue'!$A:$A,'Standards Catalogue'!$G:$G,""),""))),"")</f>
        <v/>
      </c>
      <c r="P805" t="str">
        <f t="shared" si="62"/>
        <v/>
      </c>
      <c r="Q805" t="str">
        <f t="shared" si="63"/>
        <v/>
      </c>
      <c r="R805" t="str">
        <f t="shared" si="64"/>
        <v/>
      </c>
    </row>
    <row r="806" spans="12:18" x14ac:dyDescent="0.25">
      <c r="L806" t="str">
        <f t="shared" si="60"/>
        <v/>
      </c>
      <c r="M806" t="b">
        <f t="shared" si="61"/>
        <v>0</v>
      </c>
      <c r="N806" t="str">
        <f>IF(M806,IF(B806="Fe",_xludf.XLOOKUP(A806,'Standards Catalogue'!$A:$A,'Standards Catalogue'!$B:$B,""),IF(B806="P",_xludf.XLOOKUP(A806,'Standards Catalogue'!$A:$A,'Standards Catalogue'!$D:$D,""),IF(B806="S",_xludf.XLOOKUP(A806,'Standards Catalogue'!$A:$A,'Standards Catalogue'!$F:$F,""),""))),"")</f>
        <v/>
      </c>
      <c r="O806" t="str">
        <f>IF(M806,IF(B806="Fe",_xludf.XLOOKUP(A806,'Standards Catalogue'!$A:$A,'Standards Catalogue'!$C:$C,""),IF(B806="P",_xludf.XLOOKUP(A806,'Standards Catalogue'!$A:$A,'Standards Catalogue'!$E:$E,""),IF(B806="S",_xludf.XLOOKUP(A806,'Standards Catalogue'!$A:$A,'Standards Catalogue'!$G:$G,""),""))),"")</f>
        <v/>
      </c>
      <c r="P806" t="str">
        <f t="shared" si="62"/>
        <v/>
      </c>
      <c r="Q806" t="str">
        <f t="shared" si="63"/>
        <v/>
      </c>
      <c r="R806" t="str">
        <f t="shared" si="64"/>
        <v/>
      </c>
    </row>
    <row r="807" spans="12:18" x14ac:dyDescent="0.25">
      <c r="L807" t="str">
        <f t="shared" si="60"/>
        <v/>
      </c>
      <c r="M807" t="b">
        <f t="shared" si="61"/>
        <v>0</v>
      </c>
      <c r="N807" t="str">
        <f>IF(M807,IF(B807="Fe",_xludf.XLOOKUP(A807,'Standards Catalogue'!$A:$A,'Standards Catalogue'!$B:$B,""),IF(B807="P",_xludf.XLOOKUP(A807,'Standards Catalogue'!$A:$A,'Standards Catalogue'!$D:$D,""),IF(B807="S",_xludf.XLOOKUP(A807,'Standards Catalogue'!$A:$A,'Standards Catalogue'!$F:$F,""),""))),"")</f>
        <v/>
      </c>
      <c r="O807" t="str">
        <f>IF(M807,IF(B807="Fe",_xludf.XLOOKUP(A807,'Standards Catalogue'!$A:$A,'Standards Catalogue'!$C:$C,""),IF(B807="P",_xludf.XLOOKUP(A807,'Standards Catalogue'!$A:$A,'Standards Catalogue'!$E:$E,""),IF(B807="S",_xludf.XLOOKUP(A807,'Standards Catalogue'!$A:$A,'Standards Catalogue'!$G:$G,""),""))),"")</f>
        <v/>
      </c>
      <c r="P807" t="str">
        <f t="shared" si="62"/>
        <v/>
      </c>
      <c r="Q807" t="str">
        <f t="shared" si="63"/>
        <v/>
      </c>
      <c r="R807" t="str">
        <f t="shared" si="64"/>
        <v/>
      </c>
    </row>
    <row r="808" spans="12:18" x14ac:dyDescent="0.25">
      <c r="L808" t="str">
        <f t="shared" si="60"/>
        <v/>
      </c>
      <c r="M808" t="b">
        <f t="shared" si="61"/>
        <v>0</v>
      </c>
      <c r="N808" t="str">
        <f>IF(M808,IF(B808="Fe",_xludf.XLOOKUP(A808,'Standards Catalogue'!$A:$A,'Standards Catalogue'!$B:$B,""),IF(B808="P",_xludf.XLOOKUP(A808,'Standards Catalogue'!$A:$A,'Standards Catalogue'!$D:$D,""),IF(B808="S",_xludf.XLOOKUP(A808,'Standards Catalogue'!$A:$A,'Standards Catalogue'!$F:$F,""),""))),"")</f>
        <v/>
      </c>
      <c r="O808" t="str">
        <f>IF(M808,IF(B808="Fe",_xludf.XLOOKUP(A808,'Standards Catalogue'!$A:$A,'Standards Catalogue'!$C:$C,""),IF(B808="P",_xludf.XLOOKUP(A808,'Standards Catalogue'!$A:$A,'Standards Catalogue'!$E:$E,""),IF(B808="S",_xludf.XLOOKUP(A808,'Standards Catalogue'!$A:$A,'Standards Catalogue'!$G:$G,""),""))),"")</f>
        <v/>
      </c>
      <c r="P808" t="str">
        <f t="shared" si="62"/>
        <v/>
      </c>
      <c r="Q808" t="str">
        <f t="shared" si="63"/>
        <v/>
      </c>
      <c r="R808" t="str">
        <f t="shared" si="64"/>
        <v/>
      </c>
    </row>
    <row r="809" spans="12:18" x14ac:dyDescent="0.25">
      <c r="L809" t="str">
        <f t="shared" si="60"/>
        <v/>
      </c>
      <c r="M809" t="b">
        <f t="shared" si="61"/>
        <v>0</v>
      </c>
      <c r="N809" t="str">
        <f>IF(M809,IF(B809="Fe",_xludf.XLOOKUP(A809,'Standards Catalogue'!$A:$A,'Standards Catalogue'!$B:$B,""),IF(B809="P",_xludf.XLOOKUP(A809,'Standards Catalogue'!$A:$A,'Standards Catalogue'!$D:$D,""),IF(B809="S",_xludf.XLOOKUP(A809,'Standards Catalogue'!$A:$A,'Standards Catalogue'!$F:$F,""),""))),"")</f>
        <v/>
      </c>
      <c r="O809" t="str">
        <f>IF(M809,IF(B809="Fe",_xludf.XLOOKUP(A809,'Standards Catalogue'!$A:$A,'Standards Catalogue'!$C:$C,""),IF(B809="P",_xludf.XLOOKUP(A809,'Standards Catalogue'!$A:$A,'Standards Catalogue'!$E:$E,""),IF(B809="S",_xludf.XLOOKUP(A809,'Standards Catalogue'!$A:$A,'Standards Catalogue'!$G:$G,""),""))),"")</f>
        <v/>
      </c>
      <c r="P809" t="str">
        <f t="shared" si="62"/>
        <v/>
      </c>
      <c r="Q809" t="str">
        <f t="shared" si="63"/>
        <v/>
      </c>
      <c r="R809" t="str">
        <f t="shared" si="64"/>
        <v/>
      </c>
    </row>
    <row r="810" spans="12:18" x14ac:dyDescent="0.25">
      <c r="L810" t="str">
        <f t="shared" si="60"/>
        <v/>
      </c>
      <c r="M810" t="b">
        <f t="shared" si="61"/>
        <v>0</v>
      </c>
      <c r="N810" t="str">
        <f>IF(M810,IF(B810="Fe",_xludf.XLOOKUP(A810,'Standards Catalogue'!$A:$A,'Standards Catalogue'!$B:$B,""),IF(B810="P",_xludf.XLOOKUP(A810,'Standards Catalogue'!$A:$A,'Standards Catalogue'!$D:$D,""),IF(B810="S",_xludf.XLOOKUP(A810,'Standards Catalogue'!$A:$A,'Standards Catalogue'!$F:$F,""),""))),"")</f>
        <v/>
      </c>
      <c r="O810" t="str">
        <f>IF(M810,IF(B810="Fe",_xludf.XLOOKUP(A810,'Standards Catalogue'!$A:$A,'Standards Catalogue'!$C:$C,""),IF(B810="P",_xludf.XLOOKUP(A810,'Standards Catalogue'!$A:$A,'Standards Catalogue'!$E:$E,""),IF(B810="S",_xludf.XLOOKUP(A810,'Standards Catalogue'!$A:$A,'Standards Catalogue'!$G:$G,""),""))),"")</f>
        <v/>
      </c>
      <c r="P810" t="str">
        <f t="shared" si="62"/>
        <v/>
      </c>
      <c r="Q810" t="str">
        <f t="shared" si="63"/>
        <v/>
      </c>
      <c r="R810" t="str">
        <f t="shared" si="64"/>
        <v/>
      </c>
    </row>
    <row r="811" spans="12:18" x14ac:dyDescent="0.25">
      <c r="L811" t="str">
        <f t="shared" si="60"/>
        <v/>
      </c>
      <c r="M811" t="b">
        <f t="shared" si="61"/>
        <v>0</v>
      </c>
      <c r="N811" t="str">
        <f>IF(M811,IF(B811="Fe",_xludf.XLOOKUP(A811,'Standards Catalogue'!$A:$A,'Standards Catalogue'!$B:$B,""),IF(B811="P",_xludf.XLOOKUP(A811,'Standards Catalogue'!$A:$A,'Standards Catalogue'!$D:$D,""),IF(B811="S",_xludf.XLOOKUP(A811,'Standards Catalogue'!$A:$A,'Standards Catalogue'!$F:$F,""),""))),"")</f>
        <v/>
      </c>
      <c r="O811" t="str">
        <f>IF(M811,IF(B811="Fe",_xludf.XLOOKUP(A811,'Standards Catalogue'!$A:$A,'Standards Catalogue'!$C:$C,""),IF(B811="P",_xludf.XLOOKUP(A811,'Standards Catalogue'!$A:$A,'Standards Catalogue'!$E:$E,""),IF(B811="S",_xludf.XLOOKUP(A811,'Standards Catalogue'!$A:$A,'Standards Catalogue'!$G:$G,""),""))),"")</f>
        <v/>
      </c>
      <c r="P811" t="str">
        <f t="shared" si="62"/>
        <v/>
      </c>
      <c r="Q811" t="str">
        <f t="shared" si="63"/>
        <v/>
      </c>
      <c r="R811" t="str">
        <f t="shared" si="64"/>
        <v/>
      </c>
    </row>
    <row r="812" spans="12:18" x14ac:dyDescent="0.25">
      <c r="L812" t="str">
        <f t="shared" si="60"/>
        <v/>
      </c>
      <c r="M812" t="b">
        <f t="shared" si="61"/>
        <v>0</v>
      </c>
      <c r="N812" t="str">
        <f>IF(M812,IF(B812="Fe",_xludf.XLOOKUP(A812,'Standards Catalogue'!$A:$A,'Standards Catalogue'!$B:$B,""),IF(B812="P",_xludf.XLOOKUP(A812,'Standards Catalogue'!$A:$A,'Standards Catalogue'!$D:$D,""),IF(B812="S",_xludf.XLOOKUP(A812,'Standards Catalogue'!$A:$A,'Standards Catalogue'!$F:$F,""),""))),"")</f>
        <v/>
      </c>
      <c r="O812" t="str">
        <f>IF(M812,IF(B812="Fe",_xludf.XLOOKUP(A812,'Standards Catalogue'!$A:$A,'Standards Catalogue'!$C:$C,""),IF(B812="P",_xludf.XLOOKUP(A812,'Standards Catalogue'!$A:$A,'Standards Catalogue'!$E:$E,""),IF(B812="S",_xludf.XLOOKUP(A812,'Standards Catalogue'!$A:$A,'Standards Catalogue'!$G:$G,""),""))),"")</f>
        <v/>
      </c>
      <c r="P812" t="str">
        <f t="shared" si="62"/>
        <v/>
      </c>
      <c r="Q812" t="str">
        <f t="shared" si="63"/>
        <v/>
      </c>
      <c r="R812" t="str">
        <f t="shared" si="64"/>
        <v/>
      </c>
    </row>
    <row r="813" spans="12:18" x14ac:dyDescent="0.25">
      <c r="L813" t="str">
        <f t="shared" si="60"/>
        <v/>
      </c>
      <c r="M813" t="b">
        <f t="shared" si="61"/>
        <v>0</v>
      </c>
      <c r="N813" t="str">
        <f>IF(M813,IF(B813="Fe",_xludf.XLOOKUP(A813,'Standards Catalogue'!$A:$A,'Standards Catalogue'!$B:$B,""),IF(B813="P",_xludf.XLOOKUP(A813,'Standards Catalogue'!$A:$A,'Standards Catalogue'!$D:$D,""),IF(B813="S",_xludf.XLOOKUP(A813,'Standards Catalogue'!$A:$A,'Standards Catalogue'!$F:$F,""),""))),"")</f>
        <v/>
      </c>
      <c r="O813" t="str">
        <f>IF(M813,IF(B813="Fe",_xludf.XLOOKUP(A813,'Standards Catalogue'!$A:$A,'Standards Catalogue'!$C:$C,""),IF(B813="P",_xludf.XLOOKUP(A813,'Standards Catalogue'!$A:$A,'Standards Catalogue'!$E:$E,""),IF(B813="S",_xludf.XLOOKUP(A813,'Standards Catalogue'!$A:$A,'Standards Catalogue'!$G:$G,""),""))),"")</f>
        <v/>
      </c>
      <c r="P813" t="str">
        <f t="shared" si="62"/>
        <v/>
      </c>
      <c r="Q813" t="str">
        <f t="shared" si="63"/>
        <v/>
      </c>
      <c r="R813" t="str">
        <f t="shared" si="64"/>
        <v/>
      </c>
    </row>
    <row r="814" spans="12:18" x14ac:dyDescent="0.25">
      <c r="L814" t="str">
        <f t="shared" si="60"/>
        <v/>
      </c>
      <c r="M814" t="b">
        <f t="shared" si="61"/>
        <v>0</v>
      </c>
      <c r="N814" t="str">
        <f>IF(M814,IF(B814="Fe",_xludf.XLOOKUP(A814,'Standards Catalogue'!$A:$A,'Standards Catalogue'!$B:$B,""),IF(B814="P",_xludf.XLOOKUP(A814,'Standards Catalogue'!$A:$A,'Standards Catalogue'!$D:$D,""),IF(B814="S",_xludf.XLOOKUP(A814,'Standards Catalogue'!$A:$A,'Standards Catalogue'!$F:$F,""),""))),"")</f>
        <v/>
      </c>
      <c r="O814" t="str">
        <f>IF(M814,IF(B814="Fe",_xludf.XLOOKUP(A814,'Standards Catalogue'!$A:$A,'Standards Catalogue'!$C:$C,""),IF(B814="P",_xludf.XLOOKUP(A814,'Standards Catalogue'!$A:$A,'Standards Catalogue'!$E:$E,""),IF(B814="S",_xludf.XLOOKUP(A814,'Standards Catalogue'!$A:$A,'Standards Catalogue'!$G:$G,""),""))),"")</f>
        <v/>
      </c>
      <c r="P814" t="str">
        <f t="shared" si="62"/>
        <v/>
      </c>
      <c r="Q814" t="str">
        <f t="shared" si="63"/>
        <v/>
      </c>
      <c r="R814" t="str">
        <f t="shared" si="64"/>
        <v/>
      </c>
    </row>
    <row r="815" spans="12:18" x14ac:dyDescent="0.25">
      <c r="L815" t="str">
        <f t="shared" si="60"/>
        <v/>
      </c>
      <c r="M815" t="b">
        <f t="shared" si="61"/>
        <v>0</v>
      </c>
      <c r="N815" t="str">
        <f>IF(M815,IF(B815="Fe",_xludf.XLOOKUP(A815,'Standards Catalogue'!$A:$A,'Standards Catalogue'!$B:$B,""),IF(B815="P",_xludf.XLOOKUP(A815,'Standards Catalogue'!$A:$A,'Standards Catalogue'!$D:$D,""),IF(B815="S",_xludf.XLOOKUP(A815,'Standards Catalogue'!$A:$A,'Standards Catalogue'!$F:$F,""),""))),"")</f>
        <v/>
      </c>
      <c r="O815" t="str">
        <f>IF(M815,IF(B815="Fe",_xludf.XLOOKUP(A815,'Standards Catalogue'!$A:$A,'Standards Catalogue'!$C:$C,""),IF(B815="P",_xludf.XLOOKUP(A815,'Standards Catalogue'!$A:$A,'Standards Catalogue'!$E:$E,""),IF(B815="S",_xludf.XLOOKUP(A815,'Standards Catalogue'!$A:$A,'Standards Catalogue'!$G:$G,""),""))),"")</f>
        <v/>
      </c>
      <c r="P815" t="str">
        <f t="shared" si="62"/>
        <v/>
      </c>
      <c r="Q815" t="str">
        <f t="shared" si="63"/>
        <v/>
      </c>
      <c r="R815" t="str">
        <f t="shared" si="64"/>
        <v/>
      </c>
    </row>
    <row r="816" spans="12:18" x14ac:dyDescent="0.25">
      <c r="L816" t="str">
        <f t="shared" si="60"/>
        <v/>
      </c>
      <c r="M816" t="b">
        <f t="shared" si="61"/>
        <v>0</v>
      </c>
      <c r="N816" t="str">
        <f>IF(M816,IF(B816="Fe",_xludf.XLOOKUP(A816,'Standards Catalogue'!$A:$A,'Standards Catalogue'!$B:$B,""),IF(B816="P",_xludf.XLOOKUP(A816,'Standards Catalogue'!$A:$A,'Standards Catalogue'!$D:$D,""),IF(B816="S",_xludf.XLOOKUP(A816,'Standards Catalogue'!$A:$A,'Standards Catalogue'!$F:$F,""),""))),"")</f>
        <v/>
      </c>
      <c r="O816" t="str">
        <f>IF(M816,IF(B816="Fe",_xludf.XLOOKUP(A816,'Standards Catalogue'!$A:$A,'Standards Catalogue'!$C:$C,""),IF(B816="P",_xludf.XLOOKUP(A816,'Standards Catalogue'!$A:$A,'Standards Catalogue'!$E:$E,""),IF(B816="S",_xludf.XLOOKUP(A816,'Standards Catalogue'!$A:$A,'Standards Catalogue'!$G:$G,""),""))),"")</f>
        <v/>
      </c>
      <c r="P816" t="str">
        <f t="shared" si="62"/>
        <v/>
      </c>
      <c r="Q816" t="str">
        <f t="shared" si="63"/>
        <v/>
      </c>
      <c r="R816" t="str">
        <f t="shared" si="64"/>
        <v/>
      </c>
    </row>
    <row r="817" spans="12:18" x14ac:dyDescent="0.25">
      <c r="L817" t="str">
        <f t="shared" si="60"/>
        <v/>
      </c>
      <c r="M817" t="b">
        <f t="shared" si="61"/>
        <v>0</v>
      </c>
      <c r="N817" t="str">
        <f>IF(M817,IF(B817="Fe",_xludf.XLOOKUP(A817,'Standards Catalogue'!$A:$A,'Standards Catalogue'!$B:$B,""),IF(B817="P",_xludf.XLOOKUP(A817,'Standards Catalogue'!$A:$A,'Standards Catalogue'!$D:$D,""),IF(B817="S",_xludf.XLOOKUP(A817,'Standards Catalogue'!$A:$A,'Standards Catalogue'!$F:$F,""),""))),"")</f>
        <v/>
      </c>
      <c r="O817" t="str">
        <f>IF(M817,IF(B817="Fe",_xludf.XLOOKUP(A817,'Standards Catalogue'!$A:$A,'Standards Catalogue'!$C:$C,""),IF(B817="P",_xludf.XLOOKUP(A817,'Standards Catalogue'!$A:$A,'Standards Catalogue'!$E:$E,""),IF(B817="S",_xludf.XLOOKUP(A817,'Standards Catalogue'!$A:$A,'Standards Catalogue'!$G:$G,""),""))),"")</f>
        <v/>
      </c>
      <c r="P817" t="str">
        <f t="shared" si="62"/>
        <v/>
      </c>
      <c r="Q817" t="str">
        <f t="shared" si="63"/>
        <v/>
      </c>
      <c r="R817" t="str">
        <f t="shared" si="64"/>
        <v/>
      </c>
    </row>
    <row r="818" spans="12:18" x14ac:dyDescent="0.25">
      <c r="L818" t="str">
        <f t="shared" si="60"/>
        <v/>
      </c>
      <c r="M818" t="b">
        <f t="shared" si="61"/>
        <v>0</v>
      </c>
      <c r="N818" t="str">
        <f>IF(M818,IF(B818="Fe",_xludf.XLOOKUP(A818,'Standards Catalogue'!$A:$A,'Standards Catalogue'!$B:$B,""),IF(B818="P",_xludf.XLOOKUP(A818,'Standards Catalogue'!$A:$A,'Standards Catalogue'!$D:$D,""),IF(B818="S",_xludf.XLOOKUP(A818,'Standards Catalogue'!$A:$A,'Standards Catalogue'!$F:$F,""),""))),"")</f>
        <v/>
      </c>
      <c r="O818" t="str">
        <f>IF(M818,IF(B818="Fe",_xludf.XLOOKUP(A818,'Standards Catalogue'!$A:$A,'Standards Catalogue'!$C:$C,""),IF(B818="P",_xludf.XLOOKUP(A818,'Standards Catalogue'!$A:$A,'Standards Catalogue'!$E:$E,""),IF(B818="S",_xludf.XLOOKUP(A818,'Standards Catalogue'!$A:$A,'Standards Catalogue'!$G:$G,""),""))),"")</f>
        <v/>
      </c>
      <c r="P818" t="str">
        <f t="shared" si="62"/>
        <v/>
      </c>
      <c r="Q818" t="str">
        <f t="shared" si="63"/>
        <v/>
      </c>
      <c r="R818" t="str">
        <f t="shared" si="64"/>
        <v/>
      </c>
    </row>
    <row r="819" spans="12:18" x14ac:dyDescent="0.25">
      <c r="L819" t="str">
        <f t="shared" si="60"/>
        <v/>
      </c>
      <c r="M819" t="b">
        <f t="shared" si="61"/>
        <v>0</v>
      </c>
      <c r="N819" t="str">
        <f>IF(M819,IF(B819="Fe",_xludf.XLOOKUP(A819,'Standards Catalogue'!$A:$A,'Standards Catalogue'!$B:$B,""),IF(B819="P",_xludf.XLOOKUP(A819,'Standards Catalogue'!$A:$A,'Standards Catalogue'!$D:$D,""),IF(B819="S",_xludf.XLOOKUP(A819,'Standards Catalogue'!$A:$A,'Standards Catalogue'!$F:$F,""),""))),"")</f>
        <v/>
      </c>
      <c r="O819" t="str">
        <f>IF(M819,IF(B819="Fe",_xludf.XLOOKUP(A819,'Standards Catalogue'!$A:$A,'Standards Catalogue'!$C:$C,""),IF(B819="P",_xludf.XLOOKUP(A819,'Standards Catalogue'!$A:$A,'Standards Catalogue'!$E:$E,""),IF(B819="S",_xludf.XLOOKUP(A819,'Standards Catalogue'!$A:$A,'Standards Catalogue'!$G:$G,""),""))),"")</f>
        <v/>
      </c>
      <c r="P819" t="str">
        <f t="shared" si="62"/>
        <v/>
      </c>
      <c r="Q819" t="str">
        <f t="shared" si="63"/>
        <v/>
      </c>
      <c r="R819" t="str">
        <f t="shared" si="64"/>
        <v/>
      </c>
    </row>
    <row r="820" spans="12:18" x14ac:dyDescent="0.25">
      <c r="L820" t="str">
        <f t="shared" si="60"/>
        <v/>
      </c>
      <c r="M820" t="b">
        <f t="shared" si="61"/>
        <v>0</v>
      </c>
      <c r="N820" t="str">
        <f>IF(M820,IF(B820="Fe",_xludf.XLOOKUP(A820,'Standards Catalogue'!$A:$A,'Standards Catalogue'!$B:$B,""),IF(B820="P",_xludf.XLOOKUP(A820,'Standards Catalogue'!$A:$A,'Standards Catalogue'!$D:$D,""),IF(B820="S",_xludf.XLOOKUP(A820,'Standards Catalogue'!$A:$A,'Standards Catalogue'!$F:$F,""),""))),"")</f>
        <v/>
      </c>
      <c r="O820" t="str">
        <f>IF(M820,IF(B820="Fe",_xludf.XLOOKUP(A820,'Standards Catalogue'!$A:$A,'Standards Catalogue'!$C:$C,""),IF(B820="P",_xludf.XLOOKUP(A820,'Standards Catalogue'!$A:$A,'Standards Catalogue'!$E:$E,""),IF(B820="S",_xludf.XLOOKUP(A820,'Standards Catalogue'!$A:$A,'Standards Catalogue'!$G:$G,""),""))),"")</f>
        <v/>
      </c>
      <c r="P820" t="str">
        <f t="shared" si="62"/>
        <v/>
      </c>
      <c r="Q820" t="str">
        <f t="shared" si="63"/>
        <v/>
      </c>
      <c r="R820" t="str">
        <f t="shared" si="64"/>
        <v/>
      </c>
    </row>
    <row r="821" spans="12:18" x14ac:dyDescent="0.25">
      <c r="L821" t="str">
        <f t="shared" si="60"/>
        <v/>
      </c>
      <c r="M821" t="b">
        <f t="shared" si="61"/>
        <v>0</v>
      </c>
      <c r="N821" t="str">
        <f>IF(M821,IF(B821="Fe",_xludf.XLOOKUP(A821,'Standards Catalogue'!$A:$A,'Standards Catalogue'!$B:$B,""),IF(B821="P",_xludf.XLOOKUP(A821,'Standards Catalogue'!$A:$A,'Standards Catalogue'!$D:$D,""),IF(B821="S",_xludf.XLOOKUP(A821,'Standards Catalogue'!$A:$A,'Standards Catalogue'!$F:$F,""),""))),"")</f>
        <v/>
      </c>
      <c r="O821" t="str">
        <f>IF(M821,IF(B821="Fe",_xludf.XLOOKUP(A821,'Standards Catalogue'!$A:$A,'Standards Catalogue'!$C:$C,""),IF(B821="P",_xludf.XLOOKUP(A821,'Standards Catalogue'!$A:$A,'Standards Catalogue'!$E:$E,""),IF(B821="S",_xludf.XLOOKUP(A821,'Standards Catalogue'!$A:$A,'Standards Catalogue'!$G:$G,""),""))),"")</f>
        <v/>
      </c>
      <c r="P821" t="str">
        <f t="shared" si="62"/>
        <v/>
      </c>
      <c r="Q821" t="str">
        <f t="shared" si="63"/>
        <v/>
      </c>
      <c r="R821" t="str">
        <f t="shared" si="64"/>
        <v/>
      </c>
    </row>
    <row r="822" spans="12:18" x14ac:dyDescent="0.25">
      <c r="L822" t="str">
        <f t="shared" si="60"/>
        <v/>
      </c>
      <c r="M822" t="b">
        <f t="shared" si="61"/>
        <v>0</v>
      </c>
      <c r="N822" t="str">
        <f>IF(M822,IF(B822="Fe",_xludf.XLOOKUP(A822,'Standards Catalogue'!$A:$A,'Standards Catalogue'!$B:$B,""),IF(B822="P",_xludf.XLOOKUP(A822,'Standards Catalogue'!$A:$A,'Standards Catalogue'!$D:$D,""),IF(B822="S",_xludf.XLOOKUP(A822,'Standards Catalogue'!$A:$A,'Standards Catalogue'!$F:$F,""),""))),"")</f>
        <v/>
      </c>
      <c r="O822" t="str">
        <f>IF(M822,IF(B822="Fe",_xludf.XLOOKUP(A822,'Standards Catalogue'!$A:$A,'Standards Catalogue'!$C:$C,""),IF(B822="P",_xludf.XLOOKUP(A822,'Standards Catalogue'!$A:$A,'Standards Catalogue'!$E:$E,""),IF(B822="S",_xludf.XLOOKUP(A822,'Standards Catalogue'!$A:$A,'Standards Catalogue'!$G:$G,""),""))),"")</f>
        <v/>
      </c>
      <c r="P822" t="str">
        <f t="shared" si="62"/>
        <v/>
      </c>
      <c r="Q822" t="str">
        <f t="shared" si="63"/>
        <v/>
      </c>
      <c r="R822" t="str">
        <f t="shared" si="64"/>
        <v/>
      </c>
    </row>
    <row r="823" spans="12:18" x14ac:dyDescent="0.25">
      <c r="L823" t="str">
        <f t="shared" si="60"/>
        <v/>
      </c>
      <c r="M823" t="b">
        <f t="shared" si="61"/>
        <v>0</v>
      </c>
      <c r="N823" t="str">
        <f>IF(M823,IF(B823="Fe",_xludf.XLOOKUP(A823,'Standards Catalogue'!$A:$A,'Standards Catalogue'!$B:$B,""),IF(B823="P",_xludf.XLOOKUP(A823,'Standards Catalogue'!$A:$A,'Standards Catalogue'!$D:$D,""),IF(B823="S",_xludf.XLOOKUP(A823,'Standards Catalogue'!$A:$A,'Standards Catalogue'!$F:$F,""),""))),"")</f>
        <v/>
      </c>
      <c r="O823" t="str">
        <f>IF(M823,IF(B823="Fe",_xludf.XLOOKUP(A823,'Standards Catalogue'!$A:$A,'Standards Catalogue'!$C:$C,""),IF(B823="P",_xludf.XLOOKUP(A823,'Standards Catalogue'!$A:$A,'Standards Catalogue'!$E:$E,""),IF(B823="S",_xludf.XLOOKUP(A823,'Standards Catalogue'!$A:$A,'Standards Catalogue'!$G:$G,""),""))),"")</f>
        <v/>
      </c>
      <c r="P823" t="str">
        <f t="shared" si="62"/>
        <v/>
      </c>
      <c r="Q823" t="str">
        <f t="shared" si="63"/>
        <v/>
      </c>
      <c r="R823" t="str">
        <f t="shared" si="64"/>
        <v/>
      </c>
    </row>
    <row r="824" spans="12:18" x14ac:dyDescent="0.25">
      <c r="L824" t="str">
        <f t="shared" si="60"/>
        <v/>
      </c>
      <c r="M824" t="b">
        <f t="shared" si="61"/>
        <v>0</v>
      </c>
      <c r="N824" t="str">
        <f>IF(M824,IF(B824="Fe",_xludf.XLOOKUP(A824,'Standards Catalogue'!$A:$A,'Standards Catalogue'!$B:$B,""),IF(B824="P",_xludf.XLOOKUP(A824,'Standards Catalogue'!$A:$A,'Standards Catalogue'!$D:$D,""),IF(B824="S",_xludf.XLOOKUP(A824,'Standards Catalogue'!$A:$A,'Standards Catalogue'!$F:$F,""),""))),"")</f>
        <v/>
      </c>
      <c r="O824" t="str">
        <f>IF(M824,IF(B824="Fe",_xludf.XLOOKUP(A824,'Standards Catalogue'!$A:$A,'Standards Catalogue'!$C:$C,""),IF(B824="P",_xludf.XLOOKUP(A824,'Standards Catalogue'!$A:$A,'Standards Catalogue'!$E:$E,""),IF(B824="S",_xludf.XLOOKUP(A824,'Standards Catalogue'!$A:$A,'Standards Catalogue'!$G:$G,""),""))),"")</f>
        <v/>
      </c>
      <c r="P824" t="str">
        <f t="shared" si="62"/>
        <v/>
      </c>
      <c r="Q824" t="str">
        <f t="shared" si="63"/>
        <v/>
      </c>
      <c r="R824" t="str">
        <f t="shared" si="64"/>
        <v/>
      </c>
    </row>
    <row r="825" spans="12:18" x14ac:dyDescent="0.25">
      <c r="L825" t="str">
        <f t="shared" si="60"/>
        <v/>
      </c>
      <c r="M825" t="b">
        <f t="shared" si="61"/>
        <v>0</v>
      </c>
      <c r="N825" t="str">
        <f>IF(M825,IF(B825="Fe",_xludf.XLOOKUP(A825,'Standards Catalogue'!$A:$A,'Standards Catalogue'!$B:$B,""),IF(B825="P",_xludf.XLOOKUP(A825,'Standards Catalogue'!$A:$A,'Standards Catalogue'!$D:$D,""),IF(B825="S",_xludf.XLOOKUP(A825,'Standards Catalogue'!$A:$A,'Standards Catalogue'!$F:$F,""),""))),"")</f>
        <v/>
      </c>
      <c r="O825" t="str">
        <f>IF(M825,IF(B825="Fe",_xludf.XLOOKUP(A825,'Standards Catalogue'!$A:$A,'Standards Catalogue'!$C:$C,""),IF(B825="P",_xludf.XLOOKUP(A825,'Standards Catalogue'!$A:$A,'Standards Catalogue'!$E:$E,""),IF(B825="S",_xludf.XLOOKUP(A825,'Standards Catalogue'!$A:$A,'Standards Catalogue'!$G:$G,""),""))),"")</f>
        <v/>
      </c>
      <c r="P825" t="str">
        <f t="shared" si="62"/>
        <v/>
      </c>
      <c r="Q825" t="str">
        <f t="shared" si="63"/>
        <v/>
      </c>
      <c r="R825" t="str">
        <f t="shared" si="64"/>
        <v/>
      </c>
    </row>
    <row r="826" spans="12:18" x14ac:dyDescent="0.25">
      <c r="L826" t="str">
        <f t="shared" si="60"/>
        <v/>
      </c>
      <c r="M826" t="b">
        <f t="shared" si="61"/>
        <v>0</v>
      </c>
      <c r="N826" t="str">
        <f>IF(M826,IF(B826="Fe",_xludf.XLOOKUP(A826,'Standards Catalogue'!$A:$A,'Standards Catalogue'!$B:$B,""),IF(B826="P",_xludf.XLOOKUP(A826,'Standards Catalogue'!$A:$A,'Standards Catalogue'!$D:$D,""),IF(B826="S",_xludf.XLOOKUP(A826,'Standards Catalogue'!$A:$A,'Standards Catalogue'!$F:$F,""),""))),"")</f>
        <v/>
      </c>
      <c r="O826" t="str">
        <f>IF(M826,IF(B826="Fe",_xludf.XLOOKUP(A826,'Standards Catalogue'!$A:$A,'Standards Catalogue'!$C:$C,""),IF(B826="P",_xludf.XLOOKUP(A826,'Standards Catalogue'!$A:$A,'Standards Catalogue'!$E:$E,""),IF(B826="S",_xludf.XLOOKUP(A826,'Standards Catalogue'!$A:$A,'Standards Catalogue'!$G:$G,""),""))),"")</f>
        <v/>
      </c>
      <c r="P826" t="str">
        <f t="shared" si="62"/>
        <v/>
      </c>
      <c r="Q826" t="str">
        <f t="shared" si="63"/>
        <v/>
      </c>
      <c r="R826" t="str">
        <f t="shared" si="64"/>
        <v/>
      </c>
    </row>
    <row r="827" spans="12:18" x14ac:dyDescent="0.25">
      <c r="L827" t="str">
        <f t="shared" si="60"/>
        <v/>
      </c>
      <c r="M827" t="b">
        <f t="shared" si="61"/>
        <v>0</v>
      </c>
      <c r="N827" t="str">
        <f>IF(M827,IF(B827="Fe",_xludf.XLOOKUP(A827,'Standards Catalogue'!$A:$A,'Standards Catalogue'!$B:$B,""),IF(B827="P",_xludf.XLOOKUP(A827,'Standards Catalogue'!$A:$A,'Standards Catalogue'!$D:$D,""),IF(B827="S",_xludf.XLOOKUP(A827,'Standards Catalogue'!$A:$A,'Standards Catalogue'!$F:$F,""),""))),"")</f>
        <v/>
      </c>
      <c r="O827" t="str">
        <f>IF(M827,IF(B827="Fe",_xludf.XLOOKUP(A827,'Standards Catalogue'!$A:$A,'Standards Catalogue'!$C:$C,""),IF(B827="P",_xludf.XLOOKUP(A827,'Standards Catalogue'!$A:$A,'Standards Catalogue'!$E:$E,""),IF(B827="S",_xludf.XLOOKUP(A827,'Standards Catalogue'!$A:$A,'Standards Catalogue'!$G:$G,""),""))),"")</f>
        <v/>
      </c>
      <c r="P827" t="str">
        <f t="shared" si="62"/>
        <v/>
      </c>
      <c r="Q827" t="str">
        <f t="shared" si="63"/>
        <v/>
      </c>
      <c r="R827" t="str">
        <f t="shared" si="64"/>
        <v/>
      </c>
    </row>
    <row r="828" spans="12:18" x14ac:dyDescent="0.25">
      <c r="L828" t="str">
        <f t="shared" si="60"/>
        <v/>
      </c>
      <c r="M828" t="b">
        <f t="shared" si="61"/>
        <v>0</v>
      </c>
      <c r="N828" t="str">
        <f>IF(M828,IF(B828="Fe",_xludf.XLOOKUP(A828,'Standards Catalogue'!$A:$A,'Standards Catalogue'!$B:$B,""),IF(B828="P",_xludf.XLOOKUP(A828,'Standards Catalogue'!$A:$A,'Standards Catalogue'!$D:$D,""),IF(B828="S",_xludf.XLOOKUP(A828,'Standards Catalogue'!$A:$A,'Standards Catalogue'!$F:$F,""),""))),"")</f>
        <v/>
      </c>
      <c r="O828" t="str">
        <f>IF(M828,IF(B828="Fe",_xludf.XLOOKUP(A828,'Standards Catalogue'!$A:$A,'Standards Catalogue'!$C:$C,""),IF(B828="P",_xludf.XLOOKUP(A828,'Standards Catalogue'!$A:$A,'Standards Catalogue'!$E:$E,""),IF(B828="S",_xludf.XLOOKUP(A828,'Standards Catalogue'!$A:$A,'Standards Catalogue'!$G:$G,""),""))),"")</f>
        <v/>
      </c>
      <c r="P828" t="str">
        <f t="shared" si="62"/>
        <v/>
      </c>
      <c r="Q828" t="str">
        <f t="shared" si="63"/>
        <v/>
      </c>
      <c r="R828" t="str">
        <f t="shared" si="64"/>
        <v/>
      </c>
    </row>
    <row r="829" spans="12:18" x14ac:dyDescent="0.25">
      <c r="L829" t="str">
        <f t="shared" si="60"/>
        <v/>
      </c>
      <c r="M829" t="b">
        <f t="shared" si="61"/>
        <v>0</v>
      </c>
      <c r="N829" t="str">
        <f>IF(M829,IF(B829="Fe",_xludf.XLOOKUP(A829,'Standards Catalogue'!$A:$A,'Standards Catalogue'!$B:$B,""),IF(B829="P",_xludf.XLOOKUP(A829,'Standards Catalogue'!$A:$A,'Standards Catalogue'!$D:$D,""),IF(B829="S",_xludf.XLOOKUP(A829,'Standards Catalogue'!$A:$A,'Standards Catalogue'!$F:$F,""),""))),"")</f>
        <v/>
      </c>
      <c r="O829" t="str">
        <f>IF(M829,IF(B829="Fe",_xludf.XLOOKUP(A829,'Standards Catalogue'!$A:$A,'Standards Catalogue'!$C:$C,""),IF(B829="P",_xludf.XLOOKUP(A829,'Standards Catalogue'!$A:$A,'Standards Catalogue'!$E:$E,""),IF(B829="S",_xludf.XLOOKUP(A829,'Standards Catalogue'!$A:$A,'Standards Catalogue'!$G:$G,""),""))),"")</f>
        <v/>
      </c>
      <c r="P829" t="str">
        <f t="shared" si="62"/>
        <v/>
      </c>
      <c r="Q829" t="str">
        <f t="shared" si="63"/>
        <v/>
      </c>
      <c r="R829" t="str">
        <f t="shared" si="64"/>
        <v/>
      </c>
    </row>
    <row r="830" spans="12:18" x14ac:dyDescent="0.25">
      <c r="L830" t="str">
        <f t="shared" si="60"/>
        <v/>
      </c>
      <c r="M830" t="b">
        <f t="shared" si="61"/>
        <v>0</v>
      </c>
      <c r="N830" t="str">
        <f>IF(M830,IF(B830="Fe",_xludf.XLOOKUP(A830,'Standards Catalogue'!$A:$A,'Standards Catalogue'!$B:$B,""),IF(B830="P",_xludf.XLOOKUP(A830,'Standards Catalogue'!$A:$A,'Standards Catalogue'!$D:$D,""),IF(B830="S",_xludf.XLOOKUP(A830,'Standards Catalogue'!$A:$A,'Standards Catalogue'!$F:$F,""),""))),"")</f>
        <v/>
      </c>
      <c r="O830" t="str">
        <f>IF(M830,IF(B830="Fe",_xludf.XLOOKUP(A830,'Standards Catalogue'!$A:$A,'Standards Catalogue'!$C:$C,""),IF(B830="P",_xludf.XLOOKUP(A830,'Standards Catalogue'!$A:$A,'Standards Catalogue'!$E:$E,""),IF(B830="S",_xludf.XLOOKUP(A830,'Standards Catalogue'!$A:$A,'Standards Catalogue'!$G:$G,""),""))),"")</f>
        <v/>
      </c>
      <c r="P830" t="str">
        <f t="shared" si="62"/>
        <v/>
      </c>
      <c r="Q830" t="str">
        <f t="shared" si="63"/>
        <v/>
      </c>
      <c r="R830" t="str">
        <f t="shared" si="64"/>
        <v/>
      </c>
    </row>
    <row r="831" spans="12:18" x14ac:dyDescent="0.25">
      <c r="L831" t="str">
        <f t="shared" si="60"/>
        <v/>
      </c>
      <c r="M831" t="b">
        <f t="shared" si="61"/>
        <v>0</v>
      </c>
      <c r="N831" t="str">
        <f>IF(M831,IF(B831="Fe",_xludf.XLOOKUP(A831,'Standards Catalogue'!$A:$A,'Standards Catalogue'!$B:$B,""),IF(B831="P",_xludf.XLOOKUP(A831,'Standards Catalogue'!$A:$A,'Standards Catalogue'!$D:$D,""),IF(B831="S",_xludf.XLOOKUP(A831,'Standards Catalogue'!$A:$A,'Standards Catalogue'!$F:$F,""),""))),"")</f>
        <v/>
      </c>
      <c r="O831" t="str">
        <f>IF(M831,IF(B831="Fe",_xludf.XLOOKUP(A831,'Standards Catalogue'!$A:$A,'Standards Catalogue'!$C:$C,""),IF(B831="P",_xludf.XLOOKUP(A831,'Standards Catalogue'!$A:$A,'Standards Catalogue'!$E:$E,""),IF(B831="S",_xludf.XLOOKUP(A831,'Standards Catalogue'!$A:$A,'Standards Catalogue'!$G:$G,""),""))),"")</f>
        <v/>
      </c>
      <c r="P831" t="str">
        <f t="shared" si="62"/>
        <v/>
      </c>
      <c r="Q831" t="str">
        <f t="shared" si="63"/>
        <v/>
      </c>
      <c r="R831" t="str">
        <f t="shared" si="64"/>
        <v/>
      </c>
    </row>
    <row r="832" spans="12:18" x14ac:dyDescent="0.25">
      <c r="L832" t="str">
        <f t="shared" si="60"/>
        <v/>
      </c>
      <c r="M832" t="b">
        <f t="shared" si="61"/>
        <v>0</v>
      </c>
      <c r="N832" t="str">
        <f>IF(M832,IF(B832="Fe",_xludf.XLOOKUP(A832,'Standards Catalogue'!$A:$A,'Standards Catalogue'!$B:$B,""),IF(B832="P",_xludf.XLOOKUP(A832,'Standards Catalogue'!$A:$A,'Standards Catalogue'!$D:$D,""),IF(B832="S",_xludf.XLOOKUP(A832,'Standards Catalogue'!$A:$A,'Standards Catalogue'!$F:$F,""),""))),"")</f>
        <v/>
      </c>
      <c r="O832" t="str">
        <f>IF(M832,IF(B832="Fe",_xludf.XLOOKUP(A832,'Standards Catalogue'!$A:$A,'Standards Catalogue'!$C:$C,""),IF(B832="P",_xludf.XLOOKUP(A832,'Standards Catalogue'!$A:$A,'Standards Catalogue'!$E:$E,""),IF(B832="S",_xludf.XLOOKUP(A832,'Standards Catalogue'!$A:$A,'Standards Catalogue'!$G:$G,""),""))),"")</f>
        <v/>
      </c>
      <c r="P832" t="str">
        <f t="shared" si="62"/>
        <v/>
      </c>
      <c r="Q832" t="str">
        <f t="shared" si="63"/>
        <v/>
      </c>
      <c r="R832" t="str">
        <f t="shared" si="64"/>
        <v/>
      </c>
    </row>
    <row r="833" spans="12:18" x14ac:dyDescent="0.25">
      <c r="L833" t="str">
        <f t="shared" si="60"/>
        <v/>
      </c>
      <c r="M833" t="b">
        <f t="shared" si="61"/>
        <v>0</v>
      </c>
      <c r="N833" t="str">
        <f>IF(M833,IF(B833="Fe",_xludf.XLOOKUP(A833,'Standards Catalogue'!$A:$A,'Standards Catalogue'!$B:$B,""),IF(B833="P",_xludf.XLOOKUP(A833,'Standards Catalogue'!$A:$A,'Standards Catalogue'!$D:$D,""),IF(B833="S",_xludf.XLOOKUP(A833,'Standards Catalogue'!$A:$A,'Standards Catalogue'!$F:$F,""),""))),"")</f>
        <v/>
      </c>
      <c r="O833" t="str">
        <f>IF(M833,IF(B833="Fe",_xludf.XLOOKUP(A833,'Standards Catalogue'!$A:$A,'Standards Catalogue'!$C:$C,""),IF(B833="P",_xludf.XLOOKUP(A833,'Standards Catalogue'!$A:$A,'Standards Catalogue'!$E:$E,""),IF(B833="S",_xludf.XLOOKUP(A833,'Standards Catalogue'!$A:$A,'Standards Catalogue'!$G:$G,""),""))),"")</f>
        <v/>
      </c>
      <c r="P833" t="str">
        <f t="shared" si="62"/>
        <v/>
      </c>
      <c r="Q833" t="str">
        <f t="shared" si="63"/>
        <v/>
      </c>
      <c r="R833" t="str">
        <f t="shared" si="64"/>
        <v/>
      </c>
    </row>
    <row r="834" spans="12:18" x14ac:dyDescent="0.25">
      <c r="L834" t="str">
        <f t="shared" ref="L834:L897" si="65">IF(AND(A834&lt;&gt;"",B834&lt;&gt;""),A834&amp;"|"&amp;B834,"")</f>
        <v/>
      </c>
      <c r="M834" t="b">
        <f t="shared" ref="M834:M897" si="66">IF(COUNTIF(STANDARDS_IDS,A834)&gt;0,TRUE,FALSE)</f>
        <v>0</v>
      </c>
      <c r="N834" t="str">
        <f>IF(M834,IF(B834="Fe",_xludf.XLOOKUP(A834,'Standards Catalogue'!$A:$A,'Standards Catalogue'!$B:$B,""),IF(B834="P",_xludf.XLOOKUP(A834,'Standards Catalogue'!$A:$A,'Standards Catalogue'!$D:$D,""),IF(B834="S",_xludf.XLOOKUP(A834,'Standards Catalogue'!$A:$A,'Standards Catalogue'!$F:$F,""),""))),"")</f>
        <v/>
      </c>
      <c r="O834" t="str">
        <f>IF(M834,IF(B834="Fe",_xludf.XLOOKUP(A834,'Standards Catalogue'!$A:$A,'Standards Catalogue'!$C:$C,""),IF(B834="P",_xludf.XLOOKUP(A834,'Standards Catalogue'!$A:$A,'Standards Catalogue'!$E:$E,""),IF(B834="S",_xludf.XLOOKUP(A834,'Standards Catalogue'!$A:$A,'Standards Catalogue'!$G:$G,""),""))),"")</f>
        <v/>
      </c>
      <c r="P834" t="str">
        <f t="shared" ref="P834:P897" si="67">IF(M834,N834-2*O834,"")</f>
        <v/>
      </c>
      <c r="Q834" t="str">
        <f t="shared" ref="Q834:Q897" si="68">IF(M834,N834+2*O834,"")</f>
        <v/>
      </c>
      <c r="R834" t="str">
        <f t="shared" ref="R834:R897" si="69">IF(M834,IF(OR(C834="",N834="",O834=""),"",IF(AND(C834&gt;=P834,C834&lt;=Q834),"PASS","FAIL")),"")</f>
        <v/>
      </c>
    </row>
    <row r="835" spans="12:18" x14ac:dyDescent="0.25">
      <c r="L835" t="str">
        <f t="shared" si="65"/>
        <v/>
      </c>
      <c r="M835" t="b">
        <f t="shared" si="66"/>
        <v>0</v>
      </c>
      <c r="N835" t="str">
        <f>IF(M835,IF(B835="Fe",_xludf.XLOOKUP(A835,'Standards Catalogue'!$A:$A,'Standards Catalogue'!$B:$B,""),IF(B835="P",_xludf.XLOOKUP(A835,'Standards Catalogue'!$A:$A,'Standards Catalogue'!$D:$D,""),IF(B835="S",_xludf.XLOOKUP(A835,'Standards Catalogue'!$A:$A,'Standards Catalogue'!$F:$F,""),""))),"")</f>
        <v/>
      </c>
      <c r="O835" t="str">
        <f>IF(M835,IF(B835="Fe",_xludf.XLOOKUP(A835,'Standards Catalogue'!$A:$A,'Standards Catalogue'!$C:$C,""),IF(B835="P",_xludf.XLOOKUP(A835,'Standards Catalogue'!$A:$A,'Standards Catalogue'!$E:$E,""),IF(B835="S",_xludf.XLOOKUP(A835,'Standards Catalogue'!$A:$A,'Standards Catalogue'!$G:$G,""),""))),"")</f>
        <v/>
      </c>
      <c r="P835" t="str">
        <f t="shared" si="67"/>
        <v/>
      </c>
      <c r="Q835" t="str">
        <f t="shared" si="68"/>
        <v/>
      </c>
      <c r="R835" t="str">
        <f t="shared" si="69"/>
        <v/>
      </c>
    </row>
    <row r="836" spans="12:18" x14ac:dyDescent="0.25">
      <c r="L836" t="str">
        <f t="shared" si="65"/>
        <v/>
      </c>
      <c r="M836" t="b">
        <f t="shared" si="66"/>
        <v>0</v>
      </c>
      <c r="N836" t="str">
        <f>IF(M836,IF(B836="Fe",_xludf.XLOOKUP(A836,'Standards Catalogue'!$A:$A,'Standards Catalogue'!$B:$B,""),IF(B836="P",_xludf.XLOOKUP(A836,'Standards Catalogue'!$A:$A,'Standards Catalogue'!$D:$D,""),IF(B836="S",_xludf.XLOOKUP(A836,'Standards Catalogue'!$A:$A,'Standards Catalogue'!$F:$F,""),""))),"")</f>
        <v/>
      </c>
      <c r="O836" t="str">
        <f>IF(M836,IF(B836="Fe",_xludf.XLOOKUP(A836,'Standards Catalogue'!$A:$A,'Standards Catalogue'!$C:$C,""),IF(B836="P",_xludf.XLOOKUP(A836,'Standards Catalogue'!$A:$A,'Standards Catalogue'!$E:$E,""),IF(B836="S",_xludf.XLOOKUP(A836,'Standards Catalogue'!$A:$A,'Standards Catalogue'!$G:$G,""),""))),"")</f>
        <v/>
      </c>
      <c r="P836" t="str">
        <f t="shared" si="67"/>
        <v/>
      </c>
      <c r="Q836" t="str">
        <f t="shared" si="68"/>
        <v/>
      </c>
      <c r="R836" t="str">
        <f t="shared" si="69"/>
        <v/>
      </c>
    </row>
    <row r="837" spans="12:18" x14ac:dyDescent="0.25">
      <c r="L837" t="str">
        <f t="shared" si="65"/>
        <v/>
      </c>
      <c r="M837" t="b">
        <f t="shared" si="66"/>
        <v>0</v>
      </c>
      <c r="N837" t="str">
        <f>IF(M837,IF(B837="Fe",_xludf.XLOOKUP(A837,'Standards Catalogue'!$A:$A,'Standards Catalogue'!$B:$B,""),IF(B837="P",_xludf.XLOOKUP(A837,'Standards Catalogue'!$A:$A,'Standards Catalogue'!$D:$D,""),IF(B837="S",_xludf.XLOOKUP(A837,'Standards Catalogue'!$A:$A,'Standards Catalogue'!$F:$F,""),""))),"")</f>
        <v/>
      </c>
      <c r="O837" t="str">
        <f>IF(M837,IF(B837="Fe",_xludf.XLOOKUP(A837,'Standards Catalogue'!$A:$A,'Standards Catalogue'!$C:$C,""),IF(B837="P",_xludf.XLOOKUP(A837,'Standards Catalogue'!$A:$A,'Standards Catalogue'!$E:$E,""),IF(B837="S",_xludf.XLOOKUP(A837,'Standards Catalogue'!$A:$A,'Standards Catalogue'!$G:$G,""),""))),"")</f>
        <v/>
      </c>
      <c r="P837" t="str">
        <f t="shared" si="67"/>
        <v/>
      </c>
      <c r="Q837" t="str">
        <f t="shared" si="68"/>
        <v/>
      </c>
      <c r="R837" t="str">
        <f t="shared" si="69"/>
        <v/>
      </c>
    </row>
    <row r="838" spans="12:18" x14ac:dyDescent="0.25">
      <c r="L838" t="str">
        <f t="shared" si="65"/>
        <v/>
      </c>
      <c r="M838" t="b">
        <f t="shared" si="66"/>
        <v>0</v>
      </c>
      <c r="N838" t="str">
        <f>IF(M838,IF(B838="Fe",_xludf.XLOOKUP(A838,'Standards Catalogue'!$A:$A,'Standards Catalogue'!$B:$B,""),IF(B838="P",_xludf.XLOOKUP(A838,'Standards Catalogue'!$A:$A,'Standards Catalogue'!$D:$D,""),IF(B838="S",_xludf.XLOOKUP(A838,'Standards Catalogue'!$A:$A,'Standards Catalogue'!$F:$F,""),""))),"")</f>
        <v/>
      </c>
      <c r="O838" t="str">
        <f>IF(M838,IF(B838="Fe",_xludf.XLOOKUP(A838,'Standards Catalogue'!$A:$A,'Standards Catalogue'!$C:$C,""),IF(B838="P",_xludf.XLOOKUP(A838,'Standards Catalogue'!$A:$A,'Standards Catalogue'!$E:$E,""),IF(B838="S",_xludf.XLOOKUP(A838,'Standards Catalogue'!$A:$A,'Standards Catalogue'!$G:$G,""),""))),"")</f>
        <v/>
      </c>
      <c r="P838" t="str">
        <f t="shared" si="67"/>
        <v/>
      </c>
      <c r="Q838" t="str">
        <f t="shared" si="68"/>
        <v/>
      </c>
      <c r="R838" t="str">
        <f t="shared" si="69"/>
        <v/>
      </c>
    </row>
    <row r="839" spans="12:18" x14ac:dyDescent="0.25">
      <c r="L839" t="str">
        <f t="shared" si="65"/>
        <v/>
      </c>
      <c r="M839" t="b">
        <f t="shared" si="66"/>
        <v>0</v>
      </c>
      <c r="N839" t="str">
        <f>IF(M839,IF(B839="Fe",_xludf.XLOOKUP(A839,'Standards Catalogue'!$A:$A,'Standards Catalogue'!$B:$B,""),IF(B839="P",_xludf.XLOOKUP(A839,'Standards Catalogue'!$A:$A,'Standards Catalogue'!$D:$D,""),IF(B839="S",_xludf.XLOOKUP(A839,'Standards Catalogue'!$A:$A,'Standards Catalogue'!$F:$F,""),""))),"")</f>
        <v/>
      </c>
      <c r="O839" t="str">
        <f>IF(M839,IF(B839="Fe",_xludf.XLOOKUP(A839,'Standards Catalogue'!$A:$A,'Standards Catalogue'!$C:$C,""),IF(B839="P",_xludf.XLOOKUP(A839,'Standards Catalogue'!$A:$A,'Standards Catalogue'!$E:$E,""),IF(B839="S",_xludf.XLOOKUP(A839,'Standards Catalogue'!$A:$A,'Standards Catalogue'!$G:$G,""),""))),"")</f>
        <v/>
      </c>
      <c r="P839" t="str">
        <f t="shared" si="67"/>
        <v/>
      </c>
      <c r="Q839" t="str">
        <f t="shared" si="68"/>
        <v/>
      </c>
      <c r="R839" t="str">
        <f t="shared" si="69"/>
        <v/>
      </c>
    </row>
    <row r="840" spans="12:18" x14ac:dyDescent="0.25">
      <c r="L840" t="str">
        <f t="shared" si="65"/>
        <v/>
      </c>
      <c r="M840" t="b">
        <f t="shared" si="66"/>
        <v>0</v>
      </c>
      <c r="N840" t="str">
        <f>IF(M840,IF(B840="Fe",_xludf.XLOOKUP(A840,'Standards Catalogue'!$A:$A,'Standards Catalogue'!$B:$B,""),IF(B840="P",_xludf.XLOOKUP(A840,'Standards Catalogue'!$A:$A,'Standards Catalogue'!$D:$D,""),IF(B840="S",_xludf.XLOOKUP(A840,'Standards Catalogue'!$A:$A,'Standards Catalogue'!$F:$F,""),""))),"")</f>
        <v/>
      </c>
      <c r="O840" t="str">
        <f>IF(M840,IF(B840="Fe",_xludf.XLOOKUP(A840,'Standards Catalogue'!$A:$A,'Standards Catalogue'!$C:$C,""),IF(B840="P",_xludf.XLOOKUP(A840,'Standards Catalogue'!$A:$A,'Standards Catalogue'!$E:$E,""),IF(B840="S",_xludf.XLOOKUP(A840,'Standards Catalogue'!$A:$A,'Standards Catalogue'!$G:$G,""),""))),"")</f>
        <v/>
      </c>
      <c r="P840" t="str">
        <f t="shared" si="67"/>
        <v/>
      </c>
      <c r="Q840" t="str">
        <f t="shared" si="68"/>
        <v/>
      </c>
      <c r="R840" t="str">
        <f t="shared" si="69"/>
        <v/>
      </c>
    </row>
    <row r="841" spans="12:18" x14ac:dyDescent="0.25">
      <c r="L841" t="str">
        <f t="shared" si="65"/>
        <v/>
      </c>
      <c r="M841" t="b">
        <f t="shared" si="66"/>
        <v>0</v>
      </c>
      <c r="N841" t="str">
        <f>IF(M841,IF(B841="Fe",_xludf.XLOOKUP(A841,'Standards Catalogue'!$A:$A,'Standards Catalogue'!$B:$B,""),IF(B841="P",_xludf.XLOOKUP(A841,'Standards Catalogue'!$A:$A,'Standards Catalogue'!$D:$D,""),IF(B841="S",_xludf.XLOOKUP(A841,'Standards Catalogue'!$A:$A,'Standards Catalogue'!$F:$F,""),""))),"")</f>
        <v/>
      </c>
      <c r="O841" t="str">
        <f>IF(M841,IF(B841="Fe",_xludf.XLOOKUP(A841,'Standards Catalogue'!$A:$A,'Standards Catalogue'!$C:$C,""),IF(B841="P",_xludf.XLOOKUP(A841,'Standards Catalogue'!$A:$A,'Standards Catalogue'!$E:$E,""),IF(B841="S",_xludf.XLOOKUP(A841,'Standards Catalogue'!$A:$A,'Standards Catalogue'!$G:$G,""),""))),"")</f>
        <v/>
      </c>
      <c r="P841" t="str">
        <f t="shared" si="67"/>
        <v/>
      </c>
      <c r="Q841" t="str">
        <f t="shared" si="68"/>
        <v/>
      </c>
      <c r="R841" t="str">
        <f t="shared" si="69"/>
        <v/>
      </c>
    </row>
    <row r="842" spans="12:18" x14ac:dyDescent="0.25">
      <c r="L842" t="str">
        <f t="shared" si="65"/>
        <v/>
      </c>
      <c r="M842" t="b">
        <f t="shared" si="66"/>
        <v>0</v>
      </c>
      <c r="N842" t="str">
        <f>IF(M842,IF(B842="Fe",_xludf.XLOOKUP(A842,'Standards Catalogue'!$A:$A,'Standards Catalogue'!$B:$B,""),IF(B842="P",_xludf.XLOOKUP(A842,'Standards Catalogue'!$A:$A,'Standards Catalogue'!$D:$D,""),IF(B842="S",_xludf.XLOOKUP(A842,'Standards Catalogue'!$A:$A,'Standards Catalogue'!$F:$F,""),""))),"")</f>
        <v/>
      </c>
      <c r="O842" t="str">
        <f>IF(M842,IF(B842="Fe",_xludf.XLOOKUP(A842,'Standards Catalogue'!$A:$A,'Standards Catalogue'!$C:$C,""),IF(B842="P",_xludf.XLOOKUP(A842,'Standards Catalogue'!$A:$A,'Standards Catalogue'!$E:$E,""),IF(B842="S",_xludf.XLOOKUP(A842,'Standards Catalogue'!$A:$A,'Standards Catalogue'!$G:$G,""),""))),"")</f>
        <v/>
      </c>
      <c r="P842" t="str">
        <f t="shared" si="67"/>
        <v/>
      </c>
      <c r="Q842" t="str">
        <f t="shared" si="68"/>
        <v/>
      </c>
      <c r="R842" t="str">
        <f t="shared" si="69"/>
        <v/>
      </c>
    </row>
    <row r="843" spans="12:18" x14ac:dyDescent="0.25">
      <c r="L843" t="str">
        <f t="shared" si="65"/>
        <v/>
      </c>
      <c r="M843" t="b">
        <f t="shared" si="66"/>
        <v>0</v>
      </c>
      <c r="N843" t="str">
        <f>IF(M843,IF(B843="Fe",_xludf.XLOOKUP(A843,'Standards Catalogue'!$A:$A,'Standards Catalogue'!$B:$B,""),IF(B843="P",_xludf.XLOOKUP(A843,'Standards Catalogue'!$A:$A,'Standards Catalogue'!$D:$D,""),IF(B843="S",_xludf.XLOOKUP(A843,'Standards Catalogue'!$A:$A,'Standards Catalogue'!$F:$F,""),""))),"")</f>
        <v/>
      </c>
      <c r="O843" t="str">
        <f>IF(M843,IF(B843="Fe",_xludf.XLOOKUP(A843,'Standards Catalogue'!$A:$A,'Standards Catalogue'!$C:$C,""),IF(B843="P",_xludf.XLOOKUP(A843,'Standards Catalogue'!$A:$A,'Standards Catalogue'!$E:$E,""),IF(B843="S",_xludf.XLOOKUP(A843,'Standards Catalogue'!$A:$A,'Standards Catalogue'!$G:$G,""),""))),"")</f>
        <v/>
      </c>
      <c r="P843" t="str">
        <f t="shared" si="67"/>
        <v/>
      </c>
      <c r="Q843" t="str">
        <f t="shared" si="68"/>
        <v/>
      </c>
      <c r="R843" t="str">
        <f t="shared" si="69"/>
        <v/>
      </c>
    </row>
    <row r="844" spans="12:18" x14ac:dyDescent="0.25">
      <c r="L844" t="str">
        <f t="shared" si="65"/>
        <v/>
      </c>
      <c r="M844" t="b">
        <f t="shared" si="66"/>
        <v>0</v>
      </c>
      <c r="N844" t="str">
        <f>IF(M844,IF(B844="Fe",_xludf.XLOOKUP(A844,'Standards Catalogue'!$A:$A,'Standards Catalogue'!$B:$B,""),IF(B844="P",_xludf.XLOOKUP(A844,'Standards Catalogue'!$A:$A,'Standards Catalogue'!$D:$D,""),IF(B844="S",_xludf.XLOOKUP(A844,'Standards Catalogue'!$A:$A,'Standards Catalogue'!$F:$F,""),""))),"")</f>
        <v/>
      </c>
      <c r="O844" t="str">
        <f>IF(M844,IF(B844="Fe",_xludf.XLOOKUP(A844,'Standards Catalogue'!$A:$A,'Standards Catalogue'!$C:$C,""),IF(B844="P",_xludf.XLOOKUP(A844,'Standards Catalogue'!$A:$A,'Standards Catalogue'!$E:$E,""),IF(B844="S",_xludf.XLOOKUP(A844,'Standards Catalogue'!$A:$A,'Standards Catalogue'!$G:$G,""),""))),"")</f>
        <v/>
      </c>
      <c r="P844" t="str">
        <f t="shared" si="67"/>
        <v/>
      </c>
      <c r="Q844" t="str">
        <f t="shared" si="68"/>
        <v/>
      </c>
      <c r="R844" t="str">
        <f t="shared" si="69"/>
        <v/>
      </c>
    </row>
    <row r="845" spans="12:18" x14ac:dyDescent="0.25">
      <c r="L845" t="str">
        <f t="shared" si="65"/>
        <v/>
      </c>
      <c r="M845" t="b">
        <f t="shared" si="66"/>
        <v>0</v>
      </c>
      <c r="N845" t="str">
        <f>IF(M845,IF(B845="Fe",_xludf.XLOOKUP(A845,'Standards Catalogue'!$A:$A,'Standards Catalogue'!$B:$B,""),IF(B845="P",_xludf.XLOOKUP(A845,'Standards Catalogue'!$A:$A,'Standards Catalogue'!$D:$D,""),IF(B845="S",_xludf.XLOOKUP(A845,'Standards Catalogue'!$A:$A,'Standards Catalogue'!$F:$F,""),""))),"")</f>
        <v/>
      </c>
      <c r="O845" t="str">
        <f>IF(M845,IF(B845="Fe",_xludf.XLOOKUP(A845,'Standards Catalogue'!$A:$A,'Standards Catalogue'!$C:$C,""),IF(B845="P",_xludf.XLOOKUP(A845,'Standards Catalogue'!$A:$A,'Standards Catalogue'!$E:$E,""),IF(B845="S",_xludf.XLOOKUP(A845,'Standards Catalogue'!$A:$A,'Standards Catalogue'!$G:$G,""),""))),"")</f>
        <v/>
      </c>
      <c r="P845" t="str">
        <f t="shared" si="67"/>
        <v/>
      </c>
      <c r="Q845" t="str">
        <f t="shared" si="68"/>
        <v/>
      </c>
      <c r="R845" t="str">
        <f t="shared" si="69"/>
        <v/>
      </c>
    </row>
    <row r="846" spans="12:18" x14ac:dyDescent="0.25">
      <c r="L846" t="str">
        <f t="shared" si="65"/>
        <v/>
      </c>
      <c r="M846" t="b">
        <f t="shared" si="66"/>
        <v>0</v>
      </c>
      <c r="N846" t="str">
        <f>IF(M846,IF(B846="Fe",_xludf.XLOOKUP(A846,'Standards Catalogue'!$A:$A,'Standards Catalogue'!$B:$B,""),IF(B846="P",_xludf.XLOOKUP(A846,'Standards Catalogue'!$A:$A,'Standards Catalogue'!$D:$D,""),IF(B846="S",_xludf.XLOOKUP(A846,'Standards Catalogue'!$A:$A,'Standards Catalogue'!$F:$F,""),""))),"")</f>
        <v/>
      </c>
      <c r="O846" t="str">
        <f>IF(M846,IF(B846="Fe",_xludf.XLOOKUP(A846,'Standards Catalogue'!$A:$A,'Standards Catalogue'!$C:$C,""),IF(B846="P",_xludf.XLOOKUP(A846,'Standards Catalogue'!$A:$A,'Standards Catalogue'!$E:$E,""),IF(B846="S",_xludf.XLOOKUP(A846,'Standards Catalogue'!$A:$A,'Standards Catalogue'!$G:$G,""),""))),"")</f>
        <v/>
      </c>
      <c r="P846" t="str">
        <f t="shared" si="67"/>
        <v/>
      </c>
      <c r="Q846" t="str">
        <f t="shared" si="68"/>
        <v/>
      </c>
      <c r="R846" t="str">
        <f t="shared" si="69"/>
        <v/>
      </c>
    </row>
    <row r="847" spans="12:18" x14ac:dyDescent="0.25">
      <c r="L847" t="str">
        <f t="shared" si="65"/>
        <v/>
      </c>
      <c r="M847" t="b">
        <f t="shared" si="66"/>
        <v>0</v>
      </c>
      <c r="N847" t="str">
        <f>IF(M847,IF(B847="Fe",_xludf.XLOOKUP(A847,'Standards Catalogue'!$A:$A,'Standards Catalogue'!$B:$B,""),IF(B847="P",_xludf.XLOOKUP(A847,'Standards Catalogue'!$A:$A,'Standards Catalogue'!$D:$D,""),IF(B847="S",_xludf.XLOOKUP(A847,'Standards Catalogue'!$A:$A,'Standards Catalogue'!$F:$F,""),""))),"")</f>
        <v/>
      </c>
      <c r="O847" t="str">
        <f>IF(M847,IF(B847="Fe",_xludf.XLOOKUP(A847,'Standards Catalogue'!$A:$A,'Standards Catalogue'!$C:$C,""),IF(B847="P",_xludf.XLOOKUP(A847,'Standards Catalogue'!$A:$A,'Standards Catalogue'!$E:$E,""),IF(B847="S",_xludf.XLOOKUP(A847,'Standards Catalogue'!$A:$A,'Standards Catalogue'!$G:$G,""),""))),"")</f>
        <v/>
      </c>
      <c r="P847" t="str">
        <f t="shared" si="67"/>
        <v/>
      </c>
      <c r="Q847" t="str">
        <f t="shared" si="68"/>
        <v/>
      </c>
      <c r="R847" t="str">
        <f t="shared" si="69"/>
        <v/>
      </c>
    </row>
    <row r="848" spans="12:18" x14ac:dyDescent="0.25">
      <c r="L848" t="str">
        <f t="shared" si="65"/>
        <v/>
      </c>
      <c r="M848" t="b">
        <f t="shared" si="66"/>
        <v>0</v>
      </c>
      <c r="N848" t="str">
        <f>IF(M848,IF(B848="Fe",_xludf.XLOOKUP(A848,'Standards Catalogue'!$A:$A,'Standards Catalogue'!$B:$B,""),IF(B848="P",_xludf.XLOOKUP(A848,'Standards Catalogue'!$A:$A,'Standards Catalogue'!$D:$D,""),IF(B848="S",_xludf.XLOOKUP(A848,'Standards Catalogue'!$A:$A,'Standards Catalogue'!$F:$F,""),""))),"")</f>
        <v/>
      </c>
      <c r="O848" t="str">
        <f>IF(M848,IF(B848="Fe",_xludf.XLOOKUP(A848,'Standards Catalogue'!$A:$A,'Standards Catalogue'!$C:$C,""),IF(B848="P",_xludf.XLOOKUP(A848,'Standards Catalogue'!$A:$A,'Standards Catalogue'!$E:$E,""),IF(B848="S",_xludf.XLOOKUP(A848,'Standards Catalogue'!$A:$A,'Standards Catalogue'!$G:$G,""),""))),"")</f>
        <v/>
      </c>
      <c r="P848" t="str">
        <f t="shared" si="67"/>
        <v/>
      </c>
      <c r="Q848" t="str">
        <f t="shared" si="68"/>
        <v/>
      </c>
      <c r="R848" t="str">
        <f t="shared" si="69"/>
        <v/>
      </c>
    </row>
    <row r="849" spans="12:18" x14ac:dyDescent="0.25">
      <c r="L849" t="str">
        <f t="shared" si="65"/>
        <v/>
      </c>
      <c r="M849" t="b">
        <f t="shared" si="66"/>
        <v>0</v>
      </c>
      <c r="N849" t="str">
        <f>IF(M849,IF(B849="Fe",_xludf.XLOOKUP(A849,'Standards Catalogue'!$A:$A,'Standards Catalogue'!$B:$B,""),IF(B849="P",_xludf.XLOOKUP(A849,'Standards Catalogue'!$A:$A,'Standards Catalogue'!$D:$D,""),IF(B849="S",_xludf.XLOOKUP(A849,'Standards Catalogue'!$A:$A,'Standards Catalogue'!$F:$F,""),""))),"")</f>
        <v/>
      </c>
      <c r="O849" t="str">
        <f>IF(M849,IF(B849="Fe",_xludf.XLOOKUP(A849,'Standards Catalogue'!$A:$A,'Standards Catalogue'!$C:$C,""),IF(B849="P",_xludf.XLOOKUP(A849,'Standards Catalogue'!$A:$A,'Standards Catalogue'!$E:$E,""),IF(B849="S",_xludf.XLOOKUP(A849,'Standards Catalogue'!$A:$A,'Standards Catalogue'!$G:$G,""),""))),"")</f>
        <v/>
      </c>
      <c r="P849" t="str">
        <f t="shared" si="67"/>
        <v/>
      </c>
      <c r="Q849" t="str">
        <f t="shared" si="68"/>
        <v/>
      </c>
      <c r="R849" t="str">
        <f t="shared" si="69"/>
        <v/>
      </c>
    </row>
    <row r="850" spans="12:18" x14ac:dyDescent="0.25">
      <c r="L850" t="str">
        <f t="shared" si="65"/>
        <v/>
      </c>
      <c r="M850" t="b">
        <f t="shared" si="66"/>
        <v>0</v>
      </c>
      <c r="N850" t="str">
        <f>IF(M850,IF(B850="Fe",_xludf.XLOOKUP(A850,'Standards Catalogue'!$A:$A,'Standards Catalogue'!$B:$B,""),IF(B850="P",_xludf.XLOOKUP(A850,'Standards Catalogue'!$A:$A,'Standards Catalogue'!$D:$D,""),IF(B850="S",_xludf.XLOOKUP(A850,'Standards Catalogue'!$A:$A,'Standards Catalogue'!$F:$F,""),""))),"")</f>
        <v/>
      </c>
      <c r="O850" t="str">
        <f>IF(M850,IF(B850="Fe",_xludf.XLOOKUP(A850,'Standards Catalogue'!$A:$A,'Standards Catalogue'!$C:$C,""),IF(B850="P",_xludf.XLOOKUP(A850,'Standards Catalogue'!$A:$A,'Standards Catalogue'!$E:$E,""),IF(B850="S",_xludf.XLOOKUP(A850,'Standards Catalogue'!$A:$A,'Standards Catalogue'!$G:$G,""),""))),"")</f>
        <v/>
      </c>
      <c r="P850" t="str">
        <f t="shared" si="67"/>
        <v/>
      </c>
      <c r="Q850" t="str">
        <f t="shared" si="68"/>
        <v/>
      </c>
      <c r="R850" t="str">
        <f t="shared" si="69"/>
        <v/>
      </c>
    </row>
    <row r="851" spans="12:18" x14ac:dyDescent="0.25">
      <c r="L851" t="str">
        <f t="shared" si="65"/>
        <v/>
      </c>
      <c r="M851" t="b">
        <f t="shared" si="66"/>
        <v>0</v>
      </c>
      <c r="N851" t="str">
        <f>IF(M851,IF(B851="Fe",_xludf.XLOOKUP(A851,'Standards Catalogue'!$A:$A,'Standards Catalogue'!$B:$B,""),IF(B851="P",_xludf.XLOOKUP(A851,'Standards Catalogue'!$A:$A,'Standards Catalogue'!$D:$D,""),IF(B851="S",_xludf.XLOOKUP(A851,'Standards Catalogue'!$A:$A,'Standards Catalogue'!$F:$F,""),""))),"")</f>
        <v/>
      </c>
      <c r="O851" t="str">
        <f>IF(M851,IF(B851="Fe",_xludf.XLOOKUP(A851,'Standards Catalogue'!$A:$A,'Standards Catalogue'!$C:$C,""),IF(B851="P",_xludf.XLOOKUP(A851,'Standards Catalogue'!$A:$A,'Standards Catalogue'!$E:$E,""),IF(B851="S",_xludf.XLOOKUP(A851,'Standards Catalogue'!$A:$A,'Standards Catalogue'!$G:$G,""),""))),"")</f>
        <v/>
      </c>
      <c r="P851" t="str">
        <f t="shared" si="67"/>
        <v/>
      </c>
      <c r="Q851" t="str">
        <f t="shared" si="68"/>
        <v/>
      </c>
      <c r="R851" t="str">
        <f t="shared" si="69"/>
        <v/>
      </c>
    </row>
    <row r="852" spans="12:18" x14ac:dyDescent="0.25">
      <c r="L852" t="str">
        <f t="shared" si="65"/>
        <v/>
      </c>
      <c r="M852" t="b">
        <f t="shared" si="66"/>
        <v>0</v>
      </c>
      <c r="N852" t="str">
        <f>IF(M852,IF(B852="Fe",_xludf.XLOOKUP(A852,'Standards Catalogue'!$A:$A,'Standards Catalogue'!$B:$B,""),IF(B852="P",_xludf.XLOOKUP(A852,'Standards Catalogue'!$A:$A,'Standards Catalogue'!$D:$D,""),IF(B852="S",_xludf.XLOOKUP(A852,'Standards Catalogue'!$A:$A,'Standards Catalogue'!$F:$F,""),""))),"")</f>
        <v/>
      </c>
      <c r="O852" t="str">
        <f>IF(M852,IF(B852="Fe",_xludf.XLOOKUP(A852,'Standards Catalogue'!$A:$A,'Standards Catalogue'!$C:$C,""),IF(B852="P",_xludf.XLOOKUP(A852,'Standards Catalogue'!$A:$A,'Standards Catalogue'!$E:$E,""),IF(B852="S",_xludf.XLOOKUP(A852,'Standards Catalogue'!$A:$A,'Standards Catalogue'!$G:$G,""),""))),"")</f>
        <v/>
      </c>
      <c r="P852" t="str">
        <f t="shared" si="67"/>
        <v/>
      </c>
      <c r="Q852" t="str">
        <f t="shared" si="68"/>
        <v/>
      </c>
      <c r="R852" t="str">
        <f t="shared" si="69"/>
        <v/>
      </c>
    </row>
    <row r="853" spans="12:18" x14ac:dyDescent="0.25">
      <c r="L853" t="str">
        <f t="shared" si="65"/>
        <v/>
      </c>
      <c r="M853" t="b">
        <f t="shared" si="66"/>
        <v>0</v>
      </c>
      <c r="N853" t="str">
        <f>IF(M853,IF(B853="Fe",_xludf.XLOOKUP(A853,'Standards Catalogue'!$A:$A,'Standards Catalogue'!$B:$B,""),IF(B853="P",_xludf.XLOOKUP(A853,'Standards Catalogue'!$A:$A,'Standards Catalogue'!$D:$D,""),IF(B853="S",_xludf.XLOOKUP(A853,'Standards Catalogue'!$A:$A,'Standards Catalogue'!$F:$F,""),""))),"")</f>
        <v/>
      </c>
      <c r="O853" t="str">
        <f>IF(M853,IF(B853="Fe",_xludf.XLOOKUP(A853,'Standards Catalogue'!$A:$A,'Standards Catalogue'!$C:$C,""),IF(B853="P",_xludf.XLOOKUP(A853,'Standards Catalogue'!$A:$A,'Standards Catalogue'!$E:$E,""),IF(B853="S",_xludf.XLOOKUP(A853,'Standards Catalogue'!$A:$A,'Standards Catalogue'!$G:$G,""),""))),"")</f>
        <v/>
      </c>
      <c r="P853" t="str">
        <f t="shared" si="67"/>
        <v/>
      </c>
      <c r="Q853" t="str">
        <f t="shared" si="68"/>
        <v/>
      </c>
      <c r="R853" t="str">
        <f t="shared" si="69"/>
        <v/>
      </c>
    </row>
    <row r="854" spans="12:18" x14ac:dyDescent="0.25">
      <c r="L854" t="str">
        <f t="shared" si="65"/>
        <v/>
      </c>
      <c r="M854" t="b">
        <f t="shared" si="66"/>
        <v>0</v>
      </c>
      <c r="N854" t="str">
        <f>IF(M854,IF(B854="Fe",_xludf.XLOOKUP(A854,'Standards Catalogue'!$A:$A,'Standards Catalogue'!$B:$B,""),IF(B854="P",_xludf.XLOOKUP(A854,'Standards Catalogue'!$A:$A,'Standards Catalogue'!$D:$D,""),IF(B854="S",_xludf.XLOOKUP(A854,'Standards Catalogue'!$A:$A,'Standards Catalogue'!$F:$F,""),""))),"")</f>
        <v/>
      </c>
      <c r="O854" t="str">
        <f>IF(M854,IF(B854="Fe",_xludf.XLOOKUP(A854,'Standards Catalogue'!$A:$A,'Standards Catalogue'!$C:$C,""),IF(B854="P",_xludf.XLOOKUP(A854,'Standards Catalogue'!$A:$A,'Standards Catalogue'!$E:$E,""),IF(B854="S",_xludf.XLOOKUP(A854,'Standards Catalogue'!$A:$A,'Standards Catalogue'!$G:$G,""),""))),"")</f>
        <v/>
      </c>
      <c r="P854" t="str">
        <f t="shared" si="67"/>
        <v/>
      </c>
      <c r="Q854" t="str">
        <f t="shared" si="68"/>
        <v/>
      </c>
      <c r="R854" t="str">
        <f t="shared" si="69"/>
        <v/>
      </c>
    </row>
    <row r="855" spans="12:18" x14ac:dyDescent="0.25">
      <c r="L855" t="str">
        <f t="shared" si="65"/>
        <v/>
      </c>
      <c r="M855" t="b">
        <f t="shared" si="66"/>
        <v>0</v>
      </c>
      <c r="N855" t="str">
        <f>IF(M855,IF(B855="Fe",_xludf.XLOOKUP(A855,'Standards Catalogue'!$A:$A,'Standards Catalogue'!$B:$B,""),IF(B855="P",_xludf.XLOOKUP(A855,'Standards Catalogue'!$A:$A,'Standards Catalogue'!$D:$D,""),IF(B855="S",_xludf.XLOOKUP(A855,'Standards Catalogue'!$A:$A,'Standards Catalogue'!$F:$F,""),""))),"")</f>
        <v/>
      </c>
      <c r="O855" t="str">
        <f>IF(M855,IF(B855="Fe",_xludf.XLOOKUP(A855,'Standards Catalogue'!$A:$A,'Standards Catalogue'!$C:$C,""),IF(B855="P",_xludf.XLOOKUP(A855,'Standards Catalogue'!$A:$A,'Standards Catalogue'!$E:$E,""),IF(B855="S",_xludf.XLOOKUP(A855,'Standards Catalogue'!$A:$A,'Standards Catalogue'!$G:$G,""),""))),"")</f>
        <v/>
      </c>
      <c r="P855" t="str">
        <f t="shared" si="67"/>
        <v/>
      </c>
      <c r="Q855" t="str">
        <f t="shared" si="68"/>
        <v/>
      </c>
      <c r="R855" t="str">
        <f t="shared" si="69"/>
        <v/>
      </c>
    </row>
    <row r="856" spans="12:18" x14ac:dyDescent="0.25">
      <c r="L856" t="str">
        <f t="shared" si="65"/>
        <v/>
      </c>
      <c r="M856" t="b">
        <f t="shared" si="66"/>
        <v>0</v>
      </c>
      <c r="N856" t="str">
        <f>IF(M856,IF(B856="Fe",_xludf.XLOOKUP(A856,'Standards Catalogue'!$A:$A,'Standards Catalogue'!$B:$B,""),IF(B856="P",_xludf.XLOOKUP(A856,'Standards Catalogue'!$A:$A,'Standards Catalogue'!$D:$D,""),IF(B856="S",_xludf.XLOOKUP(A856,'Standards Catalogue'!$A:$A,'Standards Catalogue'!$F:$F,""),""))),"")</f>
        <v/>
      </c>
      <c r="O856" t="str">
        <f>IF(M856,IF(B856="Fe",_xludf.XLOOKUP(A856,'Standards Catalogue'!$A:$A,'Standards Catalogue'!$C:$C,""),IF(B856="P",_xludf.XLOOKUP(A856,'Standards Catalogue'!$A:$A,'Standards Catalogue'!$E:$E,""),IF(B856="S",_xludf.XLOOKUP(A856,'Standards Catalogue'!$A:$A,'Standards Catalogue'!$G:$G,""),""))),"")</f>
        <v/>
      </c>
      <c r="P856" t="str">
        <f t="shared" si="67"/>
        <v/>
      </c>
      <c r="Q856" t="str">
        <f t="shared" si="68"/>
        <v/>
      </c>
      <c r="R856" t="str">
        <f t="shared" si="69"/>
        <v/>
      </c>
    </row>
    <row r="857" spans="12:18" x14ac:dyDescent="0.25">
      <c r="L857" t="str">
        <f t="shared" si="65"/>
        <v/>
      </c>
      <c r="M857" t="b">
        <f t="shared" si="66"/>
        <v>0</v>
      </c>
      <c r="N857" t="str">
        <f>IF(M857,IF(B857="Fe",_xludf.XLOOKUP(A857,'Standards Catalogue'!$A:$A,'Standards Catalogue'!$B:$B,""),IF(B857="P",_xludf.XLOOKUP(A857,'Standards Catalogue'!$A:$A,'Standards Catalogue'!$D:$D,""),IF(B857="S",_xludf.XLOOKUP(A857,'Standards Catalogue'!$A:$A,'Standards Catalogue'!$F:$F,""),""))),"")</f>
        <v/>
      </c>
      <c r="O857" t="str">
        <f>IF(M857,IF(B857="Fe",_xludf.XLOOKUP(A857,'Standards Catalogue'!$A:$A,'Standards Catalogue'!$C:$C,""),IF(B857="P",_xludf.XLOOKUP(A857,'Standards Catalogue'!$A:$A,'Standards Catalogue'!$E:$E,""),IF(B857="S",_xludf.XLOOKUP(A857,'Standards Catalogue'!$A:$A,'Standards Catalogue'!$G:$G,""),""))),"")</f>
        <v/>
      </c>
      <c r="P857" t="str">
        <f t="shared" si="67"/>
        <v/>
      </c>
      <c r="Q857" t="str">
        <f t="shared" si="68"/>
        <v/>
      </c>
      <c r="R857" t="str">
        <f t="shared" si="69"/>
        <v/>
      </c>
    </row>
    <row r="858" spans="12:18" x14ac:dyDescent="0.25">
      <c r="L858" t="str">
        <f t="shared" si="65"/>
        <v/>
      </c>
      <c r="M858" t="b">
        <f t="shared" si="66"/>
        <v>0</v>
      </c>
      <c r="N858" t="str">
        <f>IF(M858,IF(B858="Fe",_xludf.XLOOKUP(A858,'Standards Catalogue'!$A:$A,'Standards Catalogue'!$B:$B,""),IF(B858="P",_xludf.XLOOKUP(A858,'Standards Catalogue'!$A:$A,'Standards Catalogue'!$D:$D,""),IF(B858="S",_xludf.XLOOKUP(A858,'Standards Catalogue'!$A:$A,'Standards Catalogue'!$F:$F,""),""))),"")</f>
        <v/>
      </c>
      <c r="O858" t="str">
        <f>IF(M858,IF(B858="Fe",_xludf.XLOOKUP(A858,'Standards Catalogue'!$A:$A,'Standards Catalogue'!$C:$C,""),IF(B858="P",_xludf.XLOOKUP(A858,'Standards Catalogue'!$A:$A,'Standards Catalogue'!$E:$E,""),IF(B858="S",_xludf.XLOOKUP(A858,'Standards Catalogue'!$A:$A,'Standards Catalogue'!$G:$G,""),""))),"")</f>
        <v/>
      </c>
      <c r="P858" t="str">
        <f t="shared" si="67"/>
        <v/>
      </c>
      <c r="Q858" t="str">
        <f t="shared" si="68"/>
        <v/>
      </c>
      <c r="R858" t="str">
        <f t="shared" si="69"/>
        <v/>
      </c>
    </row>
    <row r="859" spans="12:18" x14ac:dyDescent="0.25">
      <c r="L859" t="str">
        <f t="shared" si="65"/>
        <v/>
      </c>
      <c r="M859" t="b">
        <f t="shared" si="66"/>
        <v>0</v>
      </c>
      <c r="N859" t="str">
        <f>IF(M859,IF(B859="Fe",_xludf.XLOOKUP(A859,'Standards Catalogue'!$A:$A,'Standards Catalogue'!$B:$B,""),IF(B859="P",_xludf.XLOOKUP(A859,'Standards Catalogue'!$A:$A,'Standards Catalogue'!$D:$D,""),IF(B859="S",_xludf.XLOOKUP(A859,'Standards Catalogue'!$A:$A,'Standards Catalogue'!$F:$F,""),""))),"")</f>
        <v/>
      </c>
      <c r="O859" t="str">
        <f>IF(M859,IF(B859="Fe",_xludf.XLOOKUP(A859,'Standards Catalogue'!$A:$A,'Standards Catalogue'!$C:$C,""),IF(B859="P",_xludf.XLOOKUP(A859,'Standards Catalogue'!$A:$A,'Standards Catalogue'!$E:$E,""),IF(B859="S",_xludf.XLOOKUP(A859,'Standards Catalogue'!$A:$A,'Standards Catalogue'!$G:$G,""),""))),"")</f>
        <v/>
      </c>
      <c r="P859" t="str">
        <f t="shared" si="67"/>
        <v/>
      </c>
      <c r="Q859" t="str">
        <f t="shared" si="68"/>
        <v/>
      </c>
      <c r="R859" t="str">
        <f t="shared" si="69"/>
        <v/>
      </c>
    </row>
    <row r="860" spans="12:18" x14ac:dyDescent="0.25">
      <c r="L860" t="str">
        <f t="shared" si="65"/>
        <v/>
      </c>
      <c r="M860" t="b">
        <f t="shared" si="66"/>
        <v>0</v>
      </c>
      <c r="N860" t="str">
        <f>IF(M860,IF(B860="Fe",_xludf.XLOOKUP(A860,'Standards Catalogue'!$A:$A,'Standards Catalogue'!$B:$B,""),IF(B860="P",_xludf.XLOOKUP(A860,'Standards Catalogue'!$A:$A,'Standards Catalogue'!$D:$D,""),IF(B860="S",_xludf.XLOOKUP(A860,'Standards Catalogue'!$A:$A,'Standards Catalogue'!$F:$F,""),""))),"")</f>
        <v/>
      </c>
      <c r="O860" t="str">
        <f>IF(M860,IF(B860="Fe",_xludf.XLOOKUP(A860,'Standards Catalogue'!$A:$A,'Standards Catalogue'!$C:$C,""),IF(B860="P",_xludf.XLOOKUP(A860,'Standards Catalogue'!$A:$A,'Standards Catalogue'!$E:$E,""),IF(B860="S",_xludf.XLOOKUP(A860,'Standards Catalogue'!$A:$A,'Standards Catalogue'!$G:$G,""),""))),"")</f>
        <v/>
      </c>
      <c r="P860" t="str">
        <f t="shared" si="67"/>
        <v/>
      </c>
      <c r="Q860" t="str">
        <f t="shared" si="68"/>
        <v/>
      </c>
      <c r="R860" t="str">
        <f t="shared" si="69"/>
        <v/>
      </c>
    </row>
    <row r="861" spans="12:18" x14ac:dyDescent="0.25">
      <c r="L861" t="str">
        <f t="shared" si="65"/>
        <v/>
      </c>
      <c r="M861" t="b">
        <f t="shared" si="66"/>
        <v>0</v>
      </c>
      <c r="N861" t="str">
        <f>IF(M861,IF(B861="Fe",_xludf.XLOOKUP(A861,'Standards Catalogue'!$A:$A,'Standards Catalogue'!$B:$B,""),IF(B861="P",_xludf.XLOOKUP(A861,'Standards Catalogue'!$A:$A,'Standards Catalogue'!$D:$D,""),IF(B861="S",_xludf.XLOOKUP(A861,'Standards Catalogue'!$A:$A,'Standards Catalogue'!$F:$F,""),""))),"")</f>
        <v/>
      </c>
      <c r="O861" t="str">
        <f>IF(M861,IF(B861="Fe",_xludf.XLOOKUP(A861,'Standards Catalogue'!$A:$A,'Standards Catalogue'!$C:$C,""),IF(B861="P",_xludf.XLOOKUP(A861,'Standards Catalogue'!$A:$A,'Standards Catalogue'!$E:$E,""),IF(B861="S",_xludf.XLOOKUP(A861,'Standards Catalogue'!$A:$A,'Standards Catalogue'!$G:$G,""),""))),"")</f>
        <v/>
      </c>
      <c r="P861" t="str">
        <f t="shared" si="67"/>
        <v/>
      </c>
      <c r="Q861" t="str">
        <f t="shared" si="68"/>
        <v/>
      </c>
      <c r="R861" t="str">
        <f t="shared" si="69"/>
        <v/>
      </c>
    </row>
    <row r="862" spans="12:18" x14ac:dyDescent="0.25">
      <c r="L862" t="str">
        <f t="shared" si="65"/>
        <v/>
      </c>
      <c r="M862" t="b">
        <f t="shared" si="66"/>
        <v>0</v>
      </c>
      <c r="N862" t="str">
        <f>IF(M862,IF(B862="Fe",_xludf.XLOOKUP(A862,'Standards Catalogue'!$A:$A,'Standards Catalogue'!$B:$B,""),IF(B862="P",_xludf.XLOOKUP(A862,'Standards Catalogue'!$A:$A,'Standards Catalogue'!$D:$D,""),IF(B862="S",_xludf.XLOOKUP(A862,'Standards Catalogue'!$A:$A,'Standards Catalogue'!$F:$F,""),""))),"")</f>
        <v/>
      </c>
      <c r="O862" t="str">
        <f>IF(M862,IF(B862="Fe",_xludf.XLOOKUP(A862,'Standards Catalogue'!$A:$A,'Standards Catalogue'!$C:$C,""),IF(B862="P",_xludf.XLOOKUP(A862,'Standards Catalogue'!$A:$A,'Standards Catalogue'!$E:$E,""),IF(B862="S",_xludf.XLOOKUP(A862,'Standards Catalogue'!$A:$A,'Standards Catalogue'!$G:$G,""),""))),"")</f>
        <v/>
      </c>
      <c r="P862" t="str">
        <f t="shared" si="67"/>
        <v/>
      </c>
      <c r="Q862" t="str">
        <f t="shared" si="68"/>
        <v/>
      </c>
      <c r="R862" t="str">
        <f t="shared" si="69"/>
        <v/>
      </c>
    </row>
    <row r="863" spans="12:18" x14ac:dyDescent="0.25">
      <c r="L863" t="str">
        <f t="shared" si="65"/>
        <v/>
      </c>
      <c r="M863" t="b">
        <f t="shared" si="66"/>
        <v>0</v>
      </c>
      <c r="N863" t="str">
        <f>IF(M863,IF(B863="Fe",_xludf.XLOOKUP(A863,'Standards Catalogue'!$A:$A,'Standards Catalogue'!$B:$B,""),IF(B863="P",_xludf.XLOOKUP(A863,'Standards Catalogue'!$A:$A,'Standards Catalogue'!$D:$D,""),IF(B863="S",_xludf.XLOOKUP(A863,'Standards Catalogue'!$A:$A,'Standards Catalogue'!$F:$F,""),""))),"")</f>
        <v/>
      </c>
      <c r="O863" t="str">
        <f>IF(M863,IF(B863="Fe",_xludf.XLOOKUP(A863,'Standards Catalogue'!$A:$A,'Standards Catalogue'!$C:$C,""),IF(B863="P",_xludf.XLOOKUP(A863,'Standards Catalogue'!$A:$A,'Standards Catalogue'!$E:$E,""),IF(B863="S",_xludf.XLOOKUP(A863,'Standards Catalogue'!$A:$A,'Standards Catalogue'!$G:$G,""),""))),"")</f>
        <v/>
      </c>
      <c r="P863" t="str">
        <f t="shared" si="67"/>
        <v/>
      </c>
      <c r="Q863" t="str">
        <f t="shared" si="68"/>
        <v/>
      </c>
      <c r="R863" t="str">
        <f t="shared" si="69"/>
        <v/>
      </c>
    </row>
    <row r="864" spans="12:18" x14ac:dyDescent="0.25">
      <c r="L864" t="str">
        <f t="shared" si="65"/>
        <v/>
      </c>
      <c r="M864" t="b">
        <f t="shared" si="66"/>
        <v>0</v>
      </c>
      <c r="N864" t="str">
        <f>IF(M864,IF(B864="Fe",_xludf.XLOOKUP(A864,'Standards Catalogue'!$A:$A,'Standards Catalogue'!$B:$B,""),IF(B864="P",_xludf.XLOOKUP(A864,'Standards Catalogue'!$A:$A,'Standards Catalogue'!$D:$D,""),IF(B864="S",_xludf.XLOOKUP(A864,'Standards Catalogue'!$A:$A,'Standards Catalogue'!$F:$F,""),""))),"")</f>
        <v/>
      </c>
      <c r="O864" t="str">
        <f>IF(M864,IF(B864="Fe",_xludf.XLOOKUP(A864,'Standards Catalogue'!$A:$A,'Standards Catalogue'!$C:$C,""),IF(B864="P",_xludf.XLOOKUP(A864,'Standards Catalogue'!$A:$A,'Standards Catalogue'!$E:$E,""),IF(B864="S",_xludf.XLOOKUP(A864,'Standards Catalogue'!$A:$A,'Standards Catalogue'!$G:$G,""),""))),"")</f>
        <v/>
      </c>
      <c r="P864" t="str">
        <f t="shared" si="67"/>
        <v/>
      </c>
      <c r="Q864" t="str">
        <f t="shared" si="68"/>
        <v/>
      </c>
      <c r="R864" t="str">
        <f t="shared" si="69"/>
        <v/>
      </c>
    </row>
    <row r="865" spans="12:18" x14ac:dyDescent="0.25">
      <c r="L865" t="str">
        <f t="shared" si="65"/>
        <v/>
      </c>
      <c r="M865" t="b">
        <f t="shared" si="66"/>
        <v>0</v>
      </c>
      <c r="N865" t="str">
        <f>IF(M865,IF(B865="Fe",_xludf.XLOOKUP(A865,'Standards Catalogue'!$A:$A,'Standards Catalogue'!$B:$B,""),IF(B865="P",_xludf.XLOOKUP(A865,'Standards Catalogue'!$A:$A,'Standards Catalogue'!$D:$D,""),IF(B865="S",_xludf.XLOOKUP(A865,'Standards Catalogue'!$A:$A,'Standards Catalogue'!$F:$F,""),""))),"")</f>
        <v/>
      </c>
      <c r="O865" t="str">
        <f>IF(M865,IF(B865="Fe",_xludf.XLOOKUP(A865,'Standards Catalogue'!$A:$A,'Standards Catalogue'!$C:$C,""),IF(B865="P",_xludf.XLOOKUP(A865,'Standards Catalogue'!$A:$A,'Standards Catalogue'!$E:$E,""),IF(B865="S",_xludf.XLOOKUP(A865,'Standards Catalogue'!$A:$A,'Standards Catalogue'!$G:$G,""),""))),"")</f>
        <v/>
      </c>
      <c r="P865" t="str">
        <f t="shared" si="67"/>
        <v/>
      </c>
      <c r="Q865" t="str">
        <f t="shared" si="68"/>
        <v/>
      </c>
      <c r="R865" t="str">
        <f t="shared" si="69"/>
        <v/>
      </c>
    </row>
    <row r="866" spans="12:18" x14ac:dyDescent="0.25">
      <c r="L866" t="str">
        <f t="shared" si="65"/>
        <v/>
      </c>
      <c r="M866" t="b">
        <f t="shared" si="66"/>
        <v>0</v>
      </c>
      <c r="N866" t="str">
        <f>IF(M866,IF(B866="Fe",_xludf.XLOOKUP(A866,'Standards Catalogue'!$A:$A,'Standards Catalogue'!$B:$B,""),IF(B866="P",_xludf.XLOOKUP(A866,'Standards Catalogue'!$A:$A,'Standards Catalogue'!$D:$D,""),IF(B866="S",_xludf.XLOOKUP(A866,'Standards Catalogue'!$A:$A,'Standards Catalogue'!$F:$F,""),""))),"")</f>
        <v/>
      </c>
      <c r="O866" t="str">
        <f>IF(M866,IF(B866="Fe",_xludf.XLOOKUP(A866,'Standards Catalogue'!$A:$A,'Standards Catalogue'!$C:$C,""),IF(B866="P",_xludf.XLOOKUP(A866,'Standards Catalogue'!$A:$A,'Standards Catalogue'!$E:$E,""),IF(B866="S",_xludf.XLOOKUP(A866,'Standards Catalogue'!$A:$A,'Standards Catalogue'!$G:$G,""),""))),"")</f>
        <v/>
      </c>
      <c r="P866" t="str">
        <f t="shared" si="67"/>
        <v/>
      </c>
      <c r="Q866" t="str">
        <f t="shared" si="68"/>
        <v/>
      </c>
      <c r="R866" t="str">
        <f t="shared" si="69"/>
        <v/>
      </c>
    </row>
    <row r="867" spans="12:18" x14ac:dyDescent="0.25">
      <c r="L867" t="str">
        <f t="shared" si="65"/>
        <v/>
      </c>
      <c r="M867" t="b">
        <f t="shared" si="66"/>
        <v>0</v>
      </c>
      <c r="N867" t="str">
        <f>IF(M867,IF(B867="Fe",_xludf.XLOOKUP(A867,'Standards Catalogue'!$A:$A,'Standards Catalogue'!$B:$B,""),IF(B867="P",_xludf.XLOOKUP(A867,'Standards Catalogue'!$A:$A,'Standards Catalogue'!$D:$D,""),IF(B867="S",_xludf.XLOOKUP(A867,'Standards Catalogue'!$A:$A,'Standards Catalogue'!$F:$F,""),""))),"")</f>
        <v/>
      </c>
      <c r="O867" t="str">
        <f>IF(M867,IF(B867="Fe",_xludf.XLOOKUP(A867,'Standards Catalogue'!$A:$A,'Standards Catalogue'!$C:$C,""),IF(B867="P",_xludf.XLOOKUP(A867,'Standards Catalogue'!$A:$A,'Standards Catalogue'!$E:$E,""),IF(B867="S",_xludf.XLOOKUP(A867,'Standards Catalogue'!$A:$A,'Standards Catalogue'!$G:$G,""),""))),"")</f>
        <v/>
      </c>
      <c r="P867" t="str">
        <f t="shared" si="67"/>
        <v/>
      </c>
      <c r="Q867" t="str">
        <f t="shared" si="68"/>
        <v/>
      </c>
      <c r="R867" t="str">
        <f t="shared" si="69"/>
        <v/>
      </c>
    </row>
    <row r="868" spans="12:18" x14ac:dyDescent="0.25">
      <c r="L868" t="str">
        <f t="shared" si="65"/>
        <v/>
      </c>
      <c r="M868" t="b">
        <f t="shared" si="66"/>
        <v>0</v>
      </c>
      <c r="N868" t="str">
        <f>IF(M868,IF(B868="Fe",_xludf.XLOOKUP(A868,'Standards Catalogue'!$A:$A,'Standards Catalogue'!$B:$B,""),IF(B868="P",_xludf.XLOOKUP(A868,'Standards Catalogue'!$A:$A,'Standards Catalogue'!$D:$D,""),IF(B868="S",_xludf.XLOOKUP(A868,'Standards Catalogue'!$A:$A,'Standards Catalogue'!$F:$F,""),""))),"")</f>
        <v/>
      </c>
      <c r="O868" t="str">
        <f>IF(M868,IF(B868="Fe",_xludf.XLOOKUP(A868,'Standards Catalogue'!$A:$A,'Standards Catalogue'!$C:$C,""),IF(B868="P",_xludf.XLOOKUP(A868,'Standards Catalogue'!$A:$A,'Standards Catalogue'!$E:$E,""),IF(B868="S",_xludf.XLOOKUP(A868,'Standards Catalogue'!$A:$A,'Standards Catalogue'!$G:$G,""),""))),"")</f>
        <v/>
      </c>
      <c r="P868" t="str">
        <f t="shared" si="67"/>
        <v/>
      </c>
      <c r="Q868" t="str">
        <f t="shared" si="68"/>
        <v/>
      </c>
      <c r="R868" t="str">
        <f t="shared" si="69"/>
        <v/>
      </c>
    </row>
    <row r="869" spans="12:18" x14ac:dyDescent="0.25">
      <c r="L869" t="str">
        <f t="shared" si="65"/>
        <v/>
      </c>
      <c r="M869" t="b">
        <f t="shared" si="66"/>
        <v>0</v>
      </c>
      <c r="N869" t="str">
        <f>IF(M869,IF(B869="Fe",_xludf.XLOOKUP(A869,'Standards Catalogue'!$A:$A,'Standards Catalogue'!$B:$B,""),IF(B869="P",_xludf.XLOOKUP(A869,'Standards Catalogue'!$A:$A,'Standards Catalogue'!$D:$D,""),IF(B869="S",_xludf.XLOOKUP(A869,'Standards Catalogue'!$A:$A,'Standards Catalogue'!$F:$F,""),""))),"")</f>
        <v/>
      </c>
      <c r="O869" t="str">
        <f>IF(M869,IF(B869="Fe",_xludf.XLOOKUP(A869,'Standards Catalogue'!$A:$A,'Standards Catalogue'!$C:$C,""),IF(B869="P",_xludf.XLOOKUP(A869,'Standards Catalogue'!$A:$A,'Standards Catalogue'!$E:$E,""),IF(B869="S",_xludf.XLOOKUP(A869,'Standards Catalogue'!$A:$A,'Standards Catalogue'!$G:$G,""),""))),"")</f>
        <v/>
      </c>
      <c r="P869" t="str">
        <f t="shared" si="67"/>
        <v/>
      </c>
      <c r="Q869" t="str">
        <f t="shared" si="68"/>
        <v/>
      </c>
      <c r="R869" t="str">
        <f t="shared" si="69"/>
        <v/>
      </c>
    </row>
    <row r="870" spans="12:18" x14ac:dyDescent="0.25">
      <c r="L870" t="str">
        <f t="shared" si="65"/>
        <v/>
      </c>
      <c r="M870" t="b">
        <f t="shared" si="66"/>
        <v>0</v>
      </c>
      <c r="N870" t="str">
        <f>IF(M870,IF(B870="Fe",_xludf.XLOOKUP(A870,'Standards Catalogue'!$A:$A,'Standards Catalogue'!$B:$B,""),IF(B870="P",_xludf.XLOOKUP(A870,'Standards Catalogue'!$A:$A,'Standards Catalogue'!$D:$D,""),IF(B870="S",_xludf.XLOOKUP(A870,'Standards Catalogue'!$A:$A,'Standards Catalogue'!$F:$F,""),""))),"")</f>
        <v/>
      </c>
      <c r="O870" t="str">
        <f>IF(M870,IF(B870="Fe",_xludf.XLOOKUP(A870,'Standards Catalogue'!$A:$A,'Standards Catalogue'!$C:$C,""),IF(B870="P",_xludf.XLOOKUP(A870,'Standards Catalogue'!$A:$A,'Standards Catalogue'!$E:$E,""),IF(B870="S",_xludf.XLOOKUP(A870,'Standards Catalogue'!$A:$A,'Standards Catalogue'!$G:$G,""),""))),"")</f>
        <v/>
      </c>
      <c r="P870" t="str">
        <f t="shared" si="67"/>
        <v/>
      </c>
      <c r="Q870" t="str">
        <f t="shared" si="68"/>
        <v/>
      </c>
      <c r="R870" t="str">
        <f t="shared" si="69"/>
        <v/>
      </c>
    </row>
    <row r="871" spans="12:18" x14ac:dyDescent="0.25">
      <c r="L871" t="str">
        <f t="shared" si="65"/>
        <v/>
      </c>
      <c r="M871" t="b">
        <f t="shared" si="66"/>
        <v>0</v>
      </c>
      <c r="N871" t="str">
        <f>IF(M871,IF(B871="Fe",_xludf.XLOOKUP(A871,'Standards Catalogue'!$A:$A,'Standards Catalogue'!$B:$B,""),IF(B871="P",_xludf.XLOOKUP(A871,'Standards Catalogue'!$A:$A,'Standards Catalogue'!$D:$D,""),IF(B871="S",_xludf.XLOOKUP(A871,'Standards Catalogue'!$A:$A,'Standards Catalogue'!$F:$F,""),""))),"")</f>
        <v/>
      </c>
      <c r="O871" t="str">
        <f>IF(M871,IF(B871="Fe",_xludf.XLOOKUP(A871,'Standards Catalogue'!$A:$A,'Standards Catalogue'!$C:$C,""),IF(B871="P",_xludf.XLOOKUP(A871,'Standards Catalogue'!$A:$A,'Standards Catalogue'!$E:$E,""),IF(B871="S",_xludf.XLOOKUP(A871,'Standards Catalogue'!$A:$A,'Standards Catalogue'!$G:$G,""),""))),"")</f>
        <v/>
      </c>
      <c r="P871" t="str">
        <f t="shared" si="67"/>
        <v/>
      </c>
      <c r="Q871" t="str">
        <f t="shared" si="68"/>
        <v/>
      </c>
      <c r="R871" t="str">
        <f t="shared" si="69"/>
        <v/>
      </c>
    </row>
    <row r="872" spans="12:18" x14ac:dyDescent="0.25">
      <c r="L872" t="str">
        <f t="shared" si="65"/>
        <v/>
      </c>
      <c r="M872" t="b">
        <f t="shared" si="66"/>
        <v>0</v>
      </c>
      <c r="N872" t="str">
        <f>IF(M872,IF(B872="Fe",_xludf.XLOOKUP(A872,'Standards Catalogue'!$A:$A,'Standards Catalogue'!$B:$B,""),IF(B872="P",_xludf.XLOOKUP(A872,'Standards Catalogue'!$A:$A,'Standards Catalogue'!$D:$D,""),IF(B872="S",_xludf.XLOOKUP(A872,'Standards Catalogue'!$A:$A,'Standards Catalogue'!$F:$F,""),""))),"")</f>
        <v/>
      </c>
      <c r="O872" t="str">
        <f>IF(M872,IF(B872="Fe",_xludf.XLOOKUP(A872,'Standards Catalogue'!$A:$A,'Standards Catalogue'!$C:$C,""),IF(B872="P",_xludf.XLOOKUP(A872,'Standards Catalogue'!$A:$A,'Standards Catalogue'!$E:$E,""),IF(B872="S",_xludf.XLOOKUP(A872,'Standards Catalogue'!$A:$A,'Standards Catalogue'!$G:$G,""),""))),"")</f>
        <v/>
      </c>
      <c r="P872" t="str">
        <f t="shared" si="67"/>
        <v/>
      </c>
      <c r="Q872" t="str">
        <f t="shared" si="68"/>
        <v/>
      </c>
      <c r="R872" t="str">
        <f t="shared" si="69"/>
        <v/>
      </c>
    </row>
    <row r="873" spans="12:18" x14ac:dyDescent="0.25">
      <c r="L873" t="str">
        <f t="shared" si="65"/>
        <v/>
      </c>
      <c r="M873" t="b">
        <f t="shared" si="66"/>
        <v>0</v>
      </c>
      <c r="N873" t="str">
        <f>IF(M873,IF(B873="Fe",_xludf.XLOOKUP(A873,'Standards Catalogue'!$A:$A,'Standards Catalogue'!$B:$B,""),IF(B873="P",_xludf.XLOOKUP(A873,'Standards Catalogue'!$A:$A,'Standards Catalogue'!$D:$D,""),IF(B873="S",_xludf.XLOOKUP(A873,'Standards Catalogue'!$A:$A,'Standards Catalogue'!$F:$F,""),""))),"")</f>
        <v/>
      </c>
      <c r="O873" t="str">
        <f>IF(M873,IF(B873="Fe",_xludf.XLOOKUP(A873,'Standards Catalogue'!$A:$A,'Standards Catalogue'!$C:$C,""),IF(B873="P",_xludf.XLOOKUP(A873,'Standards Catalogue'!$A:$A,'Standards Catalogue'!$E:$E,""),IF(B873="S",_xludf.XLOOKUP(A873,'Standards Catalogue'!$A:$A,'Standards Catalogue'!$G:$G,""),""))),"")</f>
        <v/>
      </c>
      <c r="P873" t="str">
        <f t="shared" si="67"/>
        <v/>
      </c>
      <c r="Q873" t="str">
        <f t="shared" si="68"/>
        <v/>
      </c>
      <c r="R873" t="str">
        <f t="shared" si="69"/>
        <v/>
      </c>
    </row>
    <row r="874" spans="12:18" x14ac:dyDescent="0.25">
      <c r="L874" t="str">
        <f t="shared" si="65"/>
        <v/>
      </c>
      <c r="M874" t="b">
        <f t="shared" si="66"/>
        <v>0</v>
      </c>
      <c r="N874" t="str">
        <f>IF(M874,IF(B874="Fe",_xludf.XLOOKUP(A874,'Standards Catalogue'!$A:$A,'Standards Catalogue'!$B:$B,""),IF(B874="P",_xludf.XLOOKUP(A874,'Standards Catalogue'!$A:$A,'Standards Catalogue'!$D:$D,""),IF(B874="S",_xludf.XLOOKUP(A874,'Standards Catalogue'!$A:$A,'Standards Catalogue'!$F:$F,""),""))),"")</f>
        <v/>
      </c>
      <c r="O874" t="str">
        <f>IF(M874,IF(B874="Fe",_xludf.XLOOKUP(A874,'Standards Catalogue'!$A:$A,'Standards Catalogue'!$C:$C,""),IF(B874="P",_xludf.XLOOKUP(A874,'Standards Catalogue'!$A:$A,'Standards Catalogue'!$E:$E,""),IF(B874="S",_xludf.XLOOKUP(A874,'Standards Catalogue'!$A:$A,'Standards Catalogue'!$G:$G,""),""))),"")</f>
        <v/>
      </c>
      <c r="P874" t="str">
        <f t="shared" si="67"/>
        <v/>
      </c>
      <c r="Q874" t="str">
        <f t="shared" si="68"/>
        <v/>
      </c>
      <c r="R874" t="str">
        <f t="shared" si="69"/>
        <v/>
      </c>
    </row>
    <row r="875" spans="12:18" x14ac:dyDescent="0.25">
      <c r="L875" t="str">
        <f t="shared" si="65"/>
        <v/>
      </c>
      <c r="M875" t="b">
        <f t="shared" si="66"/>
        <v>0</v>
      </c>
      <c r="N875" t="str">
        <f>IF(M875,IF(B875="Fe",_xludf.XLOOKUP(A875,'Standards Catalogue'!$A:$A,'Standards Catalogue'!$B:$B,""),IF(B875="P",_xludf.XLOOKUP(A875,'Standards Catalogue'!$A:$A,'Standards Catalogue'!$D:$D,""),IF(B875="S",_xludf.XLOOKUP(A875,'Standards Catalogue'!$A:$A,'Standards Catalogue'!$F:$F,""),""))),"")</f>
        <v/>
      </c>
      <c r="O875" t="str">
        <f>IF(M875,IF(B875="Fe",_xludf.XLOOKUP(A875,'Standards Catalogue'!$A:$A,'Standards Catalogue'!$C:$C,""),IF(B875="P",_xludf.XLOOKUP(A875,'Standards Catalogue'!$A:$A,'Standards Catalogue'!$E:$E,""),IF(B875="S",_xludf.XLOOKUP(A875,'Standards Catalogue'!$A:$A,'Standards Catalogue'!$G:$G,""),""))),"")</f>
        <v/>
      </c>
      <c r="P875" t="str">
        <f t="shared" si="67"/>
        <v/>
      </c>
      <c r="Q875" t="str">
        <f t="shared" si="68"/>
        <v/>
      </c>
      <c r="R875" t="str">
        <f t="shared" si="69"/>
        <v/>
      </c>
    </row>
    <row r="876" spans="12:18" x14ac:dyDescent="0.25">
      <c r="L876" t="str">
        <f t="shared" si="65"/>
        <v/>
      </c>
      <c r="M876" t="b">
        <f t="shared" si="66"/>
        <v>0</v>
      </c>
      <c r="N876" t="str">
        <f>IF(M876,IF(B876="Fe",_xludf.XLOOKUP(A876,'Standards Catalogue'!$A:$A,'Standards Catalogue'!$B:$B,""),IF(B876="P",_xludf.XLOOKUP(A876,'Standards Catalogue'!$A:$A,'Standards Catalogue'!$D:$D,""),IF(B876="S",_xludf.XLOOKUP(A876,'Standards Catalogue'!$A:$A,'Standards Catalogue'!$F:$F,""),""))),"")</f>
        <v/>
      </c>
      <c r="O876" t="str">
        <f>IF(M876,IF(B876="Fe",_xludf.XLOOKUP(A876,'Standards Catalogue'!$A:$A,'Standards Catalogue'!$C:$C,""),IF(B876="P",_xludf.XLOOKUP(A876,'Standards Catalogue'!$A:$A,'Standards Catalogue'!$E:$E,""),IF(B876="S",_xludf.XLOOKUP(A876,'Standards Catalogue'!$A:$A,'Standards Catalogue'!$G:$G,""),""))),"")</f>
        <v/>
      </c>
      <c r="P876" t="str">
        <f t="shared" si="67"/>
        <v/>
      </c>
      <c r="Q876" t="str">
        <f t="shared" si="68"/>
        <v/>
      </c>
      <c r="R876" t="str">
        <f t="shared" si="69"/>
        <v/>
      </c>
    </row>
    <row r="877" spans="12:18" x14ac:dyDescent="0.25">
      <c r="L877" t="str">
        <f t="shared" si="65"/>
        <v/>
      </c>
      <c r="M877" t="b">
        <f t="shared" si="66"/>
        <v>0</v>
      </c>
      <c r="N877" t="str">
        <f>IF(M877,IF(B877="Fe",_xludf.XLOOKUP(A877,'Standards Catalogue'!$A:$A,'Standards Catalogue'!$B:$B,""),IF(B877="P",_xludf.XLOOKUP(A877,'Standards Catalogue'!$A:$A,'Standards Catalogue'!$D:$D,""),IF(B877="S",_xludf.XLOOKUP(A877,'Standards Catalogue'!$A:$A,'Standards Catalogue'!$F:$F,""),""))),"")</f>
        <v/>
      </c>
      <c r="O877" t="str">
        <f>IF(M877,IF(B877="Fe",_xludf.XLOOKUP(A877,'Standards Catalogue'!$A:$A,'Standards Catalogue'!$C:$C,""),IF(B877="P",_xludf.XLOOKUP(A877,'Standards Catalogue'!$A:$A,'Standards Catalogue'!$E:$E,""),IF(B877="S",_xludf.XLOOKUP(A877,'Standards Catalogue'!$A:$A,'Standards Catalogue'!$G:$G,""),""))),"")</f>
        <v/>
      </c>
      <c r="P877" t="str">
        <f t="shared" si="67"/>
        <v/>
      </c>
      <c r="Q877" t="str">
        <f t="shared" si="68"/>
        <v/>
      </c>
      <c r="R877" t="str">
        <f t="shared" si="69"/>
        <v/>
      </c>
    </row>
    <row r="878" spans="12:18" x14ac:dyDescent="0.25">
      <c r="L878" t="str">
        <f t="shared" si="65"/>
        <v/>
      </c>
      <c r="M878" t="b">
        <f t="shared" si="66"/>
        <v>0</v>
      </c>
      <c r="N878" t="str">
        <f>IF(M878,IF(B878="Fe",_xludf.XLOOKUP(A878,'Standards Catalogue'!$A:$A,'Standards Catalogue'!$B:$B,""),IF(B878="P",_xludf.XLOOKUP(A878,'Standards Catalogue'!$A:$A,'Standards Catalogue'!$D:$D,""),IF(B878="S",_xludf.XLOOKUP(A878,'Standards Catalogue'!$A:$A,'Standards Catalogue'!$F:$F,""),""))),"")</f>
        <v/>
      </c>
      <c r="O878" t="str">
        <f>IF(M878,IF(B878="Fe",_xludf.XLOOKUP(A878,'Standards Catalogue'!$A:$A,'Standards Catalogue'!$C:$C,""),IF(B878="P",_xludf.XLOOKUP(A878,'Standards Catalogue'!$A:$A,'Standards Catalogue'!$E:$E,""),IF(B878="S",_xludf.XLOOKUP(A878,'Standards Catalogue'!$A:$A,'Standards Catalogue'!$G:$G,""),""))),"")</f>
        <v/>
      </c>
      <c r="P878" t="str">
        <f t="shared" si="67"/>
        <v/>
      </c>
      <c r="Q878" t="str">
        <f t="shared" si="68"/>
        <v/>
      </c>
      <c r="R878" t="str">
        <f t="shared" si="69"/>
        <v/>
      </c>
    </row>
    <row r="879" spans="12:18" x14ac:dyDescent="0.25">
      <c r="L879" t="str">
        <f t="shared" si="65"/>
        <v/>
      </c>
      <c r="M879" t="b">
        <f t="shared" si="66"/>
        <v>0</v>
      </c>
      <c r="N879" t="str">
        <f>IF(M879,IF(B879="Fe",_xludf.XLOOKUP(A879,'Standards Catalogue'!$A:$A,'Standards Catalogue'!$B:$B,""),IF(B879="P",_xludf.XLOOKUP(A879,'Standards Catalogue'!$A:$A,'Standards Catalogue'!$D:$D,""),IF(B879="S",_xludf.XLOOKUP(A879,'Standards Catalogue'!$A:$A,'Standards Catalogue'!$F:$F,""),""))),"")</f>
        <v/>
      </c>
      <c r="O879" t="str">
        <f>IF(M879,IF(B879="Fe",_xludf.XLOOKUP(A879,'Standards Catalogue'!$A:$A,'Standards Catalogue'!$C:$C,""),IF(B879="P",_xludf.XLOOKUP(A879,'Standards Catalogue'!$A:$A,'Standards Catalogue'!$E:$E,""),IF(B879="S",_xludf.XLOOKUP(A879,'Standards Catalogue'!$A:$A,'Standards Catalogue'!$G:$G,""),""))),"")</f>
        <v/>
      </c>
      <c r="P879" t="str">
        <f t="shared" si="67"/>
        <v/>
      </c>
      <c r="Q879" t="str">
        <f t="shared" si="68"/>
        <v/>
      </c>
      <c r="R879" t="str">
        <f t="shared" si="69"/>
        <v/>
      </c>
    </row>
    <row r="880" spans="12:18" x14ac:dyDescent="0.25">
      <c r="L880" t="str">
        <f t="shared" si="65"/>
        <v/>
      </c>
      <c r="M880" t="b">
        <f t="shared" si="66"/>
        <v>0</v>
      </c>
      <c r="N880" t="str">
        <f>IF(M880,IF(B880="Fe",_xludf.XLOOKUP(A880,'Standards Catalogue'!$A:$A,'Standards Catalogue'!$B:$B,""),IF(B880="P",_xludf.XLOOKUP(A880,'Standards Catalogue'!$A:$A,'Standards Catalogue'!$D:$D,""),IF(B880="S",_xludf.XLOOKUP(A880,'Standards Catalogue'!$A:$A,'Standards Catalogue'!$F:$F,""),""))),"")</f>
        <v/>
      </c>
      <c r="O880" t="str">
        <f>IF(M880,IF(B880="Fe",_xludf.XLOOKUP(A880,'Standards Catalogue'!$A:$A,'Standards Catalogue'!$C:$C,""),IF(B880="P",_xludf.XLOOKUP(A880,'Standards Catalogue'!$A:$A,'Standards Catalogue'!$E:$E,""),IF(B880="S",_xludf.XLOOKUP(A880,'Standards Catalogue'!$A:$A,'Standards Catalogue'!$G:$G,""),""))),"")</f>
        <v/>
      </c>
      <c r="P880" t="str">
        <f t="shared" si="67"/>
        <v/>
      </c>
      <c r="Q880" t="str">
        <f t="shared" si="68"/>
        <v/>
      </c>
      <c r="R880" t="str">
        <f t="shared" si="69"/>
        <v/>
      </c>
    </row>
    <row r="881" spans="12:18" x14ac:dyDescent="0.25">
      <c r="L881" t="str">
        <f t="shared" si="65"/>
        <v/>
      </c>
      <c r="M881" t="b">
        <f t="shared" si="66"/>
        <v>0</v>
      </c>
      <c r="N881" t="str">
        <f>IF(M881,IF(B881="Fe",_xludf.XLOOKUP(A881,'Standards Catalogue'!$A:$A,'Standards Catalogue'!$B:$B,""),IF(B881="P",_xludf.XLOOKUP(A881,'Standards Catalogue'!$A:$A,'Standards Catalogue'!$D:$D,""),IF(B881="S",_xludf.XLOOKUP(A881,'Standards Catalogue'!$A:$A,'Standards Catalogue'!$F:$F,""),""))),"")</f>
        <v/>
      </c>
      <c r="O881" t="str">
        <f>IF(M881,IF(B881="Fe",_xludf.XLOOKUP(A881,'Standards Catalogue'!$A:$A,'Standards Catalogue'!$C:$C,""),IF(B881="P",_xludf.XLOOKUP(A881,'Standards Catalogue'!$A:$A,'Standards Catalogue'!$E:$E,""),IF(B881="S",_xludf.XLOOKUP(A881,'Standards Catalogue'!$A:$A,'Standards Catalogue'!$G:$G,""),""))),"")</f>
        <v/>
      </c>
      <c r="P881" t="str">
        <f t="shared" si="67"/>
        <v/>
      </c>
      <c r="Q881" t="str">
        <f t="shared" si="68"/>
        <v/>
      </c>
      <c r="R881" t="str">
        <f t="shared" si="69"/>
        <v/>
      </c>
    </row>
    <row r="882" spans="12:18" x14ac:dyDescent="0.25">
      <c r="L882" t="str">
        <f t="shared" si="65"/>
        <v/>
      </c>
      <c r="M882" t="b">
        <f t="shared" si="66"/>
        <v>0</v>
      </c>
      <c r="N882" t="str">
        <f>IF(M882,IF(B882="Fe",_xludf.XLOOKUP(A882,'Standards Catalogue'!$A:$A,'Standards Catalogue'!$B:$B,""),IF(B882="P",_xludf.XLOOKUP(A882,'Standards Catalogue'!$A:$A,'Standards Catalogue'!$D:$D,""),IF(B882="S",_xludf.XLOOKUP(A882,'Standards Catalogue'!$A:$A,'Standards Catalogue'!$F:$F,""),""))),"")</f>
        <v/>
      </c>
      <c r="O882" t="str">
        <f>IF(M882,IF(B882="Fe",_xludf.XLOOKUP(A882,'Standards Catalogue'!$A:$A,'Standards Catalogue'!$C:$C,""),IF(B882="P",_xludf.XLOOKUP(A882,'Standards Catalogue'!$A:$A,'Standards Catalogue'!$E:$E,""),IF(B882="S",_xludf.XLOOKUP(A882,'Standards Catalogue'!$A:$A,'Standards Catalogue'!$G:$G,""),""))),"")</f>
        <v/>
      </c>
      <c r="P882" t="str">
        <f t="shared" si="67"/>
        <v/>
      </c>
      <c r="Q882" t="str">
        <f t="shared" si="68"/>
        <v/>
      </c>
      <c r="R882" t="str">
        <f t="shared" si="69"/>
        <v/>
      </c>
    </row>
    <row r="883" spans="12:18" x14ac:dyDescent="0.25">
      <c r="L883" t="str">
        <f t="shared" si="65"/>
        <v/>
      </c>
      <c r="M883" t="b">
        <f t="shared" si="66"/>
        <v>0</v>
      </c>
      <c r="N883" t="str">
        <f>IF(M883,IF(B883="Fe",_xludf.XLOOKUP(A883,'Standards Catalogue'!$A:$A,'Standards Catalogue'!$B:$B,""),IF(B883="P",_xludf.XLOOKUP(A883,'Standards Catalogue'!$A:$A,'Standards Catalogue'!$D:$D,""),IF(B883="S",_xludf.XLOOKUP(A883,'Standards Catalogue'!$A:$A,'Standards Catalogue'!$F:$F,""),""))),"")</f>
        <v/>
      </c>
      <c r="O883" t="str">
        <f>IF(M883,IF(B883="Fe",_xludf.XLOOKUP(A883,'Standards Catalogue'!$A:$A,'Standards Catalogue'!$C:$C,""),IF(B883="P",_xludf.XLOOKUP(A883,'Standards Catalogue'!$A:$A,'Standards Catalogue'!$E:$E,""),IF(B883="S",_xludf.XLOOKUP(A883,'Standards Catalogue'!$A:$A,'Standards Catalogue'!$G:$G,""),""))),"")</f>
        <v/>
      </c>
      <c r="P883" t="str">
        <f t="shared" si="67"/>
        <v/>
      </c>
      <c r="Q883" t="str">
        <f t="shared" si="68"/>
        <v/>
      </c>
      <c r="R883" t="str">
        <f t="shared" si="69"/>
        <v/>
      </c>
    </row>
    <row r="884" spans="12:18" x14ac:dyDescent="0.25">
      <c r="L884" t="str">
        <f t="shared" si="65"/>
        <v/>
      </c>
      <c r="M884" t="b">
        <f t="shared" si="66"/>
        <v>0</v>
      </c>
      <c r="N884" t="str">
        <f>IF(M884,IF(B884="Fe",_xludf.XLOOKUP(A884,'Standards Catalogue'!$A:$A,'Standards Catalogue'!$B:$B,""),IF(B884="P",_xludf.XLOOKUP(A884,'Standards Catalogue'!$A:$A,'Standards Catalogue'!$D:$D,""),IF(B884="S",_xludf.XLOOKUP(A884,'Standards Catalogue'!$A:$A,'Standards Catalogue'!$F:$F,""),""))),"")</f>
        <v/>
      </c>
      <c r="O884" t="str">
        <f>IF(M884,IF(B884="Fe",_xludf.XLOOKUP(A884,'Standards Catalogue'!$A:$A,'Standards Catalogue'!$C:$C,""),IF(B884="P",_xludf.XLOOKUP(A884,'Standards Catalogue'!$A:$A,'Standards Catalogue'!$E:$E,""),IF(B884="S",_xludf.XLOOKUP(A884,'Standards Catalogue'!$A:$A,'Standards Catalogue'!$G:$G,""),""))),"")</f>
        <v/>
      </c>
      <c r="P884" t="str">
        <f t="shared" si="67"/>
        <v/>
      </c>
      <c r="Q884" t="str">
        <f t="shared" si="68"/>
        <v/>
      </c>
      <c r="R884" t="str">
        <f t="shared" si="69"/>
        <v/>
      </c>
    </row>
    <row r="885" spans="12:18" x14ac:dyDescent="0.25">
      <c r="L885" t="str">
        <f t="shared" si="65"/>
        <v/>
      </c>
      <c r="M885" t="b">
        <f t="shared" si="66"/>
        <v>0</v>
      </c>
      <c r="N885" t="str">
        <f>IF(M885,IF(B885="Fe",_xludf.XLOOKUP(A885,'Standards Catalogue'!$A:$A,'Standards Catalogue'!$B:$B,""),IF(B885="P",_xludf.XLOOKUP(A885,'Standards Catalogue'!$A:$A,'Standards Catalogue'!$D:$D,""),IF(B885="S",_xludf.XLOOKUP(A885,'Standards Catalogue'!$A:$A,'Standards Catalogue'!$F:$F,""),""))),"")</f>
        <v/>
      </c>
      <c r="O885" t="str">
        <f>IF(M885,IF(B885="Fe",_xludf.XLOOKUP(A885,'Standards Catalogue'!$A:$A,'Standards Catalogue'!$C:$C,""),IF(B885="P",_xludf.XLOOKUP(A885,'Standards Catalogue'!$A:$A,'Standards Catalogue'!$E:$E,""),IF(B885="S",_xludf.XLOOKUP(A885,'Standards Catalogue'!$A:$A,'Standards Catalogue'!$G:$G,""),""))),"")</f>
        <v/>
      </c>
      <c r="P885" t="str">
        <f t="shared" si="67"/>
        <v/>
      </c>
      <c r="Q885" t="str">
        <f t="shared" si="68"/>
        <v/>
      </c>
      <c r="R885" t="str">
        <f t="shared" si="69"/>
        <v/>
      </c>
    </row>
    <row r="886" spans="12:18" x14ac:dyDescent="0.25">
      <c r="L886" t="str">
        <f t="shared" si="65"/>
        <v/>
      </c>
      <c r="M886" t="b">
        <f t="shared" si="66"/>
        <v>0</v>
      </c>
      <c r="N886" t="str">
        <f>IF(M886,IF(B886="Fe",_xludf.XLOOKUP(A886,'Standards Catalogue'!$A:$A,'Standards Catalogue'!$B:$B,""),IF(B886="P",_xludf.XLOOKUP(A886,'Standards Catalogue'!$A:$A,'Standards Catalogue'!$D:$D,""),IF(B886="S",_xludf.XLOOKUP(A886,'Standards Catalogue'!$A:$A,'Standards Catalogue'!$F:$F,""),""))),"")</f>
        <v/>
      </c>
      <c r="O886" t="str">
        <f>IF(M886,IF(B886="Fe",_xludf.XLOOKUP(A886,'Standards Catalogue'!$A:$A,'Standards Catalogue'!$C:$C,""),IF(B886="P",_xludf.XLOOKUP(A886,'Standards Catalogue'!$A:$A,'Standards Catalogue'!$E:$E,""),IF(B886="S",_xludf.XLOOKUP(A886,'Standards Catalogue'!$A:$A,'Standards Catalogue'!$G:$G,""),""))),"")</f>
        <v/>
      </c>
      <c r="P886" t="str">
        <f t="shared" si="67"/>
        <v/>
      </c>
      <c r="Q886" t="str">
        <f t="shared" si="68"/>
        <v/>
      </c>
      <c r="R886" t="str">
        <f t="shared" si="69"/>
        <v/>
      </c>
    </row>
    <row r="887" spans="12:18" x14ac:dyDescent="0.25">
      <c r="L887" t="str">
        <f t="shared" si="65"/>
        <v/>
      </c>
      <c r="M887" t="b">
        <f t="shared" si="66"/>
        <v>0</v>
      </c>
      <c r="N887" t="str">
        <f>IF(M887,IF(B887="Fe",_xludf.XLOOKUP(A887,'Standards Catalogue'!$A:$A,'Standards Catalogue'!$B:$B,""),IF(B887="P",_xludf.XLOOKUP(A887,'Standards Catalogue'!$A:$A,'Standards Catalogue'!$D:$D,""),IF(B887="S",_xludf.XLOOKUP(A887,'Standards Catalogue'!$A:$A,'Standards Catalogue'!$F:$F,""),""))),"")</f>
        <v/>
      </c>
      <c r="O887" t="str">
        <f>IF(M887,IF(B887="Fe",_xludf.XLOOKUP(A887,'Standards Catalogue'!$A:$A,'Standards Catalogue'!$C:$C,""),IF(B887="P",_xludf.XLOOKUP(A887,'Standards Catalogue'!$A:$A,'Standards Catalogue'!$E:$E,""),IF(B887="S",_xludf.XLOOKUP(A887,'Standards Catalogue'!$A:$A,'Standards Catalogue'!$G:$G,""),""))),"")</f>
        <v/>
      </c>
      <c r="P887" t="str">
        <f t="shared" si="67"/>
        <v/>
      </c>
      <c r="Q887" t="str">
        <f t="shared" si="68"/>
        <v/>
      </c>
      <c r="R887" t="str">
        <f t="shared" si="69"/>
        <v/>
      </c>
    </row>
    <row r="888" spans="12:18" x14ac:dyDescent="0.25">
      <c r="L888" t="str">
        <f t="shared" si="65"/>
        <v/>
      </c>
      <c r="M888" t="b">
        <f t="shared" si="66"/>
        <v>0</v>
      </c>
      <c r="N888" t="str">
        <f>IF(M888,IF(B888="Fe",_xludf.XLOOKUP(A888,'Standards Catalogue'!$A:$A,'Standards Catalogue'!$B:$B,""),IF(B888="P",_xludf.XLOOKUP(A888,'Standards Catalogue'!$A:$A,'Standards Catalogue'!$D:$D,""),IF(B888="S",_xludf.XLOOKUP(A888,'Standards Catalogue'!$A:$A,'Standards Catalogue'!$F:$F,""),""))),"")</f>
        <v/>
      </c>
      <c r="O888" t="str">
        <f>IF(M888,IF(B888="Fe",_xludf.XLOOKUP(A888,'Standards Catalogue'!$A:$A,'Standards Catalogue'!$C:$C,""),IF(B888="P",_xludf.XLOOKUP(A888,'Standards Catalogue'!$A:$A,'Standards Catalogue'!$E:$E,""),IF(B888="S",_xludf.XLOOKUP(A888,'Standards Catalogue'!$A:$A,'Standards Catalogue'!$G:$G,""),""))),"")</f>
        <v/>
      </c>
      <c r="P888" t="str">
        <f t="shared" si="67"/>
        <v/>
      </c>
      <c r="Q888" t="str">
        <f t="shared" si="68"/>
        <v/>
      </c>
      <c r="R888" t="str">
        <f t="shared" si="69"/>
        <v/>
      </c>
    </row>
    <row r="889" spans="12:18" x14ac:dyDescent="0.25">
      <c r="L889" t="str">
        <f t="shared" si="65"/>
        <v/>
      </c>
      <c r="M889" t="b">
        <f t="shared" si="66"/>
        <v>0</v>
      </c>
      <c r="N889" t="str">
        <f>IF(M889,IF(B889="Fe",_xludf.XLOOKUP(A889,'Standards Catalogue'!$A:$A,'Standards Catalogue'!$B:$B,""),IF(B889="P",_xludf.XLOOKUP(A889,'Standards Catalogue'!$A:$A,'Standards Catalogue'!$D:$D,""),IF(B889="S",_xludf.XLOOKUP(A889,'Standards Catalogue'!$A:$A,'Standards Catalogue'!$F:$F,""),""))),"")</f>
        <v/>
      </c>
      <c r="O889" t="str">
        <f>IF(M889,IF(B889="Fe",_xludf.XLOOKUP(A889,'Standards Catalogue'!$A:$A,'Standards Catalogue'!$C:$C,""),IF(B889="P",_xludf.XLOOKUP(A889,'Standards Catalogue'!$A:$A,'Standards Catalogue'!$E:$E,""),IF(B889="S",_xludf.XLOOKUP(A889,'Standards Catalogue'!$A:$A,'Standards Catalogue'!$G:$G,""),""))),"")</f>
        <v/>
      </c>
      <c r="P889" t="str">
        <f t="shared" si="67"/>
        <v/>
      </c>
      <c r="Q889" t="str">
        <f t="shared" si="68"/>
        <v/>
      </c>
      <c r="R889" t="str">
        <f t="shared" si="69"/>
        <v/>
      </c>
    </row>
    <row r="890" spans="12:18" x14ac:dyDescent="0.25">
      <c r="L890" t="str">
        <f t="shared" si="65"/>
        <v/>
      </c>
      <c r="M890" t="b">
        <f t="shared" si="66"/>
        <v>0</v>
      </c>
      <c r="N890" t="str">
        <f>IF(M890,IF(B890="Fe",_xludf.XLOOKUP(A890,'Standards Catalogue'!$A:$A,'Standards Catalogue'!$B:$B,""),IF(B890="P",_xludf.XLOOKUP(A890,'Standards Catalogue'!$A:$A,'Standards Catalogue'!$D:$D,""),IF(B890="S",_xludf.XLOOKUP(A890,'Standards Catalogue'!$A:$A,'Standards Catalogue'!$F:$F,""),""))),"")</f>
        <v/>
      </c>
      <c r="O890" t="str">
        <f>IF(M890,IF(B890="Fe",_xludf.XLOOKUP(A890,'Standards Catalogue'!$A:$A,'Standards Catalogue'!$C:$C,""),IF(B890="P",_xludf.XLOOKUP(A890,'Standards Catalogue'!$A:$A,'Standards Catalogue'!$E:$E,""),IF(B890="S",_xludf.XLOOKUP(A890,'Standards Catalogue'!$A:$A,'Standards Catalogue'!$G:$G,""),""))),"")</f>
        <v/>
      </c>
      <c r="P890" t="str">
        <f t="shared" si="67"/>
        <v/>
      </c>
      <c r="Q890" t="str">
        <f t="shared" si="68"/>
        <v/>
      </c>
      <c r="R890" t="str">
        <f t="shared" si="69"/>
        <v/>
      </c>
    </row>
    <row r="891" spans="12:18" x14ac:dyDescent="0.25">
      <c r="L891" t="str">
        <f t="shared" si="65"/>
        <v/>
      </c>
      <c r="M891" t="b">
        <f t="shared" si="66"/>
        <v>0</v>
      </c>
      <c r="N891" t="str">
        <f>IF(M891,IF(B891="Fe",_xludf.XLOOKUP(A891,'Standards Catalogue'!$A:$A,'Standards Catalogue'!$B:$B,""),IF(B891="P",_xludf.XLOOKUP(A891,'Standards Catalogue'!$A:$A,'Standards Catalogue'!$D:$D,""),IF(B891="S",_xludf.XLOOKUP(A891,'Standards Catalogue'!$A:$A,'Standards Catalogue'!$F:$F,""),""))),"")</f>
        <v/>
      </c>
      <c r="O891" t="str">
        <f>IF(M891,IF(B891="Fe",_xludf.XLOOKUP(A891,'Standards Catalogue'!$A:$A,'Standards Catalogue'!$C:$C,""),IF(B891="P",_xludf.XLOOKUP(A891,'Standards Catalogue'!$A:$A,'Standards Catalogue'!$E:$E,""),IF(B891="S",_xludf.XLOOKUP(A891,'Standards Catalogue'!$A:$A,'Standards Catalogue'!$G:$G,""),""))),"")</f>
        <v/>
      </c>
      <c r="P891" t="str">
        <f t="shared" si="67"/>
        <v/>
      </c>
      <c r="Q891" t="str">
        <f t="shared" si="68"/>
        <v/>
      </c>
      <c r="R891" t="str">
        <f t="shared" si="69"/>
        <v/>
      </c>
    </row>
    <row r="892" spans="12:18" x14ac:dyDescent="0.25">
      <c r="L892" t="str">
        <f t="shared" si="65"/>
        <v/>
      </c>
      <c r="M892" t="b">
        <f t="shared" si="66"/>
        <v>0</v>
      </c>
      <c r="N892" t="str">
        <f>IF(M892,IF(B892="Fe",_xludf.XLOOKUP(A892,'Standards Catalogue'!$A:$A,'Standards Catalogue'!$B:$B,""),IF(B892="P",_xludf.XLOOKUP(A892,'Standards Catalogue'!$A:$A,'Standards Catalogue'!$D:$D,""),IF(B892="S",_xludf.XLOOKUP(A892,'Standards Catalogue'!$A:$A,'Standards Catalogue'!$F:$F,""),""))),"")</f>
        <v/>
      </c>
      <c r="O892" t="str">
        <f>IF(M892,IF(B892="Fe",_xludf.XLOOKUP(A892,'Standards Catalogue'!$A:$A,'Standards Catalogue'!$C:$C,""),IF(B892="P",_xludf.XLOOKUP(A892,'Standards Catalogue'!$A:$A,'Standards Catalogue'!$E:$E,""),IF(B892="S",_xludf.XLOOKUP(A892,'Standards Catalogue'!$A:$A,'Standards Catalogue'!$G:$G,""),""))),"")</f>
        <v/>
      </c>
      <c r="P892" t="str">
        <f t="shared" si="67"/>
        <v/>
      </c>
      <c r="Q892" t="str">
        <f t="shared" si="68"/>
        <v/>
      </c>
      <c r="R892" t="str">
        <f t="shared" si="69"/>
        <v/>
      </c>
    </row>
    <row r="893" spans="12:18" x14ac:dyDescent="0.25">
      <c r="L893" t="str">
        <f t="shared" si="65"/>
        <v/>
      </c>
      <c r="M893" t="b">
        <f t="shared" si="66"/>
        <v>0</v>
      </c>
      <c r="N893" t="str">
        <f>IF(M893,IF(B893="Fe",_xludf.XLOOKUP(A893,'Standards Catalogue'!$A:$A,'Standards Catalogue'!$B:$B,""),IF(B893="P",_xludf.XLOOKUP(A893,'Standards Catalogue'!$A:$A,'Standards Catalogue'!$D:$D,""),IF(B893="S",_xludf.XLOOKUP(A893,'Standards Catalogue'!$A:$A,'Standards Catalogue'!$F:$F,""),""))),"")</f>
        <v/>
      </c>
      <c r="O893" t="str">
        <f>IF(M893,IF(B893="Fe",_xludf.XLOOKUP(A893,'Standards Catalogue'!$A:$A,'Standards Catalogue'!$C:$C,""),IF(B893="P",_xludf.XLOOKUP(A893,'Standards Catalogue'!$A:$A,'Standards Catalogue'!$E:$E,""),IF(B893="S",_xludf.XLOOKUP(A893,'Standards Catalogue'!$A:$A,'Standards Catalogue'!$G:$G,""),""))),"")</f>
        <v/>
      </c>
      <c r="P893" t="str">
        <f t="shared" si="67"/>
        <v/>
      </c>
      <c r="Q893" t="str">
        <f t="shared" si="68"/>
        <v/>
      </c>
      <c r="R893" t="str">
        <f t="shared" si="69"/>
        <v/>
      </c>
    </row>
    <row r="894" spans="12:18" x14ac:dyDescent="0.25">
      <c r="L894" t="str">
        <f t="shared" si="65"/>
        <v/>
      </c>
      <c r="M894" t="b">
        <f t="shared" si="66"/>
        <v>0</v>
      </c>
      <c r="N894" t="str">
        <f>IF(M894,IF(B894="Fe",_xludf.XLOOKUP(A894,'Standards Catalogue'!$A:$A,'Standards Catalogue'!$B:$B,""),IF(B894="P",_xludf.XLOOKUP(A894,'Standards Catalogue'!$A:$A,'Standards Catalogue'!$D:$D,""),IF(B894="S",_xludf.XLOOKUP(A894,'Standards Catalogue'!$A:$A,'Standards Catalogue'!$F:$F,""),""))),"")</f>
        <v/>
      </c>
      <c r="O894" t="str">
        <f>IF(M894,IF(B894="Fe",_xludf.XLOOKUP(A894,'Standards Catalogue'!$A:$A,'Standards Catalogue'!$C:$C,""),IF(B894="P",_xludf.XLOOKUP(A894,'Standards Catalogue'!$A:$A,'Standards Catalogue'!$E:$E,""),IF(B894="S",_xludf.XLOOKUP(A894,'Standards Catalogue'!$A:$A,'Standards Catalogue'!$G:$G,""),""))),"")</f>
        <v/>
      </c>
      <c r="P894" t="str">
        <f t="shared" si="67"/>
        <v/>
      </c>
      <c r="Q894" t="str">
        <f t="shared" si="68"/>
        <v/>
      </c>
      <c r="R894" t="str">
        <f t="shared" si="69"/>
        <v/>
      </c>
    </row>
    <row r="895" spans="12:18" x14ac:dyDescent="0.25">
      <c r="L895" t="str">
        <f t="shared" si="65"/>
        <v/>
      </c>
      <c r="M895" t="b">
        <f t="shared" si="66"/>
        <v>0</v>
      </c>
      <c r="N895" t="str">
        <f>IF(M895,IF(B895="Fe",_xludf.XLOOKUP(A895,'Standards Catalogue'!$A:$A,'Standards Catalogue'!$B:$B,""),IF(B895="P",_xludf.XLOOKUP(A895,'Standards Catalogue'!$A:$A,'Standards Catalogue'!$D:$D,""),IF(B895="S",_xludf.XLOOKUP(A895,'Standards Catalogue'!$A:$A,'Standards Catalogue'!$F:$F,""),""))),"")</f>
        <v/>
      </c>
      <c r="O895" t="str">
        <f>IF(M895,IF(B895="Fe",_xludf.XLOOKUP(A895,'Standards Catalogue'!$A:$A,'Standards Catalogue'!$C:$C,""),IF(B895="P",_xludf.XLOOKUP(A895,'Standards Catalogue'!$A:$A,'Standards Catalogue'!$E:$E,""),IF(B895="S",_xludf.XLOOKUP(A895,'Standards Catalogue'!$A:$A,'Standards Catalogue'!$G:$G,""),""))),"")</f>
        <v/>
      </c>
      <c r="P895" t="str">
        <f t="shared" si="67"/>
        <v/>
      </c>
      <c r="Q895" t="str">
        <f t="shared" si="68"/>
        <v/>
      </c>
      <c r="R895" t="str">
        <f t="shared" si="69"/>
        <v/>
      </c>
    </row>
    <row r="896" spans="12:18" x14ac:dyDescent="0.25">
      <c r="L896" t="str">
        <f t="shared" si="65"/>
        <v/>
      </c>
      <c r="M896" t="b">
        <f t="shared" si="66"/>
        <v>0</v>
      </c>
      <c r="N896" t="str">
        <f>IF(M896,IF(B896="Fe",_xludf.XLOOKUP(A896,'Standards Catalogue'!$A:$A,'Standards Catalogue'!$B:$B,""),IF(B896="P",_xludf.XLOOKUP(A896,'Standards Catalogue'!$A:$A,'Standards Catalogue'!$D:$D,""),IF(B896="S",_xludf.XLOOKUP(A896,'Standards Catalogue'!$A:$A,'Standards Catalogue'!$F:$F,""),""))),"")</f>
        <v/>
      </c>
      <c r="O896" t="str">
        <f>IF(M896,IF(B896="Fe",_xludf.XLOOKUP(A896,'Standards Catalogue'!$A:$A,'Standards Catalogue'!$C:$C,""),IF(B896="P",_xludf.XLOOKUP(A896,'Standards Catalogue'!$A:$A,'Standards Catalogue'!$E:$E,""),IF(B896="S",_xludf.XLOOKUP(A896,'Standards Catalogue'!$A:$A,'Standards Catalogue'!$G:$G,""),""))),"")</f>
        <v/>
      </c>
      <c r="P896" t="str">
        <f t="shared" si="67"/>
        <v/>
      </c>
      <c r="Q896" t="str">
        <f t="shared" si="68"/>
        <v/>
      </c>
      <c r="R896" t="str">
        <f t="shared" si="69"/>
        <v/>
      </c>
    </row>
    <row r="897" spans="12:18" x14ac:dyDescent="0.25">
      <c r="L897" t="str">
        <f t="shared" si="65"/>
        <v/>
      </c>
      <c r="M897" t="b">
        <f t="shared" si="66"/>
        <v>0</v>
      </c>
      <c r="N897" t="str">
        <f>IF(M897,IF(B897="Fe",_xludf.XLOOKUP(A897,'Standards Catalogue'!$A:$A,'Standards Catalogue'!$B:$B,""),IF(B897="P",_xludf.XLOOKUP(A897,'Standards Catalogue'!$A:$A,'Standards Catalogue'!$D:$D,""),IF(B897="S",_xludf.XLOOKUP(A897,'Standards Catalogue'!$A:$A,'Standards Catalogue'!$F:$F,""),""))),"")</f>
        <v/>
      </c>
      <c r="O897" t="str">
        <f>IF(M897,IF(B897="Fe",_xludf.XLOOKUP(A897,'Standards Catalogue'!$A:$A,'Standards Catalogue'!$C:$C,""),IF(B897="P",_xludf.XLOOKUP(A897,'Standards Catalogue'!$A:$A,'Standards Catalogue'!$E:$E,""),IF(B897="S",_xludf.XLOOKUP(A897,'Standards Catalogue'!$A:$A,'Standards Catalogue'!$G:$G,""),""))),"")</f>
        <v/>
      </c>
      <c r="P897" t="str">
        <f t="shared" si="67"/>
        <v/>
      </c>
      <c r="Q897" t="str">
        <f t="shared" si="68"/>
        <v/>
      </c>
      <c r="R897" t="str">
        <f t="shared" si="69"/>
        <v/>
      </c>
    </row>
    <row r="898" spans="12:18" x14ac:dyDescent="0.25">
      <c r="L898" t="str">
        <f t="shared" ref="L898:L961" si="70">IF(AND(A898&lt;&gt;"",B898&lt;&gt;""),A898&amp;"|"&amp;B898,"")</f>
        <v/>
      </c>
      <c r="M898" t="b">
        <f t="shared" ref="M898:M961" si="71">IF(COUNTIF(STANDARDS_IDS,A898)&gt;0,TRUE,FALSE)</f>
        <v>0</v>
      </c>
      <c r="N898" t="str">
        <f>IF(M898,IF(B898="Fe",_xludf.XLOOKUP(A898,'Standards Catalogue'!$A:$A,'Standards Catalogue'!$B:$B,""),IF(B898="P",_xludf.XLOOKUP(A898,'Standards Catalogue'!$A:$A,'Standards Catalogue'!$D:$D,""),IF(B898="S",_xludf.XLOOKUP(A898,'Standards Catalogue'!$A:$A,'Standards Catalogue'!$F:$F,""),""))),"")</f>
        <v/>
      </c>
      <c r="O898" t="str">
        <f>IF(M898,IF(B898="Fe",_xludf.XLOOKUP(A898,'Standards Catalogue'!$A:$A,'Standards Catalogue'!$C:$C,""),IF(B898="P",_xludf.XLOOKUP(A898,'Standards Catalogue'!$A:$A,'Standards Catalogue'!$E:$E,""),IF(B898="S",_xludf.XLOOKUP(A898,'Standards Catalogue'!$A:$A,'Standards Catalogue'!$G:$G,""),""))),"")</f>
        <v/>
      </c>
      <c r="P898" t="str">
        <f t="shared" ref="P898:P961" si="72">IF(M898,N898-2*O898,"")</f>
        <v/>
      </c>
      <c r="Q898" t="str">
        <f t="shared" ref="Q898:Q961" si="73">IF(M898,N898+2*O898,"")</f>
        <v/>
      </c>
      <c r="R898" t="str">
        <f t="shared" ref="R898:R961" si="74">IF(M898,IF(OR(C898="",N898="",O898=""),"",IF(AND(C898&gt;=P898,C898&lt;=Q898),"PASS","FAIL")),"")</f>
        <v/>
      </c>
    </row>
    <row r="899" spans="12:18" x14ac:dyDescent="0.25">
      <c r="L899" t="str">
        <f t="shared" si="70"/>
        <v/>
      </c>
      <c r="M899" t="b">
        <f t="shared" si="71"/>
        <v>0</v>
      </c>
      <c r="N899" t="str">
        <f>IF(M899,IF(B899="Fe",_xludf.XLOOKUP(A899,'Standards Catalogue'!$A:$A,'Standards Catalogue'!$B:$B,""),IF(B899="P",_xludf.XLOOKUP(A899,'Standards Catalogue'!$A:$A,'Standards Catalogue'!$D:$D,""),IF(B899="S",_xludf.XLOOKUP(A899,'Standards Catalogue'!$A:$A,'Standards Catalogue'!$F:$F,""),""))),"")</f>
        <v/>
      </c>
      <c r="O899" t="str">
        <f>IF(M899,IF(B899="Fe",_xludf.XLOOKUP(A899,'Standards Catalogue'!$A:$A,'Standards Catalogue'!$C:$C,""),IF(B899="P",_xludf.XLOOKUP(A899,'Standards Catalogue'!$A:$A,'Standards Catalogue'!$E:$E,""),IF(B899="S",_xludf.XLOOKUP(A899,'Standards Catalogue'!$A:$A,'Standards Catalogue'!$G:$G,""),""))),"")</f>
        <v/>
      </c>
      <c r="P899" t="str">
        <f t="shared" si="72"/>
        <v/>
      </c>
      <c r="Q899" t="str">
        <f t="shared" si="73"/>
        <v/>
      </c>
      <c r="R899" t="str">
        <f t="shared" si="74"/>
        <v/>
      </c>
    </row>
    <row r="900" spans="12:18" x14ac:dyDescent="0.25">
      <c r="L900" t="str">
        <f t="shared" si="70"/>
        <v/>
      </c>
      <c r="M900" t="b">
        <f t="shared" si="71"/>
        <v>0</v>
      </c>
      <c r="N900" t="str">
        <f>IF(M900,IF(B900="Fe",_xludf.XLOOKUP(A900,'Standards Catalogue'!$A:$A,'Standards Catalogue'!$B:$B,""),IF(B900="P",_xludf.XLOOKUP(A900,'Standards Catalogue'!$A:$A,'Standards Catalogue'!$D:$D,""),IF(B900="S",_xludf.XLOOKUP(A900,'Standards Catalogue'!$A:$A,'Standards Catalogue'!$F:$F,""),""))),"")</f>
        <v/>
      </c>
      <c r="O900" t="str">
        <f>IF(M900,IF(B900="Fe",_xludf.XLOOKUP(A900,'Standards Catalogue'!$A:$A,'Standards Catalogue'!$C:$C,""),IF(B900="P",_xludf.XLOOKUP(A900,'Standards Catalogue'!$A:$A,'Standards Catalogue'!$E:$E,""),IF(B900="S",_xludf.XLOOKUP(A900,'Standards Catalogue'!$A:$A,'Standards Catalogue'!$G:$G,""),""))),"")</f>
        <v/>
      </c>
      <c r="P900" t="str">
        <f t="shared" si="72"/>
        <v/>
      </c>
      <c r="Q900" t="str">
        <f t="shared" si="73"/>
        <v/>
      </c>
      <c r="R900" t="str">
        <f t="shared" si="74"/>
        <v/>
      </c>
    </row>
    <row r="901" spans="12:18" x14ac:dyDescent="0.25">
      <c r="L901" t="str">
        <f t="shared" si="70"/>
        <v/>
      </c>
      <c r="M901" t="b">
        <f t="shared" si="71"/>
        <v>0</v>
      </c>
      <c r="N901" t="str">
        <f>IF(M901,IF(B901="Fe",_xludf.XLOOKUP(A901,'Standards Catalogue'!$A:$A,'Standards Catalogue'!$B:$B,""),IF(B901="P",_xludf.XLOOKUP(A901,'Standards Catalogue'!$A:$A,'Standards Catalogue'!$D:$D,""),IF(B901="S",_xludf.XLOOKUP(A901,'Standards Catalogue'!$A:$A,'Standards Catalogue'!$F:$F,""),""))),"")</f>
        <v/>
      </c>
      <c r="O901" t="str">
        <f>IF(M901,IF(B901="Fe",_xludf.XLOOKUP(A901,'Standards Catalogue'!$A:$A,'Standards Catalogue'!$C:$C,""),IF(B901="P",_xludf.XLOOKUP(A901,'Standards Catalogue'!$A:$A,'Standards Catalogue'!$E:$E,""),IF(B901="S",_xludf.XLOOKUP(A901,'Standards Catalogue'!$A:$A,'Standards Catalogue'!$G:$G,""),""))),"")</f>
        <v/>
      </c>
      <c r="P901" t="str">
        <f t="shared" si="72"/>
        <v/>
      </c>
      <c r="Q901" t="str">
        <f t="shared" si="73"/>
        <v/>
      </c>
      <c r="R901" t="str">
        <f t="shared" si="74"/>
        <v/>
      </c>
    </row>
    <row r="902" spans="12:18" x14ac:dyDescent="0.25">
      <c r="L902" t="str">
        <f t="shared" si="70"/>
        <v/>
      </c>
      <c r="M902" t="b">
        <f t="shared" si="71"/>
        <v>0</v>
      </c>
      <c r="N902" t="str">
        <f>IF(M902,IF(B902="Fe",_xludf.XLOOKUP(A902,'Standards Catalogue'!$A:$A,'Standards Catalogue'!$B:$B,""),IF(B902="P",_xludf.XLOOKUP(A902,'Standards Catalogue'!$A:$A,'Standards Catalogue'!$D:$D,""),IF(B902="S",_xludf.XLOOKUP(A902,'Standards Catalogue'!$A:$A,'Standards Catalogue'!$F:$F,""),""))),"")</f>
        <v/>
      </c>
      <c r="O902" t="str">
        <f>IF(M902,IF(B902="Fe",_xludf.XLOOKUP(A902,'Standards Catalogue'!$A:$A,'Standards Catalogue'!$C:$C,""),IF(B902="P",_xludf.XLOOKUP(A902,'Standards Catalogue'!$A:$A,'Standards Catalogue'!$E:$E,""),IF(B902="S",_xludf.XLOOKUP(A902,'Standards Catalogue'!$A:$A,'Standards Catalogue'!$G:$G,""),""))),"")</f>
        <v/>
      </c>
      <c r="P902" t="str">
        <f t="shared" si="72"/>
        <v/>
      </c>
      <c r="Q902" t="str">
        <f t="shared" si="73"/>
        <v/>
      </c>
      <c r="R902" t="str">
        <f t="shared" si="74"/>
        <v/>
      </c>
    </row>
    <row r="903" spans="12:18" x14ac:dyDescent="0.25">
      <c r="L903" t="str">
        <f t="shared" si="70"/>
        <v/>
      </c>
      <c r="M903" t="b">
        <f t="shared" si="71"/>
        <v>0</v>
      </c>
      <c r="N903" t="str">
        <f>IF(M903,IF(B903="Fe",_xludf.XLOOKUP(A903,'Standards Catalogue'!$A:$A,'Standards Catalogue'!$B:$B,""),IF(B903="P",_xludf.XLOOKUP(A903,'Standards Catalogue'!$A:$A,'Standards Catalogue'!$D:$D,""),IF(B903="S",_xludf.XLOOKUP(A903,'Standards Catalogue'!$A:$A,'Standards Catalogue'!$F:$F,""),""))),"")</f>
        <v/>
      </c>
      <c r="O903" t="str">
        <f>IF(M903,IF(B903="Fe",_xludf.XLOOKUP(A903,'Standards Catalogue'!$A:$A,'Standards Catalogue'!$C:$C,""),IF(B903="P",_xludf.XLOOKUP(A903,'Standards Catalogue'!$A:$A,'Standards Catalogue'!$E:$E,""),IF(B903="S",_xludf.XLOOKUP(A903,'Standards Catalogue'!$A:$A,'Standards Catalogue'!$G:$G,""),""))),"")</f>
        <v/>
      </c>
      <c r="P903" t="str">
        <f t="shared" si="72"/>
        <v/>
      </c>
      <c r="Q903" t="str">
        <f t="shared" si="73"/>
        <v/>
      </c>
      <c r="R903" t="str">
        <f t="shared" si="74"/>
        <v/>
      </c>
    </row>
    <row r="904" spans="12:18" x14ac:dyDescent="0.25">
      <c r="L904" t="str">
        <f t="shared" si="70"/>
        <v/>
      </c>
      <c r="M904" t="b">
        <f t="shared" si="71"/>
        <v>0</v>
      </c>
      <c r="N904" t="str">
        <f>IF(M904,IF(B904="Fe",_xludf.XLOOKUP(A904,'Standards Catalogue'!$A:$A,'Standards Catalogue'!$B:$B,""),IF(B904="P",_xludf.XLOOKUP(A904,'Standards Catalogue'!$A:$A,'Standards Catalogue'!$D:$D,""),IF(B904="S",_xludf.XLOOKUP(A904,'Standards Catalogue'!$A:$A,'Standards Catalogue'!$F:$F,""),""))),"")</f>
        <v/>
      </c>
      <c r="O904" t="str">
        <f>IF(M904,IF(B904="Fe",_xludf.XLOOKUP(A904,'Standards Catalogue'!$A:$A,'Standards Catalogue'!$C:$C,""),IF(B904="P",_xludf.XLOOKUP(A904,'Standards Catalogue'!$A:$A,'Standards Catalogue'!$E:$E,""),IF(B904="S",_xludf.XLOOKUP(A904,'Standards Catalogue'!$A:$A,'Standards Catalogue'!$G:$G,""),""))),"")</f>
        <v/>
      </c>
      <c r="P904" t="str">
        <f t="shared" si="72"/>
        <v/>
      </c>
      <c r="Q904" t="str">
        <f t="shared" si="73"/>
        <v/>
      </c>
      <c r="R904" t="str">
        <f t="shared" si="74"/>
        <v/>
      </c>
    </row>
    <row r="905" spans="12:18" x14ac:dyDescent="0.25">
      <c r="L905" t="str">
        <f t="shared" si="70"/>
        <v/>
      </c>
      <c r="M905" t="b">
        <f t="shared" si="71"/>
        <v>0</v>
      </c>
      <c r="N905" t="str">
        <f>IF(M905,IF(B905="Fe",_xludf.XLOOKUP(A905,'Standards Catalogue'!$A:$A,'Standards Catalogue'!$B:$B,""),IF(B905="P",_xludf.XLOOKUP(A905,'Standards Catalogue'!$A:$A,'Standards Catalogue'!$D:$D,""),IF(B905="S",_xludf.XLOOKUP(A905,'Standards Catalogue'!$A:$A,'Standards Catalogue'!$F:$F,""),""))),"")</f>
        <v/>
      </c>
      <c r="O905" t="str">
        <f>IF(M905,IF(B905="Fe",_xludf.XLOOKUP(A905,'Standards Catalogue'!$A:$A,'Standards Catalogue'!$C:$C,""),IF(B905="P",_xludf.XLOOKUP(A905,'Standards Catalogue'!$A:$A,'Standards Catalogue'!$E:$E,""),IF(B905="S",_xludf.XLOOKUP(A905,'Standards Catalogue'!$A:$A,'Standards Catalogue'!$G:$G,""),""))),"")</f>
        <v/>
      </c>
      <c r="P905" t="str">
        <f t="shared" si="72"/>
        <v/>
      </c>
      <c r="Q905" t="str">
        <f t="shared" si="73"/>
        <v/>
      </c>
      <c r="R905" t="str">
        <f t="shared" si="74"/>
        <v/>
      </c>
    </row>
    <row r="906" spans="12:18" x14ac:dyDescent="0.25">
      <c r="L906" t="str">
        <f t="shared" si="70"/>
        <v/>
      </c>
      <c r="M906" t="b">
        <f t="shared" si="71"/>
        <v>0</v>
      </c>
      <c r="N906" t="str">
        <f>IF(M906,IF(B906="Fe",_xludf.XLOOKUP(A906,'Standards Catalogue'!$A:$A,'Standards Catalogue'!$B:$B,""),IF(B906="P",_xludf.XLOOKUP(A906,'Standards Catalogue'!$A:$A,'Standards Catalogue'!$D:$D,""),IF(B906="S",_xludf.XLOOKUP(A906,'Standards Catalogue'!$A:$A,'Standards Catalogue'!$F:$F,""),""))),"")</f>
        <v/>
      </c>
      <c r="O906" t="str">
        <f>IF(M906,IF(B906="Fe",_xludf.XLOOKUP(A906,'Standards Catalogue'!$A:$A,'Standards Catalogue'!$C:$C,""),IF(B906="P",_xludf.XLOOKUP(A906,'Standards Catalogue'!$A:$A,'Standards Catalogue'!$E:$E,""),IF(B906="S",_xludf.XLOOKUP(A906,'Standards Catalogue'!$A:$A,'Standards Catalogue'!$G:$G,""),""))),"")</f>
        <v/>
      </c>
      <c r="P906" t="str">
        <f t="shared" si="72"/>
        <v/>
      </c>
      <c r="Q906" t="str">
        <f t="shared" si="73"/>
        <v/>
      </c>
      <c r="R906" t="str">
        <f t="shared" si="74"/>
        <v/>
      </c>
    </row>
    <row r="907" spans="12:18" x14ac:dyDescent="0.25">
      <c r="L907" t="str">
        <f t="shared" si="70"/>
        <v/>
      </c>
      <c r="M907" t="b">
        <f t="shared" si="71"/>
        <v>0</v>
      </c>
      <c r="N907" t="str">
        <f>IF(M907,IF(B907="Fe",_xludf.XLOOKUP(A907,'Standards Catalogue'!$A:$A,'Standards Catalogue'!$B:$B,""),IF(B907="P",_xludf.XLOOKUP(A907,'Standards Catalogue'!$A:$A,'Standards Catalogue'!$D:$D,""),IF(B907="S",_xludf.XLOOKUP(A907,'Standards Catalogue'!$A:$A,'Standards Catalogue'!$F:$F,""),""))),"")</f>
        <v/>
      </c>
      <c r="O907" t="str">
        <f>IF(M907,IF(B907="Fe",_xludf.XLOOKUP(A907,'Standards Catalogue'!$A:$A,'Standards Catalogue'!$C:$C,""),IF(B907="P",_xludf.XLOOKUP(A907,'Standards Catalogue'!$A:$A,'Standards Catalogue'!$E:$E,""),IF(B907="S",_xludf.XLOOKUP(A907,'Standards Catalogue'!$A:$A,'Standards Catalogue'!$G:$G,""),""))),"")</f>
        <v/>
      </c>
      <c r="P907" t="str">
        <f t="shared" si="72"/>
        <v/>
      </c>
      <c r="Q907" t="str">
        <f t="shared" si="73"/>
        <v/>
      </c>
      <c r="R907" t="str">
        <f t="shared" si="74"/>
        <v/>
      </c>
    </row>
    <row r="908" spans="12:18" x14ac:dyDescent="0.25">
      <c r="L908" t="str">
        <f t="shared" si="70"/>
        <v/>
      </c>
      <c r="M908" t="b">
        <f t="shared" si="71"/>
        <v>0</v>
      </c>
      <c r="N908" t="str">
        <f>IF(M908,IF(B908="Fe",_xludf.XLOOKUP(A908,'Standards Catalogue'!$A:$A,'Standards Catalogue'!$B:$B,""),IF(B908="P",_xludf.XLOOKUP(A908,'Standards Catalogue'!$A:$A,'Standards Catalogue'!$D:$D,""),IF(B908="S",_xludf.XLOOKUP(A908,'Standards Catalogue'!$A:$A,'Standards Catalogue'!$F:$F,""),""))),"")</f>
        <v/>
      </c>
      <c r="O908" t="str">
        <f>IF(M908,IF(B908="Fe",_xludf.XLOOKUP(A908,'Standards Catalogue'!$A:$A,'Standards Catalogue'!$C:$C,""),IF(B908="P",_xludf.XLOOKUP(A908,'Standards Catalogue'!$A:$A,'Standards Catalogue'!$E:$E,""),IF(B908="S",_xludf.XLOOKUP(A908,'Standards Catalogue'!$A:$A,'Standards Catalogue'!$G:$G,""),""))),"")</f>
        <v/>
      </c>
      <c r="P908" t="str">
        <f t="shared" si="72"/>
        <v/>
      </c>
      <c r="Q908" t="str">
        <f t="shared" si="73"/>
        <v/>
      </c>
      <c r="R908" t="str">
        <f t="shared" si="74"/>
        <v/>
      </c>
    </row>
    <row r="909" spans="12:18" x14ac:dyDescent="0.25">
      <c r="L909" t="str">
        <f t="shared" si="70"/>
        <v/>
      </c>
      <c r="M909" t="b">
        <f t="shared" si="71"/>
        <v>0</v>
      </c>
      <c r="N909" t="str">
        <f>IF(M909,IF(B909="Fe",_xludf.XLOOKUP(A909,'Standards Catalogue'!$A:$A,'Standards Catalogue'!$B:$B,""),IF(B909="P",_xludf.XLOOKUP(A909,'Standards Catalogue'!$A:$A,'Standards Catalogue'!$D:$D,""),IF(B909="S",_xludf.XLOOKUP(A909,'Standards Catalogue'!$A:$A,'Standards Catalogue'!$F:$F,""),""))),"")</f>
        <v/>
      </c>
      <c r="O909" t="str">
        <f>IF(M909,IF(B909="Fe",_xludf.XLOOKUP(A909,'Standards Catalogue'!$A:$A,'Standards Catalogue'!$C:$C,""),IF(B909="P",_xludf.XLOOKUP(A909,'Standards Catalogue'!$A:$A,'Standards Catalogue'!$E:$E,""),IF(B909="S",_xludf.XLOOKUP(A909,'Standards Catalogue'!$A:$A,'Standards Catalogue'!$G:$G,""),""))),"")</f>
        <v/>
      </c>
      <c r="P909" t="str">
        <f t="shared" si="72"/>
        <v/>
      </c>
      <c r="Q909" t="str">
        <f t="shared" si="73"/>
        <v/>
      </c>
      <c r="R909" t="str">
        <f t="shared" si="74"/>
        <v/>
      </c>
    </row>
    <row r="910" spans="12:18" x14ac:dyDescent="0.25">
      <c r="L910" t="str">
        <f t="shared" si="70"/>
        <v/>
      </c>
      <c r="M910" t="b">
        <f t="shared" si="71"/>
        <v>0</v>
      </c>
      <c r="N910" t="str">
        <f>IF(M910,IF(B910="Fe",_xludf.XLOOKUP(A910,'Standards Catalogue'!$A:$A,'Standards Catalogue'!$B:$B,""),IF(B910="P",_xludf.XLOOKUP(A910,'Standards Catalogue'!$A:$A,'Standards Catalogue'!$D:$D,""),IF(B910="S",_xludf.XLOOKUP(A910,'Standards Catalogue'!$A:$A,'Standards Catalogue'!$F:$F,""),""))),"")</f>
        <v/>
      </c>
      <c r="O910" t="str">
        <f>IF(M910,IF(B910="Fe",_xludf.XLOOKUP(A910,'Standards Catalogue'!$A:$A,'Standards Catalogue'!$C:$C,""),IF(B910="P",_xludf.XLOOKUP(A910,'Standards Catalogue'!$A:$A,'Standards Catalogue'!$E:$E,""),IF(B910="S",_xludf.XLOOKUP(A910,'Standards Catalogue'!$A:$A,'Standards Catalogue'!$G:$G,""),""))),"")</f>
        <v/>
      </c>
      <c r="P910" t="str">
        <f t="shared" si="72"/>
        <v/>
      </c>
      <c r="Q910" t="str">
        <f t="shared" si="73"/>
        <v/>
      </c>
      <c r="R910" t="str">
        <f t="shared" si="74"/>
        <v/>
      </c>
    </row>
    <row r="911" spans="12:18" x14ac:dyDescent="0.25">
      <c r="L911" t="str">
        <f t="shared" si="70"/>
        <v/>
      </c>
      <c r="M911" t="b">
        <f t="shared" si="71"/>
        <v>0</v>
      </c>
      <c r="N911" t="str">
        <f>IF(M911,IF(B911="Fe",_xludf.XLOOKUP(A911,'Standards Catalogue'!$A:$A,'Standards Catalogue'!$B:$B,""),IF(B911="P",_xludf.XLOOKUP(A911,'Standards Catalogue'!$A:$A,'Standards Catalogue'!$D:$D,""),IF(B911="S",_xludf.XLOOKUP(A911,'Standards Catalogue'!$A:$A,'Standards Catalogue'!$F:$F,""),""))),"")</f>
        <v/>
      </c>
      <c r="O911" t="str">
        <f>IF(M911,IF(B911="Fe",_xludf.XLOOKUP(A911,'Standards Catalogue'!$A:$A,'Standards Catalogue'!$C:$C,""),IF(B911="P",_xludf.XLOOKUP(A911,'Standards Catalogue'!$A:$A,'Standards Catalogue'!$E:$E,""),IF(B911="S",_xludf.XLOOKUP(A911,'Standards Catalogue'!$A:$A,'Standards Catalogue'!$G:$G,""),""))),"")</f>
        <v/>
      </c>
      <c r="P911" t="str">
        <f t="shared" si="72"/>
        <v/>
      </c>
      <c r="Q911" t="str">
        <f t="shared" si="73"/>
        <v/>
      </c>
      <c r="R911" t="str">
        <f t="shared" si="74"/>
        <v/>
      </c>
    </row>
    <row r="912" spans="12:18" x14ac:dyDescent="0.25">
      <c r="L912" t="str">
        <f t="shared" si="70"/>
        <v/>
      </c>
      <c r="M912" t="b">
        <f t="shared" si="71"/>
        <v>0</v>
      </c>
      <c r="N912" t="str">
        <f>IF(M912,IF(B912="Fe",_xludf.XLOOKUP(A912,'Standards Catalogue'!$A:$A,'Standards Catalogue'!$B:$B,""),IF(B912="P",_xludf.XLOOKUP(A912,'Standards Catalogue'!$A:$A,'Standards Catalogue'!$D:$D,""),IF(B912="S",_xludf.XLOOKUP(A912,'Standards Catalogue'!$A:$A,'Standards Catalogue'!$F:$F,""),""))),"")</f>
        <v/>
      </c>
      <c r="O912" t="str">
        <f>IF(M912,IF(B912="Fe",_xludf.XLOOKUP(A912,'Standards Catalogue'!$A:$A,'Standards Catalogue'!$C:$C,""),IF(B912="P",_xludf.XLOOKUP(A912,'Standards Catalogue'!$A:$A,'Standards Catalogue'!$E:$E,""),IF(B912="S",_xludf.XLOOKUP(A912,'Standards Catalogue'!$A:$A,'Standards Catalogue'!$G:$G,""),""))),"")</f>
        <v/>
      </c>
      <c r="P912" t="str">
        <f t="shared" si="72"/>
        <v/>
      </c>
      <c r="Q912" t="str">
        <f t="shared" si="73"/>
        <v/>
      </c>
      <c r="R912" t="str">
        <f t="shared" si="74"/>
        <v/>
      </c>
    </row>
    <row r="913" spans="12:18" x14ac:dyDescent="0.25">
      <c r="L913" t="str">
        <f t="shared" si="70"/>
        <v/>
      </c>
      <c r="M913" t="b">
        <f t="shared" si="71"/>
        <v>0</v>
      </c>
      <c r="N913" t="str">
        <f>IF(M913,IF(B913="Fe",_xludf.XLOOKUP(A913,'Standards Catalogue'!$A:$A,'Standards Catalogue'!$B:$B,""),IF(B913="P",_xludf.XLOOKUP(A913,'Standards Catalogue'!$A:$A,'Standards Catalogue'!$D:$D,""),IF(B913="S",_xludf.XLOOKUP(A913,'Standards Catalogue'!$A:$A,'Standards Catalogue'!$F:$F,""),""))),"")</f>
        <v/>
      </c>
      <c r="O913" t="str">
        <f>IF(M913,IF(B913="Fe",_xludf.XLOOKUP(A913,'Standards Catalogue'!$A:$A,'Standards Catalogue'!$C:$C,""),IF(B913="P",_xludf.XLOOKUP(A913,'Standards Catalogue'!$A:$A,'Standards Catalogue'!$E:$E,""),IF(B913="S",_xludf.XLOOKUP(A913,'Standards Catalogue'!$A:$A,'Standards Catalogue'!$G:$G,""),""))),"")</f>
        <v/>
      </c>
      <c r="P913" t="str">
        <f t="shared" si="72"/>
        <v/>
      </c>
      <c r="Q913" t="str">
        <f t="shared" si="73"/>
        <v/>
      </c>
      <c r="R913" t="str">
        <f t="shared" si="74"/>
        <v/>
      </c>
    </row>
    <row r="914" spans="12:18" x14ac:dyDescent="0.25">
      <c r="L914" t="str">
        <f t="shared" si="70"/>
        <v/>
      </c>
      <c r="M914" t="b">
        <f t="shared" si="71"/>
        <v>0</v>
      </c>
      <c r="N914" t="str">
        <f>IF(M914,IF(B914="Fe",_xludf.XLOOKUP(A914,'Standards Catalogue'!$A:$A,'Standards Catalogue'!$B:$B,""),IF(B914="P",_xludf.XLOOKUP(A914,'Standards Catalogue'!$A:$A,'Standards Catalogue'!$D:$D,""),IF(B914="S",_xludf.XLOOKUP(A914,'Standards Catalogue'!$A:$A,'Standards Catalogue'!$F:$F,""),""))),"")</f>
        <v/>
      </c>
      <c r="O914" t="str">
        <f>IF(M914,IF(B914="Fe",_xludf.XLOOKUP(A914,'Standards Catalogue'!$A:$A,'Standards Catalogue'!$C:$C,""),IF(B914="P",_xludf.XLOOKUP(A914,'Standards Catalogue'!$A:$A,'Standards Catalogue'!$E:$E,""),IF(B914="S",_xludf.XLOOKUP(A914,'Standards Catalogue'!$A:$A,'Standards Catalogue'!$G:$G,""),""))),"")</f>
        <v/>
      </c>
      <c r="P914" t="str">
        <f t="shared" si="72"/>
        <v/>
      </c>
      <c r="Q914" t="str">
        <f t="shared" si="73"/>
        <v/>
      </c>
      <c r="R914" t="str">
        <f t="shared" si="74"/>
        <v/>
      </c>
    </row>
    <row r="915" spans="12:18" x14ac:dyDescent="0.25">
      <c r="L915" t="str">
        <f t="shared" si="70"/>
        <v/>
      </c>
      <c r="M915" t="b">
        <f t="shared" si="71"/>
        <v>0</v>
      </c>
      <c r="N915" t="str">
        <f>IF(M915,IF(B915="Fe",_xludf.XLOOKUP(A915,'Standards Catalogue'!$A:$A,'Standards Catalogue'!$B:$B,""),IF(B915="P",_xludf.XLOOKUP(A915,'Standards Catalogue'!$A:$A,'Standards Catalogue'!$D:$D,""),IF(B915="S",_xludf.XLOOKUP(A915,'Standards Catalogue'!$A:$A,'Standards Catalogue'!$F:$F,""),""))),"")</f>
        <v/>
      </c>
      <c r="O915" t="str">
        <f>IF(M915,IF(B915="Fe",_xludf.XLOOKUP(A915,'Standards Catalogue'!$A:$A,'Standards Catalogue'!$C:$C,""),IF(B915="P",_xludf.XLOOKUP(A915,'Standards Catalogue'!$A:$A,'Standards Catalogue'!$E:$E,""),IF(B915="S",_xludf.XLOOKUP(A915,'Standards Catalogue'!$A:$A,'Standards Catalogue'!$G:$G,""),""))),"")</f>
        <v/>
      </c>
      <c r="P915" t="str">
        <f t="shared" si="72"/>
        <v/>
      </c>
      <c r="Q915" t="str">
        <f t="shared" si="73"/>
        <v/>
      </c>
      <c r="R915" t="str">
        <f t="shared" si="74"/>
        <v/>
      </c>
    </row>
    <row r="916" spans="12:18" x14ac:dyDescent="0.25">
      <c r="L916" t="str">
        <f t="shared" si="70"/>
        <v/>
      </c>
      <c r="M916" t="b">
        <f t="shared" si="71"/>
        <v>0</v>
      </c>
      <c r="N916" t="str">
        <f>IF(M916,IF(B916="Fe",_xludf.XLOOKUP(A916,'Standards Catalogue'!$A:$A,'Standards Catalogue'!$B:$B,""),IF(B916="P",_xludf.XLOOKUP(A916,'Standards Catalogue'!$A:$A,'Standards Catalogue'!$D:$D,""),IF(B916="S",_xludf.XLOOKUP(A916,'Standards Catalogue'!$A:$A,'Standards Catalogue'!$F:$F,""),""))),"")</f>
        <v/>
      </c>
      <c r="O916" t="str">
        <f>IF(M916,IF(B916="Fe",_xludf.XLOOKUP(A916,'Standards Catalogue'!$A:$A,'Standards Catalogue'!$C:$C,""),IF(B916="P",_xludf.XLOOKUP(A916,'Standards Catalogue'!$A:$A,'Standards Catalogue'!$E:$E,""),IF(B916="S",_xludf.XLOOKUP(A916,'Standards Catalogue'!$A:$A,'Standards Catalogue'!$G:$G,""),""))),"")</f>
        <v/>
      </c>
      <c r="P916" t="str">
        <f t="shared" si="72"/>
        <v/>
      </c>
      <c r="Q916" t="str">
        <f t="shared" si="73"/>
        <v/>
      </c>
      <c r="R916" t="str">
        <f t="shared" si="74"/>
        <v/>
      </c>
    </row>
    <row r="917" spans="12:18" x14ac:dyDescent="0.25">
      <c r="L917" t="str">
        <f t="shared" si="70"/>
        <v/>
      </c>
      <c r="M917" t="b">
        <f t="shared" si="71"/>
        <v>0</v>
      </c>
      <c r="N917" t="str">
        <f>IF(M917,IF(B917="Fe",_xludf.XLOOKUP(A917,'Standards Catalogue'!$A:$A,'Standards Catalogue'!$B:$B,""),IF(B917="P",_xludf.XLOOKUP(A917,'Standards Catalogue'!$A:$A,'Standards Catalogue'!$D:$D,""),IF(B917="S",_xludf.XLOOKUP(A917,'Standards Catalogue'!$A:$A,'Standards Catalogue'!$F:$F,""),""))),"")</f>
        <v/>
      </c>
      <c r="O917" t="str">
        <f>IF(M917,IF(B917="Fe",_xludf.XLOOKUP(A917,'Standards Catalogue'!$A:$A,'Standards Catalogue'!$C:$C,""),IF(B917="P",_xludf.XLOOKUP(A917,'Standards Catalogue'!$A:$A,'Standards Catalogue'!$E:$E,""),IF(B917="S",_xludf.XLOOKUP(A917,'Standards Catalogue'!$A:$A,'Standards Catalogue'!$G:$G,""),""))),"")</f>
        <v/>
      </c>
      <c r="P917" t="str">
        <f t="shared" si="72"/>
        <v/>
      </c>
      <c r="Q917" t="str">
        <f t="shared" si="73"/>
        <v/>
      </c>
      <c r="R917" t="str">
        <f t="shared" si="74"/>
        <v/>
      </c>
    </row>
    <row r="918" spans="12:18" x14ac:dyDescent="0.25">
      <c r="L918" t="str">
        <f t="shared" si="70"/>
        <v/>
      </c>
      <c r="M918" t="b">
        <f t="shared" si="71"/>
        <v>0</v>
      </c>
      <c r="N918" t="str">
        <f>IF(M918,IF(B918="Fe",_xludf.XLOOKUP(A918,'Standards Catalogue'!$A:$A,'Standards Catalogue'!$B:$B,""),IF(B918="P",_xludf.XLOOKUP(A918,'Standards Catalogue'!$A:$A,'Standards Catalogue'!$D:$D,""),IF(B918="S",_xludf.XLOOKUP(A918,'Standards Catalogue'!$A:$A,'Standards Catalogue'!$F:$F,""),""))),"")</f>
        <v/>
      </c>
      <c r="O918" t="str">
        <f>IF(M918,IF(B918="Fe",_xludf.XLOOKUP(A918,'Standards Catalogue'!$A:$A,'Standards Catalogue'!$C:$C,""),IF(B918="P",_xludf.XLOOKUP(A918,'Standards Catalogue'!$A:$A,'Standards Catalogue'!$E:$E,""),IF(B918="S",_xludf.XLOOKUP(A918,'Standards Catalogue'!$A:$A,'Standards Catalogue'!$G:$G,""),""))),"")</f>
        <v/>
      </c>
      <c r="P918" t="str">
        <f t="shared" si="72"/>
        <v/>
      </c>
      <c r="Q918" t="str">
        <f t="shared" si="73"/>
        <v/>
      </c>
      <c r="R918" t="str">
        <f t="shared" si="74"/>
        <v/>
      </c>
    </row>
    <row r="919" spans="12:18" x14ac:dyDescent="0.25">
      <c r="L919" t="str">
        <f t="shared" si="70"/>
        <v/>
      </c>
      <c r="M919" t="b">
        <f t="shared" si="71"/>
        <v>0</v>
      </c>
      <c r="N919" t="str">
        <f>IF(M919,IF(B919="Fe",_xludf.XLOOKUP(A919,'Standards Catalogue'!$A:$A,'Standards Catalogue'!$B:$B,""),IF(B919="P",_xludf.XLOOKUP(A919,'Standards Catalogue'!$A:$A,'Standards Catalogue'!$D:$D,""),IF(B919="S",_xludf.XLOOKUP(A919,'Standards Catalogue'!$A:$A,'Standards Catalogue'!$F:$F,""),""))),"")</f>
        <v/>
      </c>
      <c r="O919" t="str">
        <f>IF(M919,IF(B919="Fe",_xludf.XLOOKUP(A919,'Standards Catalogue'!$A:$A,'Standards Catalogue'!$C:$C,""),IF(B919="P",_xludf.XLOOKUP(A919,'Standards Catalogue'!$A:$A,'Standards Catalogue'!$E:$E,""),IF(B919="S",_xludf.XLOOKUP(A919,'Standards Catalogue'!$A:$A,'Standards Catalogue'!$G:$G,""),""))),"")</f>
        <v/>
      </c>
      <c r="P919" t="str">
        <f t="shared" si="72"/>
        <v/>
      </c>
      <c r="Q919" t="str">
        <f t="shared" si="73"/>
        <v/>
      </c>
      <c r="R919" t="str">
        <f t="shared" si="74"/>
        <v/>
      </c>
    </row>
    <row r="920" spans="12:18" x14ac:dyDescent="0.25">
      <c r="L920" t="str">
        <f t="shared" si="70"/>
        <v/>
      </c>
      <c r="M920" t="b">
        <f t="shared" si="71"/>
        <v>0</v>
      </c>
      <c r="N920" t="str">
        <f>IF(M920,IF(B920="Fe",_xludf.XLOOKUP(A920,'Standards Catalogue'!$A:$A,'Standards Catalogue'!$B:$B,""),IF(B920="P",_xludf.XLOOKUP(A920,'Standards Catalogue'!$A:$A,'Standards Catalogue'!$D:$D,""),IF(B920="S",_xludf.XLOOKUP(A920,'Standards Catalogue'!$A:$A,'Standards Catalogue'!$F:$F,""),""))),"")</f>
        <v/>
      </c>
      <c r="O920" t="str">
        <f>IF(M920,IF(B920="Fe",_xludf.XLOOKUP(A920,'Standards Catalogue'!$A:$A,'Standards Catalogue'!$C:$C,""),IF(B920="P",_xludf.XLOOKUP(A920,'Standards Catalogue'!$A:$A,'Standards Catalogue'!$E:$E,""),IF(B920="S",_xludf.XLOOKUP(A920,'Standards Catalogue'!$A:$A,'Standards Catalogue'!$G:$G,""),""))),"")</f>
        <v/>
      </c>
      <c r="P920" t="str">
        <f t="shared" si="72"/>
        <v/>
      </c>
      <c r="Q920" t="str">
        <f t="shared" si="73"/>
        <v/>
      </c>
      <c r="R920" t="str">
        <f t="shared" si="74"/>
        <v/>
      </c>
    </row>
    <row r="921" spans="12:18" x14ac:dyDescent="0.25">
      <c r="L921" t="str">
        <f t="shared" si="70"/>
        <v/>
      </c>
      <c r="M921" t="b">
        <f t="shared" si="71"/>
        <v>0</v>
      </c>
      <c r="N921" t="str">
        <f>IF(M921,IF(B921="Fe",_xludf.XLOOKUP(A921,'Standards Catalogue'!$A:$A,'Standards Catalogue'!$B:$B,""),IF(B921="P",_xludf.XLOOKUP(A921,'Standards Catalogue'!$A:$A,'Standards Catalogue'!$D:$D,""),IF(B921="S",_xludf.XLOOKUP(A921,'Standards Catalogue'!$A:$A,'Standards Catalogue'!$F:$F,""),""))),"")</f>
        <v/>
      </c>
      <c r="O921" t="str">
        <f>IF(M921,IF(B921="Fe",_xludf.XLOOKUP(A921,'Standards Catalogue'!$A:$A,'Standards Catalogue'!$C:$C,""),IF(B921="P",_xludf.XLOOKUP(A921,'Standards Catalogue'!$A:$A,'Standards Catalogue'!$E:$E,""),IF(B921="S",_xludf.XLOOKUP(A921,'Standards Catalogue'!$A:$A,'Standards Catalogue'!$G:$G,""),""))),"")</f>
        <v/>
      </c>
      <c r="P921" t="str">
        <f t="shared" si="72"/>
        <v/>
      </c>
      <c r="Q921" t="str">
        <f t="shared" si="73"/>
        <v/>
      </c>
      <c r="R921" t="str">
        <f t="shared" si="74"/>
        <v/>
      </c>
    </row>
    <row r="922" spans="12:18" x14ac:dyDescent="0.25">
      <c r="L922" t="str">
        <f t="shared" si="70"/>
        <v/>
      </c>
      <c r="M922" t="b">
        <f t="shared" si="71"/>
        <v>0</v>
      </c>
      <c r="N922" t="str">
        <f>IF(M922,IF(B922="Fe",_xludf.XLOOKUP(A922,'Standards Catalogue'!$A:$A,'Standards Catalogue'!$B:$B,""),IF(B922="P",_xludf.XLOOKUP(A922,'Standards Catalogue'!$A:$A,'Standards Catalogue'!$D:$D,""),IF(B922="S",_xludf.XLOOKUP(A922,'Standards Catalogue'!$A:$A,'Standards Catalogue'!$F:$F,""),""))),"")</f>
        <v/>
      </c>
      <c r="O922" t="str">
        <f>IF(M922,IF(B922="Fe",_xludf.XLOOKUP(A922,'Standards Catalogue'!$A:$A,'Standards Catalogue'!$C:$C,""),IF(B922="P",_xludf.XLOOKUP(A922,'Standards Catalogue'!$A:$A,'Standards Catalogue'!$E:$E,""),IF(B922="S",_xludf.XLOOKUP(A922,'Standards Catalogue'!$A:$A,'Standards Catalogue'!$G:$G,""),""))),"")</f>
        <v/>
      </c>
      <c r="P922" t="str">
        <f t="shared" si="72"/>
        <v/>
      </c>
      <c r="Q922" t="str">
        <f t="shared" si="73"/>
        <v/>
      </c>
      <c r="R922" t="str">
        <f t="shared" si="74"/>
        <v/>
      </c>
    </row>
    <row r="923" spans="12:18" x14ac:dyDescent="0.25">
      <c r="L923" t="str">
        <f t="shared" si="70"/>
        <v/>
      </c>
      <c r="M923" t="b">
        <f t="shared" si="71"/>
        <v>0</v>
      </c>
      <c r="N923" t="str">
        <f>IF(M923,IF(B923="Fe",_xludf.XLOOKUP(A923,'Standards Catalogue'!$A:$A,'Standards Catalogue'!$B:$B,""),IF(B923="P",_xludf.XLOOKUP(A923,'Standards Catalogue'!$A:$A,'Standards Catalogue'!$D:$D,""),IF(B923="S",_xludf.XLOOKUP(A923,'Standards Catalogue'!$A:$A,'Standards Catalogue'!$F:$F,""),""))),"")</f>
        <v/>
      </c>
      <c r="O923" t="str">
        <f>IF(M923,IF(B923="Fe",_xludf.XLOOKUP(A923,'Standards Catalogue'!$A:$A,'Standards Catalogue'!$C:$C,""),IF(B923="P",_xludf.XLOOKUP(A923,'Standards Catalogue'!$A:$A,'Standards Catalogue'!$E:$E,""),IF(B923="S",_xludf.XLOOKUP(A923,'Standards Catalogue'!$A:$A,'Standards Catalogue'!$G:$G,""),""))),"")</f>
        <v/>
      </c>
      <c r="P923" t="str">
        <f t="shared" si="72"/>
        <v/>
      </c>
      <c r="Q923" t="str">
        <f t="shared" si="73"/>
        <v/>
      </c>
      <c r="R923" t="str">
        <f t="shared" si="74"/>
        <v/>
      </c>
    </row>
    <row r="924" spans="12:18" x14ac:dyDescent="0.25">
      <c r="L924" t="str">
        <f t="shared" si="70"/>
        <v/>
      </c>
      <c r="M924" t="b">
        <f t="shared" si="71"/>
        <v>0</v>
      </c>
      <c r="N924" t="str">
        <f>IF(M924,IF(B924="Fe",_xludf.XLOOKUP(A924,'Standards Catalogue'!$A:$A,'Standards Catalogue'!$B:$B,""),IF(B924="P",_xludf.XLOOKUP(A924,'Standards Catalogue'!$A:$A,'Standards Catalogue'!$D:$D,""),IF(B924="S",_xludf.XLOOKUP(A924,'Standards Catalogue'!$A:$A,'Standards Catalogue'!$F:$F,""),""))),"")</f>
        <v/>
      </c>
      <c r="O924" t="str">
        <f>IF(M924,IF(B924="Fe",_xludf.XLOOKUP(A924,'Standards Catalogue'!$A:$A,'Standards Catalogue'!$C:$C,""),IF(B924="P",_xludf.XLOOKUP(A924,'Standards Catalogue'!$A:$A,'Standards Catalogue'!$E:$E,""),IF(B924="S",_xludf.XLOOKUP(A924,'Standards Catalogue'!$A:$A,'Standards Catalogue'!$G:$G,""),""))),"")</f>
        <v/>
      </c>
      <c r="P924" t="str">
        <f t="shared" si="72"/>
        <v/>
      </c>
      <c r="Q924" t="str">
        <f t="shared" si="73"/>
        <v/>
      </c>
      <c r="R924" t="str">
        <f t="shared" si="74"/>
        <v/>
      </c>
    </row>
    <row r="925" spans="12:18" x14ac:dyDescent="0.25">
      <c r="L925" t="str">
        <f t="shared" si="70"/>
        <v/>
      </c>
      <c r="M925" t="b">
        <f t="shared" si="71"/>
        <v>0</v>
      </c>
      <c r="N925" t="str">
        <f>IF(M925,IF(B925="Fe",_xludf.XLOOKUP(A925,'Standards Catalogue'!$A:$A,'Standards Catalogue'!$B:$B,""),IF(B925="P",_xludf.XLOOKUP(A925,'Standards Catalogue'!$A:$A,'Standards Catalogue'!$D:$D,""),IF(B925="S",_xludf.XLOOKUP(A925,'Standards Catalogue'!$A:$A,'Standards Catalogue'!$F:$F,""),""))),"")</f>
        <v/>
      </c>
      <c r="O925" t="str">
        <f>IF(M925,IF(B925="Fe",_xludf.XLOOKUP(A925,'Standards Catalogue'!$A:$A,'Standards Catalogue'!$C:$C,""),IF(B925="P",_xludf.XLOOKUP(A925,'Standards Catalogue'!$A:$A,'Standards Catalogue'!$E:$E,""),IF(B925="S",_xludf.XLOOKUP(A925,'Standards Catalogue'!$A:$A,'Standards Catalogue'!$G:$G,""),""))),"")</f>
        <v/>
      </c>
      <c r="P925" t="str">
        <f t="shared" si="72"/>
        <v/>
      </c>
      <c r="Q925" t="str">
        <f t="shared" si="73"/>
        <v/>
      </c>
      <c r="R925" t="str">
        <f t="shared" si="74"/>
        <v/>
      </c>
    </row>
    <row r="926" spans="12:18" x14ac:dyDescent="0.25">
      <c r="L926" t="str">
        <f t="shared" si="70"/>
        <v/>
      </c>
      <c r="M926" t="b">
        <f t="shared" si="71"/>
        <v>0</v>
      </c>
      <c r="N926" t="str">
        <f>IF(M926,IF(B926="Fe",_xludf.XLOOKUP(A926,'Standards Catalogue'!$A:$A,'Standards Catalogue'!$B:$B,""),IF(B926="P",_xludf.XLOOKUP(A926,'Standards Catalogue'!$A:$A,'Standards Catalogue'!$D:$D,""),IF(B926="S",_xludf.XLOOKUP(A926,'Standards Catalogue'!$A:$A,'Standards Catalogue'!$F:$F,""),""))),"")</f>
        <v/>
      </c>
      <c r="O926" t="str">
        <f>IF(M926,IF(B926="Fe",_xludf.XLOOKUP(A926,'Standards Catalogue'!$A:$A,'Standards Catalogue'!$C:$C,""),IF(B926="P",_xludf.XLOOKUP(A926,'Standards Catalogue'!$A:$A,'Standards Catalogue'!$E:$E,""),IF(B926="S",_xludf.XLOOKUP(A926,'Standards Catalogue'!$A:$A,'Standards Catalogue'!$G:$G,""),""))),"")</f>
        <v/>
      </c>
      <c r="P926" t="str">
        <f t="shared" si="72"/>
        <v/>
      </c>
      <c r="Q926" t="str">
        <f t="shared" si="73"/>
        <v/>
      </c>
      <c r="R926" t="str">
        <f t="shared" si="74"/>
        <v/>
      </c>
    </row>
    <row r="927" spans="12:18" x14ac:dyDescent="0.25">
      <c r="L927" t="str">
        <f t="shared" si="70"/>
        <v/>
      </c>
      <c r="M927" t="b">
        <f t="shared" si="71"/>
        <v>0</v>
      </c>
      <c r="N927" t="str">
        <f>IF(M927,IF(B927="Fe",_xludf.XLOOKUP(A927,'Standards Catalogue'!$A:$A,'Standards Catalogue'!$B:$B,""),IF(B927="P",_xludf.XLOOKUP(A927,'Standards Catalogue'!$A:$A,'Standards Catalogue'!$D:$D,""),IF(B927="S",_xludf.XLOOKUP(A927,'Standards Catalogue'!$A:$A,'Standards Catalogue'!$F:$F,""),""))),"")</f>
        <v/>
      </c>
      <c r="O927" t="str">
        <f>IF(M927,IF(B927="Fe",_xludf.XLOOKUP(A927,'Standards Catalogue'!$A:$A,'Standards Catalogue'!$C:$C,""),IF(B927="P",_xludf.XLOOKUP(A927,'Standards Catalogue'!$A:$A,'Standards Catalogue'!$E:$E,""),IF(B927="S",_xludf.XLOOKUP(A927,'Standards Catalogue'!$A:$A,'Standards Catalogue'!$G:$G,""),""))),"")</f>
        <v/>
      </c>
      <c r="P927" t="str">
        <f t="shared" si="72"/>
        <v/>
      </c>
      <c r="Q927" t="str">
        <f t="shared" si="73"/>
        <v/>
      </c>
      <c r="R927" t="str">
        <f t="shared" si="74"/>
        <v/>
      </c>
    </row>
    <row r="928" spans="12:18" x14ac:dyDescent="0.25">
      <c r="L928" t="str">
        <f t="shared" si="70"/>
        <v/>
      </c>
      <c r="M928" t="b">
        <f t="shared" si="71"/>
        <v>0</v>
      </c>
      <c r="N928" t="str">
        <f>IF(M928,IF(B928="Fe",_xludf.XLOOKUP(A928,'Standards Catalogue'!$A:$A,'Standards Catalogue'!$B:$B,""),IF(B928="P",_xludf.XLOOKUP(A928,'Standards Catalogue'!$A:$A,'Standards Catalogue'!$D:$D,""),IF(B928="S",_xludf.XLOOKUP(A928,'Standards Catalogue'!$A:$A,'Standards Catalogue'!$F:$F,""),""))),"")</f>
        <v/>
      </c>
      <c r="O928" t="str">
        <f>IF(M928,IF(B928="Fe",_xludf.XLOOKUP(A928,'Standards Catalogue'!$A:$A,'Standards Catalogue'!$C:$C,""),IF(B928="P",_xludf.XLOOKUP(A928,'Standards Catalogue'!$A:$A,'Standards Catalogue'!$E:$E,""),IF(B928="S",_xludf.XLOOKUP(A928,'Standards Catalogue'!$A:$A,'Standards Catalogue'!$G:$G,""),""))),"")</f>
        <v/>
      </c>
      <c r="P928" t="str">
        <f t="shared" si="72"/>
        <v/>
      </c>
      <c r="Q928" t="str">
        <f t="shared" si="73"/>
        <v/>
      </c>
      <c r="R928" t="str">
        <f t="shared" si="74"/>
        <v/>
      </c>
    </row>
    <row r="929" spans="12:18" x14ac:dyDescent="0.25">
      <c r="L929" t="str">
        <f t="shared" si="70"/>
        <v/>
      </c>
      <c r="M929" t="b">
        <f t="shared" si="71"/>
        <v>0</v>
      </c>
      <c r="N929" t="str">
        <f>IF(M929,IF(B929="Fe",_xludf.XLOOKUP(A929,'Standards Catalogue'!$A:$A,'Standards Catalogue'!$B:$B,""),IF(B929="P",_xludf.XLOOKUP(A929,'Standards Catalogue'!$A:$A,'Standards Catalogue'!$D:$D,""),IF(B929="S",_xludf.XLOOKUP(A929,'Standards Catalogue'!$A:$A,'Standards Catalogue'!$F:$F,""),""))),"")</f>
        <v/>
      </c>
      <c r="O929" t="str">
        <f>IF(M929,IF(B929="Fe",_xludf.XLOOKUP(A929,'Standards Catalogue'!$A:$A,'Standards Catalogue'!$C:$C,""),IF(B929="P",_xludf.XLOOKUP(A929,'Standards Catalogue'!$A:$A,'Standards Catalogue'!$E:$E,""),IF(B929="S",_xludf.XLOOKUP(A929,'Standards Catalogue'!$A:$A,'Standards Catalogue'!$G:$G,""),""))),"")</f>
        <v/>
      </c>
      <c r="P929" t="str">
        <f t="shared" si="72"/>
        <v/>
      </c>
      <c r="Q929" t="str">
        <f t="shared" si="73"/>
        <v/>
      </c>
      <c r="R929" t="str">
        <f t="shared" si="74"/>
        <v/>
      </c>
    </row>
    <row r="930" spans="12:18" x14ac:dyDescent="0.25">
      <c r="L930" t="str">
        <f t="shared" si="70"/>
        <v/>
      </c>
      <c r="M930" t="b">
        <f t="shared" si="71"/>
        <v>0</v>
      </c>
      <c r="N930" t="str">
        <f>IF(M930,IF(B930="Fe",_xludf.XLOOKUP(A930,'Standards Catalogue'!$A:$A,'Standards Catalogue'!$B:$B,""),IF(B930="P",_xludf.XLOOKUP(A930,'Standards Catalogue'!$A:$A,'Standards Catalogue'!$D:$D,""),IF(B930="S",_xludf.XLOOKUP(A930,'Standards Catalogue'!$A:$A,'Standards Catalogue'!$F:$F,""),""))),"")</f>
        <v/>
      </c>
      <c r="O930" t="str">
        <f>IF(M930,IF(B930="Fe",_xludf.XLOOKUP(A930,'Standards Catalogue'!$A:$A,'Standards Catalogue'!$C:$C,""),IF(B930="P",_xludf.XLOOKUP(A930,'Standards Catalogue'!$A:$A,'Standards Catalogue'!$E:$E,""),IF(B930="S",_xludf.XLOOKUP(A930,'Standards Catalogue'!$A:$A,'Standards Catalogue'!$G:$G,""),""))),"")</f>
        <v/>
      </c>
      <c r="P930" t="str">
        <f t="shared" si="72"/>
        <v/>
      </c>
      <c r="Q930" t="str">
        <f t="shared" si="73"/>
        <v/>
      </c>
      <c r="R930" t="str">
        <f t="shared" si="74"/>
        <v/>
      </c>
    </row>
    <row r="931" spans="12:18" x14ac:dyDescent="0.25">
      <c r="L931" t="str">
        <f t="shared" si="70"/>
        <v/>
      </c>
      <c r="M931" t="b">
        <f t="shared" si="71"/>
        <v>0</v>
      </c>
      <c r="N931" t="str">
        <f>IF(M931,IF(B931="Fe",_xludf.XLOOKUP(A931,'Standards Catalogue'!$A:$A,'Standards Catalogue'!$B:$B,""),IF(B931="P",_xludf.XLOOKUP(A931,'Standards Catalogue'!$A:$A,'Standards Catalogue'!$D:$D,""),IF(B931="S",_xludf.XLOOKUP(A931,'Standards Catalogue'!$A:$A,'Standards Catalogue'!$F:$F,""),""))),"")</f>
        <v/>
      </c>
      <c r="O931" t="str">
        <f>IF(M931,IF(B931="Fe",_xludf.XLOOKUP(A931,'Standards Catalogue'!$A:$A,'Standards Catalogue'!$C:$C,""),IF(B931="P",_xludf.XLOOKUP(A931,'Standards Catalogue'!$A:$A,'Standards Catalogue'!$E:$E,""),IF(B931="S",_xludf.XLOOKUP(A931,'Standards Catalogue'!$A:$A,'Standards Catalogue'!$G:$G,""),""))),"")</f>
        <v/>
      </c>
      <c r="P931" t="str">
        <f t="shared" si="72"/>
        <v/>
      </c>
      <c r="Q931" t="str">
        <f t="shared" si="73"/>
        <v/>
      </c>
      <c r="R931" t="str">
        <f t="shared" si="74"/>
        <v/>
      </c>
    </row>
    <row r="932" spans="12:18" x14ac:dyDescent="0.25">
      <c r="L932" t="str">
        <f t="shared" si="70"/>
        <v/>
      </c>
      <c r="M932" t="b">
        <f t="shared" si="71"/>
        <v>0</v>
      </c>
      <c r="N932" t="str">
        <f>IF(M932,IF(B932="Fe",_xludf.XLOOKUP(A932,'Standards Catalogue'!$A:$A,'Standards Catalogue'!$B:$B,""),IF(B932="P",_xludf.XLOOKUP(A932,'Standards Catalogue'!$A:$A,'Standards Catalogue'!$D:$D,""),IF(B932="S",_xludf.XLOOKUP(A932,'Standards Catalogue'!$A:$A,'Standards Catalogue'!$F:$F,""),""))),"")</f>
        <v/>
      </c>
      <c r="O932" t="str">
        <f>IF(M932,IF(B932="Fe",_xludf.XLOOKUP(A932,'Standards Catalogue'!$A:$A,'Standards Catalogue'!$C:$C,""),IF(B932="P",_xludf.XLOOKUP(A932,'Standards Catalogue'!$A:$A,'Standards Catalogue'!$E:$E,""),IF(B932="S",_xludf.XLOOKUP(A932,'Standards Catalogue'!$A:$A,'Standards Catalogue'!$G:$G,""),""))),"")</f>
        <v/>
      </c>
      <c r="P932" t="str">
        <f t="shared" si="72"/>
        <v/>
      </c>
      <c r="Q932" t="str">
        <f t="shared" si="73"/>
        <v/>
      </c>
      <c r="R932" t="str">
        <f t="shared" si="74"/>
        <v/>
      </c>
    </row>
    <row r="933" spans="12:18" x14ac:dyDescent="0.25">
      <c r="L933" t="str">
        <f t="shared" si="70"/>
        <v/>
      </c>
      <c r="M933" t="b">
        <f t="shared" si="71"/>
        <v>0</v>
      </c>
      <c r="N933" t="str">
        <f>IF(M933,IF(B933="Fe",_xludf.XLOOKUP(A933,'Standards Catalogue'!$A:$A,'Standards Catalogue'!$B:$B,""),IF(B933="P",_xludf.XLOOKUP(A933,'Standards Catalogue'!$A:$A,'Standards Catalogue'!$D:$D,""),IF(B933="S",_xludf.XLOOKUP(A933,'Standards Catalogue'!$A:$A,'Standards Catalogue'!$F:$F,""),""))),"")</f>
        <v/>
      </c>
      <c r="O933" t="str">
        <f>IF(M933,IF(B933="Fe",_xludf.XLOOKUP(A933,'Standards Catalogue'!$A:$A,'Standards Catalogue'!$C:$C,""),IF(B933="P",_xludf.XLOOKUP(A933,'Standards Catalogue'!$A:$A,'Standards Catalogue'!$E:$E,""),IF(B933="S",_xludf.XLOOKUP(A933,'Standards Catalogue'!$A:$A,'Standards Catalogue'!$G:$G,""),""))),"")</f>
        <v/>
      </c>
      <c r="P933" t="str">
        <f t="shared" si="72"/>
        <v/>
      </c>
      <c r="Q933" t="str">
        <f t="shared" si="73"/>
        <v/>
      </c>
      <c r="R933" t="str">
        <f t="shared" si="74"/>
        <v/>
      </c>
    </row>
    <row r="934" spans="12:18" x14ac:dyDescent="0.25">
      <c r="L934" t="str">
        <f t="shared" si="70"/>
        <v/>
      </c>
      <c r="M934" t="b">
        <f t="shared" si="71"/>
        <v>0</v>
      </c>
      <c r="N934" t="str">
        <f>IF(M934,IF(B934="Fe",_xludf.XLOOKUP(A934,'Standards Catalogue'!$A:$A,'Standards Catalogue'!$B:$B,""),IF(B934="P",_xludf.XLOOKUP(A934,'Standards Catalogue'!$A:$A,'Standards Catalogue'!$D:$D,""),IF(B934="S",_xludf.XLOOKUP(A934,'Standards Catalogue'!$A:$A,'Standards Catalogue'!$F:$F,""),""))),"")</f>
        <v/>
      </c>
      <c r="O934" t="str">
        <f>IF(M934,IF(B934="Fe",_xludf.XLOOKUP(A934,'Standards Catalogue'!$A:$A,'Standards Catalogue'!$C:$C,""),IF(B934="P",_xludf.XLOOKUP(A934,'Standards Catalogue'!$A:$A,'Standards Catalogue'!$E:$E,""),IF(B934="S",_xludf.XLOOKUP(A934,'Standards Catalogue'!$A:$A,'Standards Catalogue'!$G:$G,""),""))),"")</f>
        <v/>
      </c>
      <c r="P934" t="str">
        <f t="shared" si="72"/>
        <v/>
      </c>
      <c r="Q934" t="str">
        <f t="shared" si="73"/>
        <v/>
      </c>
      <c r="R934" t="str">
        <f t="shared" si="74"/>
        <v/>
      </c>
    </row>
    <row r="935" spans="12:18" x14ac:dyDescent="0.25">
      <c r="L935" t="str">
        <f t="shared" si="70"/>
        <v/>
      </c>
      <c r="M935" t="b">
        <f t="shared" si="71"/>
        <v>0</v>
      </c>
      <c r="N935" t="str">
        <f>IF(M935,IF(B935="Fe",_xludf.XLOOKUP(A935,'Standards Catalogue'!$A:$A,'Standards Catalogue'!$B:$B,""),IF(B935="P",_xludf.XLOOKUP(A935,'Standards Catalogue'!$A:$A,'Standards Catalogue'!$D:$D,""),IF(B935="S",_xludf.XLOOKUP(A935,'Standards Catalogue'!$A:$A,'Standards Catalogue'!$F:$F,""),""))),"")</f>
        <v/>
      </c>
      <c r="O935" t="str">
        <f>IF(M935,IF(B935="Fe",_xludf.XLOOKUP(A935,'Standards Catalogue'!$A:$A,'Standards Catalogue'!$C:$C,""),IF(B935="P",_xludf.XLOOKUP(A935,'Standards Catalogue'!$A:$A,'Standards Catalogue'!$E:$E,""),IF(B935="S",_xludf.XLOOKUP(A935,'Standards Catalogue'!$A:$A,'Standards Catalogue'!$G:$G,""),""))),"")</f>
        <v/>
      </c>
      <c r="P935" t="str">
        <f t="shared" si="72"/>
        <v/>
      </c>
      <c r="Q935" t="str">
        <f t="shared" si="73"/>
        <v/>
      </c>
      <c r="R935" t="str">
        <f t="shared" si="74"/>
        <v/>
      </c>
    </row>
    <row r="936" spans="12:18" x14ac:dyDescent="0.25">
      <c r="L936" t="str">
        <f t="shared" si="70"/>
        <v/>
      </c>
      <c r="M936" t="b">
        <f t="shared" si="71"/>
        <v>0</v>
      </c>
      <c r="N936" t="str">
        <f>IF(M936,IF(B936="Fe",_xludf.XLOOKUP(A936,'Standards Catalogue'!$A:$A,'Standards Catalogue'!$B:$B,""),IF(B936="P",_xludf.XLOOKUP(A936,'Standards Catalogue'!$A:$A,'Standards Catalogue'!$D:$D,""),IF(B936="S",_xludf.XLOOKUP(A936,'Standards Catalogue'!$A:$A,'Standards Catalogue'!$F:$F,""),""))),"")</f>
        <v/>
      </c>
      <c r="O936" t="str">
        <f>IF(M936,IF(B936="Fe",_xludf.XLOOKUP(A936,'Standards Catalogue'!$A:$A,'Standards Catalogue'!$C:$C,""),IF(B936="P",_xludf.XLOOKUP(A936,'Standards Catalogue'!$A:$A,'Standards Catalogue'!$E:$E,""),IF(B936="S",_xludf.XLOOKUP(A936,'Standards Catalogue'!$A:$A,'Standards Catalogue'!$G:$G,""),""))),"")</f>
        <v/>
      </c>
      <c r="P936" t="str">
        <f t="shared" si="72"/>
        <v/>
      </c>
      <c r="Q936" t="str">
        <f t="shared" si="73"/>
        <v/>
      </c>
      <c r="R936" t="str">
        <f t="shared" si="74"/>
        <v/>
      </c>
    </row>
    <row r="937" spans="12:18" x14ac:dyDescent="0.25">
      <c r="L937" t="str">
        <f t="shared" si="70"/>
        <v/>
      </c>
      <c r="M937" t="b">
        <f t="shared" si="71"/>
        <v>0</v>
      </c>
      <c r="N937" t="str">
        <f>IF(M937,IF(B937="Fe",_xludf.XLOOKUP(A937,'Standards Catalogue'!$A:$A,'Standards Catalogue'!$B:$B,""),IF(B937="P",_xludf.XLOOKUP(A937,'Standards Catalogue'!$A:$A,'Standards Catalogue'!$D:$D,""),IF(B937="S",_xludf.XLOOKUP(A937,'Standards Catalogue'!$A:$A,'Standards Catalogue'!$F:$F,""),""))),"")</f>
        <v/>
      </c>
      <c r="O937" t="str">
        <f>IF(M937,IF(B937="Fe",_xludf.XLOOKUP(A937,'Standards Catalogue'!$A:$A,'Standards Catalogue'!$C:$C,""),IF(B937="P",_xludf.XLOOKUP(A937,'Standards Catalogue'!$A:$A,'Standards Catalogue'!$E:$E,""),IF(B937="S",_xludf.XLOOKUP(A937,'Standards Catalogue'!$A:$A,'Standards Catalogue'!$G:$G,""),""))),"")</f>
        <v/>
      </c>
      <c r="P937" t="str">
        <f t="shared" si="72"/>
        <v/>
      </c>
      <c r="Q937" t="str">
        <f t="shared" si="73"/>
        <v/>
      </c>
      <c r="R937" t="str">
        <f t="shared" si="74"/>
        <v/>
      </c>
    </row>
    <row r="938" spans="12:18" x14ac:dyDescent="0.25">
      <c r="L938" t="str">
        <f t="shared" si="70"/>
        <v/>
      </c>
      <c r="M938" t="b">
        <f t="shared" si="71"/>
        <v>0</v>
      </c>
      <c r="N938" t="str">
        <f>IF(M938,IF(B938="Fe",_xludf.XLOOKUP(A938,'Standards Catalogue'!$A:$A,'Standards Catalogue'!$B:$B,""),IF(B938="P",_xludf.XLOOKUP(A938,'Standards Catalogue'!$A:$A,'Standards Catalogue'!$D:$D,""),IF(B938="S",_xludf.XLOOKUP(A938,'Standards Catalogue'!$A:$A,'Standards Catalogue'!$F:$F,""),""))),"")</f>
        <v/>
      </c>
      <c r="O938" t="str">
        <f>IF(M938,IF(B938="Fe",_xludf.XLOOKUP(A938,'Standards Catalogue'!$A:$A,'Standards Catalogue'!$C:$C,""),IF(B938="P",_xludf.XLOOKUP(A938,'Standards Catalogue'!$A:$A,'Standards Catalogue'!$E:$E,""),IF(B938="S",_xludf.XLOOKUP(A938,'Standards Catalogue'!$A:$A,'Standards Catalogue'!$G:$G,""),""))),"")</f>
        <v/>
      </c>
      <c r="P938" t="str">
        <f t="shared" si="72"/>
        <v/>
      </c>
      <c r="Q938" t="str">
        <f t="shared" si="73"/>
        <v/>
      </c>
      <c r="R938" t="str">
        <f t="shared" si="74"/>
        <v/>
      </c>
    </row>
    <row r="939" spans="12:18" x14ac:dyDescent="0.25">
      <c r="L939" t="str">
        <f t="shared" si="70"/>
        <v/>
      </c>
      <c r="M939" t="b">
        <f t="shared" si="71"/>
        <v>0</v>
      </c>
      <c r="N939" t="str">
        <f>IF(M939,IF(B939="Fe",_xludf.XLOOKUP(A939,'Standards Catalogue'!$A:$A,'Standards Catalogue'!$B:$B,""),IF(B939="P",_xludf.XLOOKUP(A939,'Standards Catalogue'!$A:$A,'Standards Catalogue'!$D:$D,""),IF(B939="S",_xludf.XLOOKUP(A939,'Standards Catalogue'!$A:$A,'Standards Catalogue'!$F:$F,""),""))),"")</f>
        <v/>
      </c>
      <c r="O939" t="str">
        <f>IF(M939,IF(B939="Fe",_xludf.XLOOKUP(A939,'Standards Catalogue'!$A:$A,'Standards Catalogue'!$C:$C,""),IF(B939="P",_xludf.XLOOKUP(A939,'Standards Catalogue'!$A:$A,'Standards Catalogue'!$E:$E,""),IF(B939="S",_xludf.XLOOKUP(A939,'Standards Catalogue'!$A:$A,'Standards Catalogue'!$G:$G,""),""))),"")</f>
        <v/>
      </c>
      <c r="P939" t="str">
        <f t="shared" si="72"/>
        <v/>
      </c>
      <c r="Q939" t="str">
        <f t="shared" si="73"/>
        <v/>
      </c>
      <c r="R939" t="str">
        <f t="shared" si="74"/>
        <v/>
      </c>
    </row>
    <row r="940" spans="12:18" x14ac:dyDescent="0.25">
      <c r="L940" t="str">
        <f t="shared" si="70"/>
        <v/>
      </c>
      <c r="M940" t="b">
        <f t="shared" si="71"/>
        <v>0</v>
      </c>
      <c r="N940" t="str">
        <f>IF(M940,IF(B940="Fe",_xludf.XLOOKUP(A940,'Standards Catalogue'!$A:$A,'Standards Catalogue'!$B:$B,""),IF(B940="P",_xludf.XLOOKUP(A940,'Standards Catalogue'!$A:$A,'Standards Catalogue'!$D:$D,""),IF(B940="S",_xludf.XLOOKUP(A940,'Standards Catalogue'!$A:$A,'Standards Catalogue'!$F:$F,""),""))),"")</f>
        <v/>
      </c>
      <c r="O940" t="str">
        <f>IF(M940,IF(B940="Fe",_xludf.XLOOKUP(A940,'Standards Catalogue'!$A:$A,'Standards Catalogue'!$C:$C,""),IF(B940="P",_xludf.XLOOKUP(A940,'Standards Catalogue'!$A:$A,'Standards Catalogue'!$E:$E,""),IF(B940="S",_xludf.XLOOKUP(A940,'Standards Catalogue'!$A:$A,'Standards Catalogue'!$G:$G,""),""))),"")</f>
        <v/>
      </c>
      <c r="P940" t="str">
        <f t="shared" si="72"/>
        <v/>
      </c>
      <c r="Q940" t="str">
        <f t="shared" si="73"/>
        <v/>
      </c>
      <c r="R940" t="str">
        <f t="shared" si="74"/>
        <v/>
      </c>
    </row>
    <row r="941" spans="12:18" x14ac:dyDescent="0.25">
      <c r="L941" t="str">
        <f t="shared" si="70"/>
        <v/>
      </c>
      <c r="M941" t="b">
        <f t="shared" si="71"/>
        <v>0</v>
      </c>
      <c r="N941" t="str">
        <f>IF(M941,IF(B941="Fe",_xludf.XLOOKUP(A941,'Standards Catalogue'!$A:$A,'Standards Catalogue'!$B:$B,""),IF(B941="P",_xludf.XLOOKUP(A941,'Standards Catalogue'!$A:$A,'Standards Catalogue'!$D:$D,""),IF(B941="S",_xludf.XLOOKUP(A941,'Standards Catalogue'!$A:$A,'Standards Catalogue'!$F:$F,""),""))),"")</f>
        <v/>
      </c>
      <c r="O941" t="str">
        <f>IF(M941,IF(B941="Fe",_xludf.XLOOKUP(A941,'Standards Catalogue'!$A:$A,'Standards Catalogue'!$C:$C,""),IF(B941="P",_xludf.XLOOKUP(A941,'Standards Catalogue'!$A:$A,'Standards Catalogue'!$E:$E,""),IF(B941="S",_xludf.XLOOKUP(A941,'Standards Catalogue'!$A:$A,'Standards Catalogue'!$G:$G,""),""))),"")</f>
        <v/>
      </c>
      <c r="P941" t="str">
        <f t="shared" si="72"/>
        <v/>
      </c>
      <c r="Q941" t="str">
        <f t="shared" si="73"/>
        <v/>
      </c>
      <c r="R941" t="str">
        <f t="shared" si="74"/>
        <v/>
      </c>
    </row>
    <row r="942" spans="12:18" x14ac:dyDescent="0.25">
      <c r="L942" t="str">
        <f t="shared" si="70"/>
        <v/>
      </c>
      <c r="M942" t="b">
        <f t="shared" si="71"/>
        <v>0</v>
      </c>
      <c r="N942" t="str">
        <f>IF(M942,IF(B942="Fe",_xludf.XLOOKUP(A942,'Standards Catalogue'!$A:$A,'Standards Catalogue'!$B:$B,""),IF(B942="P",_xludf.XLOOKUP(A942,'Standards Catalogue'!$A:$A,'Standards Catalogue'!$D:$D,""),IF(B942="S",_xludf.XLOOKUP(A942,'Standards Catalogue'!$A:$A,'Standards Catalogue'!$F:$F,""),""))),"")</f>
        <v/>
      </c>
      <c r="O942" t="str">
        <f>IF(M942,IF(B942="Fe",_xludf.XLOOKUP(A942,'Standards Catalogue'!$A:$A,'Standards Catalogue'!$C:$C,""),IF(B942="P",_xludf.XLOOKUP(A942,'Standards Catalogue'!$A:$A,'Standards Catalogue'!$E:$E,""),IF(B942="S",_xludf.XLOOKUP(A942,'Standards Catalogue'!$A:$A,'Standards Catalogue'!$G:$G,""),""))),"")</f>
        <v/>
      </c>
      <c r="P942" t="str">
        <f t="shared" si="72"/>
        <v/>
      </c>
      <c r="Q942" t="str">
        <f t="shared" si="73"/>
        <v/>
      </c>
      <c r="R942" t="str">
        <f t="shared" si="74"/>
        <v/>
      </c>
    </row>
    <row r="943" spans="12:18" x14ac:dyDescent="0.25">
      <c r="L943" t="str">
        <f t="shared" si="70"/>
        <v/>
      </c>
      <c r="M943" t="b">
        <f t="shared" si="71"/>
        <v>0</v>
      </c>
      <c r="N943" t="str">
        <f>IF(M943,IF(B943="Fe",_xludf.XLOOKUP(A943,'Standards Catalogue'!$A:$A,'Standards Catalogue'!$B:$B,""),IF(B943="P",_xludf.XLOOKUP(A943,'Standards Catalogue'!$A:$A,'Standards Catalogue'!$D:$D,""),IF(B943="S",_xludf.XLOOKUP(A943,'Standards Catalogue'!$A:$A,'Standards Catalogue'!$F:$F,""),""))),"")</f>
        <v/>
      </c>
      <c r="O943" t="str">
        <f>IF(M943,IF(B943="Fe",_xludf.XLOOKUP(A943,'Standards Catalogue'!$A:$A,'Standards Catalogue'!$C:$C,""),IF(B943="P",_xludf.XLOOKUP(A943,'Standards Catalogue'!$A:$A,'Standards Catalogue'!$E:$E,""),IF(B943="S",_xludf.XLOOKUP(A943,'Standards Catalogue'!$A:$A,'Standards Catalogue'!$G:$G,""),""))),"")</f>
        <v/>
      </c>
      <c r="P943" t="str">
        <f t="shared" si="72"/>
        <v/>
      </c>
      <c r="Q943" t="str">
        <f t="shared" si="73"/>
        <v/>
      </c>
      <c r="R943" t="str">
        <f t="shared" si="74"/>
        <v/>
      </c>
    </row>
    <row r="944" spans="12:18" x14ac:dyDescent="0.25">
      <c r="L944" t="str">
        <f t="shared" si="70"/>
        <v/>
      </c>
      <c r="M944" t="b">
        <f t="shared" si="71"/>
        <v>0</v>
      </c>
      <c r="N944" t="str">
        <f>IF(M944,IF(B944="Fe",_xludf.XLOOKUP(A944,'Standards Catalogue'!$A:$A,'Standards Catalogue'!$B:$B,""),IF(B944="P",_xludf.XLOOKUP(A944,'Standards Catalogue'!$A:$A,'Standards Catalogue'!$D:$D,""),IF(B944="S",_xludf.XLOOKUP(A944,'Standards Catalogue'!$A:$A,'Standards Catalogue'!$F:$F,""),""))),"")</f>
        <v/>
      </c>
      <c r="O944" t="str">
        <f>IF(M944,IF(B944="Fe",_xludf.XLOOKUP(A944,'Standards Catalogue'!$A:$A,'Standards Catalogue'!$C:$C,""),IF(B944="P",_xludf.XLOOKUP(A944,'Standards Catalogue'!$A:$A,'Standards Catalogue'!$E:$E,""),IF(B944="S",_xludf.XLOOKUP(A944,'Standards Catalogue'!$A:$A,'Standards Catalogue'!$G:$G,""),""))),"")</f>
        <v/>
      </c>
      <c r="P944" t="str">
        <f t="shared" si="72"/>
        <v/>
      </c>
      <c r="Q944" t="str">
        <f t="shared" si="73"/>
        <v/>
      </c>
      <c r="R944" t="str">
        <f t="shared" si="74"/>
        <v/>
      </c>
    </row>
    <row r="945" spans="12:18" x14ac:dyDescent="0.25">
      <c r="L945" t="str">
        <f t="shared" si="70"/>
        <v/>
      </c>
      <c r="M945" t="b">
        <f t="shared" si="71"/>
        <v>0</v>
      </c>
      <c r="N945" t="str">
        <f>IF(M945,IF(B945="Fe",_xludf.XLOOKUP(A945,'Standards Catalogue'!$A:$A,'Standards Catalogue'!$B:$B,""),IF(B945="P",_xludf.XLOOKUP(A945,'Standards Catalogue'!$A:$A,'Standards Catalogue'!$D:$D,""),IF(B945="S",_xludf.XLOOKUP(A945,'Standards Catalogue'!$A:$A,'Standards Catalogue'!$F:$F,""),""))),"")</f>
        <v/>
      </c>
      <c r="O945" t="str">
        <f>IF(M945,IF(B945="Fe",_xludf.XLOOKUP(A945,'Standards Catalogue'!$A:$A,'Standards Catalogue'!$C:$C,""),IF(B945="P",_xludf.XLOOKUP(A945,'Standards Catalogue'!$A:$A,'Standards Catalogue'!$E:$E,""),IF(B945="S",_xludf.XLOOKUP(A945,'Standards Catalogue'!$A:$A,'Standards Catalogue'!$G:$G,""),""))),"")</f>
        <v/>
      </c>
      <c r="P945" t="str">
        <f t="shared" si="72"/>
        <v/>
      </c>
      <c r="Q945" t="str">
        <f t="shared" si="73"/>
        <v/>
      </c>
      <c r="R945" t="str">
        <f t="shared" si="74"/>
        <v/>
      </c>
    </row>
    <row r="946" spans="12:18" x14ac:dyDescent="0.25">
      <c r="L946" t="str">
        <f t="shared" si="70"/>
        <v/>
      </c>
      <c r="M946" t="b">
        <f t="shared" si="71"/>
        <v>0</v>
      </c>
      <c r="N946" t="str">
        <f>IF(M946,IF(B946="Fe",_xludf.XLOOKUP(A946,'Standards Catalogue'!$A:$A,'Standards Catalogue'!$B:$B,""),IF(B946="P",_xludf.XLOOKUP(A946,'Standards Catalogue'!$A:$A,'Standards Catalogue'!$D:$D,""),IF(B946="S",_xludf.XLOOKUP(A946,'Standards Catalogue'!$A:$A,'Standards Catalogue'!$F:$F,""),""))),"")</f>
        <v/>
      </c>
      <c r="O946" t="str">
        <f>IF(M946,IF(B946="Fe",_xludf.XLOOKUP(A946,'Standards Catalogue'!$A:$A,'Standards Catalogue'!$C:$C,""),IF(B946="P",_xludf.XLOOKUP(A946,'Standards Catalogue'!$A:$A,'Standards Catalogue'!$E:$E,""),IF(B946="S",_xludf.XLOOKUP(A946,'Standards Catalogue'!$A:$A,'Standards Catalogue'!$G:$G,""),""))),"")</f>
        <v/>
      </c>
      <c r="P946" t="str">
        <f t="shared" si="72"/>
        <v/>
      </c>
      <c r="Q946" t="str">
        <f t="shared" si="73"/>
        <v/>
      </c>
      <c r="R946" t="str">
        <f t="shared" si="74"/>
        <v/>
      </c>
    </row>
    <row r="947" spans="12:18" x14ac:dyDescent="0.25">
      <c r="L947" t="str">
        <f t="shared" si="70"/>
        <v/>
      </c>
      <c r="M947" t="b">
        <f t="shared" si="71"/>
        <v>0</v>
      </c>
      <c r="N947" t="str">
        <f>IF(M947,IF(B947="Fe",_xludf.XLOOKUP(A947,'Standards Catalogue'!$A:$A,'Standards Catalogue'!$B:$B,""),IF(B947="P",_xludf.XLOOKUP(A947,'Standards Catalogue'!$A:$A,'Standards Catalogue'!$D:$D,""),IF(B947="S",_xludf.XLOOKUP(A947,'Standards Catalogue'!$A:$A,'Standards Catalogue'!$F:$F,""),""))),"")</f>
        <v/>
      </c>
      <c r="O947" t="str">
        <f>IF(M947,IF(B947="Fe",_xludf.XLOOKUP(A947,'Standards Catalogue'!$A:$A,'Standards Catalogue'!$C:$C,""),IF(B947="P",_xludf.XLOOKUP(A947,'Standards Catalogue'!$A:$A,'Standards Catalogue'!$E:$E,""),IF(B947="S",_xludf.XLOOKUP(A947,'Standards Catalogue'!$A:$A,'Standards Catalogue'!$G:$G,""),""))),"")</f>
        <v/>
      </c>
      <c r="P947" t="str">
        <f t="shared" si="72"/>
        <v/>
      </c>
      <c r="Q947" t="str">
        <f t="shared" si="73"/>
        <v/>
      </c>
      <c r="R947" t="str">
        <f t="shared" si="74"/>
        <v/>
      </c>
    </row>
    <row r="948" spans="12:18" x14ac:dyDescent="0.25">
      <c r="L948" t="str">
        <f t="shared" si="70"/>
        <v/>
      </c>
      <c r="M948" t="b">
        <f t="shared" si="71"/>
        <v>0</v>
      </c>
      <c r="N948" t="str">
        <f>IF(M948,IF(B948="Fe",_xludf.XLOOKUP(A948,'Standards Catalogue'!$A:$A,'Standards Catalogue'!$B:$B,""),IF(B948="P",_xludf.XLOOKUP(A948,'Standards Catalogue'!$A:$A,'Standards Catalogue'!$D:$D,""),IF(B948="S",_xludf.XLOOKUP(A948,'Standards Catalogue'!$A:$A,'Standards Catalogue'!$F:$F,""),""))),"")</f>
        <v/>
      </c>
      <c r="O948" t="str">
        <f>IF(M948,IF(B948="Fe",_xludf.XLOOKUP(A948,'Standards Catalogue'!$A:$A,'Standards Catalogue'!$C:$C,""),IF(B948="P",_xludf.XLOOKUP(A948,'Standards Catalogue'!$A:$A,'Standards Catalogue'!$E:$E,""),IF(B948="S",_xludf.XLOOKUP(A948,'Standards Catalogue'!$A:$A,'Standards Catalogue'!$G:$G,""),""))),"")</f>
        <v/>
      </c>
      <c r="P948" t="str">
        <f t="shared" si="72"/>
        <v/>
      </c>
      <c r="Q948" t="str">
        <f t="shared" si="73"/>
        <v/>
      </c>
      <c r="R948" t="str">
        <f t="shared" si="74"/>
        <v/>
      </c>
    </row>
    <row r="949" spans="12:18" x14ac:dyDescent="0.25">
      <c r="L949" t="str">
        <f t="shared" si="70"/>
        <v/>
      </c>
      <c r="M949" t="b">
        <f t="shared" si="71"/>
        <v>0</v>
      </c>
      <c r="N949" t="str">
        <f>IF(M949,IF(B949="Fe",_xludf.XLOOKUP(A949,'Standards Catalogue'!$A:$A,'Standards Catalogue'!$B:$B,""),IF(B949="P",_xludf.XLOOKUP(A949,'Standards Catalogue'!$A:$A,'Standards Catalogue'!$D:$D,""),IF(B949="S",_xludf.XLOOKUP(A949,'Standards Catalogue'!$A:$A,'Standards Catalogue'!$F:$F,""),""))),"")</f>
        <v/>
      </c>
      <c r="O949" t="str">
        <f>IF(M949,IF(B949="Fe",_xludf.XLOOKUP(A949,'Standards Catalogue'!$A:$A,'Standards Catalogue'!$C:$C,""),IF(B949="P",_xludf.XLOOKUP(A949,'Standards Catalogue'!$A:$A,'Standards Catalogue'!$E:$E,""),IF(B949="S",_xludf.XLOOKUP(A949,'Standards Catalogue'!$A:$A,'Standards Catalogue'!$G:$G,""),""))),"")</f>
        <v/>
      </c>
      <c r="P949" t="str">
        <f t="shared" si="72"/>
        <v/>
      </c>
      <c r="Q949" t="str">
        <f t="shared" si="73"/>
        <v/>
      </c>
      <c r="R949" t="str">
        <f t="shared" si="74"/>
        <v/>
      </c>
    </row>
    <row r="950" spans="12:18" x14ac:dyDescent="0.25">
      <c r="L950" t="str">
        <f t="shared" si="70"/>
        <v/>
      </c>
      <c r="M950" t="b">
        <f t="shared" si="71"/>
        <v>0</v>
      </c>
      <c r="N950" t="str">
        <f>IF(M950,IF(B950="Fe",_xludf.XLOOKUP(A950,'Standards Catalogue'!$A:$A,'Standards Catalogue'!$B:$B,""),IF(B950="P",_xludf.XLOOKUP(A950,'Standards Catalogue'!$A:$A,'Standards Catalogue'!$D:$D,""),IF(B950="S",_xludf.XLOOKUP(A950,'Standards Catalogue'!$A:$A,'Standards Catalogue'!$F:$F,""),""))),"")</f>
        <v/>
      </c>
      <c r="O950" t="str">
        <f>IF(M950,IF(B950="Fe",_xludf.XLOOKUP(A950,'Standards Catalogue'!$A:$A,'Standards Catalogue'!$C:$C,""),IF(B950="P",_xludf.XLOOKUP(A950,'Standards Catalogue'!$A:$A,'Standards Catalogue'!$E:$E,""),IF(B950="S",_xludf.XLOOKUP(A950,'Standards Catalogue'!$A:$A,'Standards Catalogue'!$G:$G,""),""))),"")</f>
        <v/>
      </c>
      <c r="P950" t="str">
        <f t="shared" si="72"/>
        <v/>
      </c>
      <c r="Q950" t="str">
        <f t="shared" si="73"/>
        <v/>
      </c>
      <c r="R950" t="str">
        <f t="shared" si="74"/>
        <v/>
      </c>
    </row>
    <row r="951" spans="12:18" x14ac:dyDescent="0.25">
      <c r="L951" t="str">
        <f t="shared" si="70"/>
        <v/>
      </c>
      <c r="M951" t="b">
        <f t="shared" si="71"/>
        <v>0</v>
      </c>
      <c r="N951" t="str">
        <f>IF(M951,IF(B951="Fe",_xludf.XLOOKUP(A951,'Standards Catalogue'!$A:$A,'Standards Catalogue'!$B:$B,""),IF(B951="P",_xludf.XLOOKUP(A951,'Standards Catalogue'!$A:$A,'Standards Catalogue'!$D:$D,""),IF(B951="S",_xludf.XLOOKUP(A951,'Standards Catalogue'!$A:$A,'Standards Catalogue'!$F:$F,""),""))),"")</f>
        <v/>
      </c>
      <c r="O951" t="str">
        <f>IF(M951,IF(B951="Fe",_xludf.XLOOKUP(A951,'Standards Catalogue'!$A:$A,'Standards Catalogue'!$C:$C,""),IF(B951="P",_xludf.XLOOKUP(A951,'Standards Catalogue'!$A:$A,'Standards Catalogue'!$E:$E,""),IF(B951="S",_xludf.XLOOKUP(A951,'Standards Catalogue'!$A:$A,'Standards Catalogue'!$G:$G,""),""))),"")</f>
        <v/>
      </c>
      <c r="P951" t="str">
        <f t="shared" si="72"/>
        <v/>
      </c>
      <c r="Q951" t="str">
        <f t="shared" si="73"/>
        <v/>
      </c>
      <c r="R951" t="str">
        <f t="shared" si="74"/>
        <v/>
      </c>
    </row>
    <row r="952" spans="12:18" x14ac:dyDescent="0.25">
      <c r="L952" t="str">
        <f t="shared" si="70"/>
        <v/>
      </c>
      <c r="M952" t="b">
        <f t="shared" si="71"/>
        <v>0</v>
      </c>
      <c r="N952" t="str">
        <f>IF(M952,IF(B952="Fe",_xludf.XLOOKUP(A952,'Standards Catalogue'!$A:$A,'Standards Catalogue'!$B:$B,""),IF(B952="P",_xludf.XLOOKUP(A952,'Standards Catalogue'!$A:$A,'Standards Catalogue'!$D:$D,""),IF(B952="S",_xludf.XLOOKUP(A952,'Standards Catalogue'!$A:$A,'Standards Catalogue'!$F:$F,""),""))),"")</f>
        <v/>
      </c>
      <c r="O952" t="str">
        <f>IF(M952,IF(B952="Fe",_xludf.XLOOKUP(A952,'Standards Catalogue'!$A:$A,'Standards Catalogue'!$C:$C,""),IF(B952="P",_xludf.XLOOKUP(A952,'Standards Catalogue'!$A:$A,'Standards Catalogue'!$E:$E,""),IF(B952="S",_xludf.XLOOKUP(A952,'Standards Catalogue'!$A:$A,'Standards Catalogue'!$G:$G,""),""))),"")</f>
        <v/>
      </c>
      <c r="P952" t="str">
        <f t="shared" si="72"/>
        <v/>
      </c>
      <c r="Q952" t="str">
        <f t="shared" si="73"/>
        <v/>
      </c>
      <c r="R952" t="str">
        <f t="shared" si="74"/>
        <v/>
      </c>
    </row>
    <row r="953" spans="12:18" x14ac:dyDescent="0.25">
      <c r="L953" t="str">
        <f t="shared" si="70"/>
        <v/>
      </c>
      <c r="M953" t="b">
        <f t="shared" si="71"/>
        <v>0</v>
      </c>
      <c r="N953" t="str">
        <f>IF(M953,IF(B953="Fe",_xludf.XLOOKUP(A953,'Standards Catalogue'!$A:$A,'Standards Catalogue'!$B:$B,""),IF(B953="P",_xludf.XLOOKUP(A953,'Standards Catalogue'!$A:$A,'Standards Catalogue'!$D:$D,""),IF(B953="S",_xludf.XLOOKUP(A953,'Standards Catalogue'!$A:$A,'Standards Catalogue'!$F:$F,""),""))),"")</f>
        <v/>
      </c>
      <c r="O953" t="str">
        <f>IF(M953,IF(B953="Fe",_xludf.XLOOKUP(A953,'Standards Catalogue'!$A:$A,'Standards Catalogue'!$C:$C,""),IF(B953="P",_xludf.XLOOKUP(A953,'Standards Catalogue'!$A:$A,'Standards Catalogue'!$E:$E,""),IF(B953="S",_xludf.XLOOKUP(A953,'Standards Catalogue'!$A:$A,'Standards Catalogue'!$G:$G,""),""))),"")</f>
        <v/>
      </c>
      <c r="P953" t="str">
        <f t="shared" si="72"/>
        <v/>
      </c>
      <c r="Q953" t="str">
        <f t="shared" si="73"/>
        <v/>
      </c>
      <c r="R953" t="str">
        <f t="shared" si="74"/>
        <v/>
      </c>
    </row>
    <row r="954" spans="12:18" x14ac:dyDescent="0.25">
      <c r="L954" t="str">
        <f t="shared" si="70"/>
        <v/>
      </c>
      <c r="M954" t="b">
        <f t="shared" si="71"/>
        <v>0</v>
      </c>
      <c r="N954" t="str">
        <f>IF(M954,IF(B954="Fe",_xludf.XLOOKUP(A954,'Standards Catalogue'!$A:$A,'Standards Catalogue'!$B:$B,""),IF(B954="P",_xludf.XLOOKUP(A954,'Standards Catalogue'!$A:$A,'Standards Catalogue'!$D:$D,""),IF(B954="S",_xludf.XLOOKUP(A954,'Standards Catalogue'!$A:$A,'Standards Catalogue'!$F:$F,""),""))),"")</f>
        <v/>
      </c>
      <c r="O954" t="str">
        <f>IF(M954,IF(B954="Fe",_xludf.XLOOKUP(A954,'Standards Catalogue'!$A:$A,'Standards Catalogue'!$C:$C,""),IF(B954="P",_xludf.XLOOKUP(A954,'Standards Catalogue'!$A:$A,'Standards Catalogue'!$E:$E,""),IF(B954="S",_xludf.XLOOKUP(A954,'Standards Catalogue'!$A:$A,'Standards Catalogue'!$G:$G,""),""))),"")</f>
        <v/>
      </c>
      <c r="P954" t="str">
        <f t="shared" si="72"/>
        <v/>
      </c>
      <c r="Q954" t="str">
        <f t="shared" si="73"/>
        <v/>
      </c>
      <c r="R954" t="str">
        <f t="shared" si="74"/>
        <v/>
      </c>
    </row>
    <row r="955" spans="12:18" x14ac:dyDescent="0.25">
      <c r="L955" t="str">
        <f t="shared" si="70"/>
        <v/>
      </c>
      <c r="M955" t="b">
        <f t="shared" si="71"/>
        <v>0</v>
      </c>
      <c r="N955" t="str">
        <f>IF(M955,IF(B955="Fe",_xludf.XLOOKUP(A955,'Standards Catalogue'!$A:$A,'Standards Catalogue'!$B:$B,""),IF(B955="P",_xludf.XLOOKUP(A955,'Standards Catalogue'!$A:$A,'Standards Catalogue'!$D:$D,""),IF(B955="S",_xludf.XLOOKUP(A955,'Standards Catalogue'!$A:$A,'Standards Catalogue'!$F:$F,""),""))),"")</f>
        <v/>
      </c>
      <c r="O955" t="str">
        <f>IF(M955,IF(B955="Fe",_xludf.XLOOKUP(A955,'Standards Catalogue'!$A:$A,'Standards Catalogue'!$C:$C,""),IF(B955="P",_xludf.XLOOKUP(A955,'Standards Catalogue'!$A:$A,'Standards Catalogue'!$E:$E,""),IF(B955="S",_xludf.XLOOKUP(A955,'Standards Catalogue'!$A:$A,'Standards Catalogue'!$G:$G,""),""))),"")</f>
        <v/>
      </c>
      <c r="P955" t="str">
        <f t="shared" si="72"/>
        <v/>
      </c>
      <c r="Q955" t="str">
        <f t="shared" si="73"/>
        <v/>
      </c>
      <c r="R955" t="str">
        <f t="shared" si="74"/>
        <v/>
      </c>
    </row>
    <row r="956" spans="12:18" x14ac:dyDescent="0.25">
      <c r="L956" t="str">
        <f t="shared" si="70"/>
        <v/>
      </c>
      <c r="M956" t="b">
        <f t="shared" si="71"/>
        <v>0</v>
      </c>
      <c r="N956" t="str">
        <f>IF(M956,IF(B956="Fe",_xludf.XLOOKUP(A956,'Standards Catalogue'!$A:$A,'Standards Catalogue'!$B:$B,""),IF(B956="P",_xludf.XLOOKUP(A956,'Standards Catalogue'!$A:$A,'Standards Catalogue'!$D:$D,""),IF(B956="S",_xludf.XLOOKUP(A956,'Standards Catalogue'!$A:$A,'Standards Catalogue'!$F:$F,""),""))),"")</f>
        <v/>
      </c>
      <c r="O956" t="str">
        <f>IF(M956,IF(B956="Fe",_xludf.XLOOKUP(A956,'Standards Catalogue'!$A:$A,'Standards Catalogue'!$C:$C,""),IF(B956="P",_xludf.XLOOKUP(A956,'Standards Catalogue'!$A:$A,'Standards Catalogue'!$E:$E,""),IF(B956="S",_xludf.XLOOKUP(A956,'Standards Catalogue'!$A:$A,'Standards Catalogue'!$G:$G,""),""))),"")</f>
        <v/>
      </c>
      <c r="P956" t="str">
        <f t="shared" si="72"/>
        <v/>
      </c>
      <c r="Q956" t="str">
        <f t="shared" si="73"/>
        <v/>
      </c>
      <c r="R956" t="str">
        <f t="shared" si="74"/>
        <v/>
      </c>
    </row>
    <row r="957" spans="12:18" x14ac:dyDescent="0.25">
      <c r="L957" t="str">
        <f t="shared" si="70"/>
        <v/>
      </c>
      <c r="M957" t="b">
        <f t="shared" si="71"/>
        <v>0</v>
      </c>
      <c r="N957" t="str">
        <f>IF(M957,IF(B957="Fe",_xludf.XLOOKUP(A957,'Standards Catalogue'!$A:$A,'Standards Catalogue'!$B:$B,""),IF(B957="P",_xludf.XLOOKUP(A957,'Standards Catalogue'!$A:$A,'Standards Catalogue'!$D:$D,""),IF(B957="S",_xludf.XLOOKUP(A957,'Standards Catalogue'!$A:$A,'Standards Catalogue'!$F:$F,""),""))),"")</f>
        <v/>
      </c>
      <c r="O957" t="str">
        <f>IF(M957,IF(B957="Fe",_xludf.XLOOKUP(A957,'Standards Catalogue'!$A:$A,'Standards Catalogue'!$C:$C,""),IF(B957="P",_xludf.XLOOKUP(A957,'Standards Catalogue'!$A:$A,'Standards Catalogue'!$E:$E,""),IF(B957="S",_xludf.XLOOKUP(A957,'Standards Catalogue'!$A:$A,'Standards Catalogue'!$G:$G,""),""))),"")</f>
        <v/>
      </c>
      <c r="P957" t="str">
        <f t="shared" si="72"/>
        <v/>
      </c>
      <c r="Q957" t="str">
        <f t="shared" si="73"/>
        <v/>
      </c>
      <c r="R957" t="str">
        <f t="shared" si="74"/>
        <v/>
      </c>
    </row>
    <row r="958" spans="12:18" x14ac:dyDescent="0.25">
      <c r="L958" t="str">
        <f t="shared" si="70"/>
        <v/>
      </c>
      <c r="M958" t="b">
        <f t="shared" si="71"/>
        <v>0</v>
      </c>
      <c r="N958" t="str">
        <f>IF(M958,IF(B958="Fe",_xludf.XLOOKUP(A958,'Standards Catalogue'!$A:$A,'Standards Catalogue'!$B:$B,""),IF(B958="P",_xludf.XLOOKUP(A958,'Standards Catalogue'!$A:$A,'Standards Catalogue'!$D:$D,""),IF(B958="S",_xludf.XLOOKUP(A958,'Standards Catalogue'!$A:$A,'Standards Catalogue'!$F:$F,""),""))),"")</f>
        <v/>
      </c>
      <c r="O958" t="str">
        <f>IF(M958,IF(B958="Fe",_xludf.XLOOKUP(A958,'Standards Catalogue'!$A:$A,'Standards Catalogue'!$C:$C,""),IF(B958="P",_xludf.XLOOKUP(A958,'Standards Catalogue'!$A:$A,'Standards Catalogue'!$E:$E,""),IF(B958="S",_xludf.XLOOKUP(A958,'Standards Catalogue'!$A:$A,'Standards Catalogue'!$G:$G,""),""))),"")</f>
        <v/>
      </c>
      <c r="P958" t="str">
        <f t="shared" si="72"/>
        <v/>
      </c>
      <c r="Q958" t="str">
        <f t="shared" si="73"/>
        <v/>
      </c>
      <c r="R958" t="str">
        <f t="shared" si="74"/>
        <v/>
      </c>
    </row>
    <row r="959" spans="12:18" x14ac:dyDescent="0.25">
      <c r="L959" t="str">
        <f t="shared" si="70"/>
        <v/>
      </c>
      <c r="M959" t="b">
        <f t="shared" si="71"/>
        <v>0</v>
      </c>
      <c r="N959" t="str">
        <f>IF(M959,IF(B959="Fe",_xludf.XLOOKUP(A959,'Standards Catalogue'!$A:$A,'Standards Catalogue'!$B:$B,""),IF(B959="P",_xludf.XLOOKUP(A959,'Standards Catalogue'!$A:$A,'Standards Catalogue'!$D:$D,""),IF(B959="S",_xludf.XLOOKUP(A959,'Standards Catalogue'!$A:$A,'Standards Catalogue'!$F:$F,""),""))),"")</f>
        <v/>
      </c>
      <c r="O959" t="str">
        <f>IF(M959,IF(B959="Fe",_xludf.XLOOKUP(A959,'Standards Catalogue'!$A:$A,'Standards Catalogue'!$C:$C,""),IF(B959="P",_xludf.XLOOKUP(A959,'Standards Catalogue'!$A:$A,'Standards Catalogue'!$E:$E,""),IF(B959="S",_xludf.XLOOKUP(A959,'Standards Catalogue'!$A:$A,'Standards Catalogue'!$G:$G,""),""))),"")</f>
        <v/>
      </c>
      <c r="P959" t="str">
        <f t="shared" si="72"/>
        <v/>
      </c>
      <c r="Q959" t="str">
        <f t="shared" si="73"/>
        <v/>
      </c>
      <c r="R959" t="str">
        <f t="shared" si="74"/>
        <v/>
      </c>
    </row>
    <row r="960" spans="12:18" x14ac:dyDescent="0.25">
      <c r="L960" t="str">
        <f t="shared" si="70"/>
        <v/>
      </c>
      <c r="M960" t="b">
        <f t="shared" si="71"/>
        <v>0</v>
      </c>
      <c r="N960" t="str">
        <f>IF(M960,IF(B960="Fe",_xludf.XLOOKUP(A960,'Standards Catalogue'!$A:$A,'Standards Catalogue'!$B:$B,""),IF(B960="P",_xludf.XLOOKUP(A960,'Standards Catalogue'!$A:$A,'Standards Catalogue'!$D:$D,""),IF(B960="S",_xludf.XLOOKUP(A960,'Standards Catalogue'!$A:$A,'Standards Catalogue'!$F:$F,""),""))),"")</f>
        <v/>
      </c>
      <c r="O960" t="str">
        <f>IF(M960,IF(B960="Fe",_xludf.XLOOKUP(A960,'Standards Catalogue'!$A:$A,'Standards Catalogue'!$C:$C,""),IF(B960="P",_xludf.XLOOKUP(A960,'Standards Catalogue'!$A:$A,'Standards Catalogue'!$E:$E,""),IF(B960="S",_xludf.XLOOKUP(A960,'Standards Catalogue'!$A:$A,'Standards Catalogue'!$G:$G,""),""))),"")</f>
        <v/>
      </c>
      <c r="P960" t="str">
        <f t="shared" si="72"/>
        <v/>
      </c>
      <c r="Q960" t="str">
        <f t="shared" si="73"/>
        <v/>
      </c>
      <c r="R960" t="str">
        <f t="shared" si="74"/>
        <v/>
      </c>
    </row>
    <row r="961" spans="12:18" x14ac:dyDescent="0.25">
      <c r="L961" t="str">
        <f t="shared" si="70"/>
        <v/>
      </c>
      <c r="M961" t="b">
        <f t="shared" si="71"/>
        <v>0</v>
      </c>
      <c r="N961" t="str">
        <f>IF(M961,IF(B961="Fe",_xludf.XLOOKUP(A961,'Standards Catalogue'!$A:$A,'Standards Catalogue'!$B:$B,""),IF(B961="P",_xludf.XLOOKUP(A961,'Standards Catalogue'!$A:$A,'Standards Catalogue'!$D:$D,""),IF(B961="S",_xludf.XLOOKUP(A961,'Standards Catalogue'!$A:$A,'Standards Catalogue'!$F:$F,""),""))),"")</f>
        <v/>
      </c>
      <c r="O961" t="str">
        <f>IF(M961,IF(B961="Fe",_xludf.XLOOKUP(A961,'Standards Catalogue'!$A:$A,'Standards Catalogue'!$C:$C,""),IF(B961="P",_xludf.XLOOKUP(A961,'Standards Catalogue'!$A:$A,'Standards Catalogue'!$E:$E,""),IF(B961="S",_xludf.XLOOKUP(A961,'Standards Catalogue'!$A:$A,'Standards Catalogue'!$G:$G,""),""))),"")</f>
        <v/>
      </c>
      <c r="P961" t="str">
        <f t="shared" si="72"/>
        <v/>
      </c>
      <c r="Q961" t="str">
        <f t="shared" si="73"/>
        <v/>
      </c>
      <c r="R961" t="str">
        <f t="shared" si="74"/>
        <v/>
      </c>
    </row>
    <row r="962" spans="12:18" x14ac:dyDescent="0.25">
      <c r="L962" t="str">
        <f t="shared" ref="L962:L1001" si="75">IF(AND(A962&lt;&gt;"",B962&lt;&gt;""),A962&amp;"|"&amp;B962,"")</f>
        <v/>
      </c>
      <c r="M962" t="b">
        <f t="shared" ref="M962:M1001" si="76">IF(COUNTIF(STANDARDS_IDS,A962)&gt;0,TRUE,FALSE)</f>
        <v>0</v>
      </c>
      <c r="N962" t="str">
        <f>IF(M962,IF(B962="Fe",_xludf.XLOOKUP(A962,'Standards Catalogue'!$A:$A,'Standards Catalogue'!$B:$B,""),IF(B962="P",_xludf.XLOOKUP(A962,'Standards Catalogue'!$A:$A,'Standards Catalogue'!$D:$D,""),IF(B962="S",_xludf.XLOOKUP(A962,'Standards Catalogue'!$A:$A,'Standards Catalogue'!$F:$F,""),""))),"")</f>
        <v/>
      </c>
      <c r="O962" t="str">
        <f>IF(M962,IF(B962="Fe",_xludf.XLOOKUP(A962,'Standards Catalogue'!$A:$A,'Standards Catalogue'!$C:$C,""),IF(B962="P",_xludf.XLOOKUP(A962,'Standards Catalogue'!$A:$A,'Standards Catalogue'!$E:$E,""),IF(B962="S",_xludf.XLOOKUP(A962,'Standards Catalogue'!$A:$A,'Standards Catalogue'!$G:$G,""),""))),"")</f>
        <v/>
      </c>
      <c r="P962" t="str">
        <f t="shared" ref="P962:P1001" si="77">IF(M962,N962-2*O962,"")</f>
        <v/>
      </c>
      <c r="Q962" t="str">
        <f t="shared" ref="Q962:Q1001" si="78">IF(M962,N962+2*O962,"")</f>
        <v/>
      </c>
      <c r="R962" t="str">
        <f t="shared" ref="R962:R1001" si="79">IF(M962,IF(OR(C962="",N962="",O962=""),"",IF(AND(C962&gt;=P962,C962&lt;=Q962),"PASS","FAIL")),"")</f>
        <v/>
      </c>
    </row>
    <row r="963" spans="12:18" x14ac:dyDescent="0.25">
      <c r="L963" t="str">
        <f t="shared" si="75"/>
        <v/>
      </c>
      <c r="M963" t="b">
        <f t="shared" si="76"/>
        <v>0</v>
      </c>
      <c r="N963" t="str">
        <f>IF(M963,IF(B963="Fe",_xludf.XLOOKUP(A963,'Standards Catalogue'!$A:$A,'Standards Catalogue'!$B:$B,""),IF(B963="P",_xludf.XLOOKUP(A963,'Standards Catalogue'!$A:$A,'Standards Catalogue'!$D:$D,""),IF(B963="S",_xludf.XLOOKUP(A963,'Standards Catalogue'!$A:$A,'Standards Catalogue'!$F:$F,""),""))),"")</f>
        <v/>
      </c>
      <c r="O963" t="str">
        <f>IF(M963,IF(B963="Fe",_xludf.XLOOKUP(A963,'Standards Catalogue'!$A:$A,'Standards Catalogue'!$C:$C,""),IF(B963="P",_xludf.XLOOKUP(A963,'Standards Catalogue'!$A:$A,'Standards Catalogue'!$E:$E,""),IF(B963="S",_xludf.XLOOKUP(A963,'Standards Catalogue'!$A:$A,'Standards Catalogue'!$G:$G,""),""))),"")</f>
        <v/>
      </c>
      <c r="P963" t="str">
        <f t="shared" si="77"/>
        <v/>
      </c>
      <c r="Q963" t="str">
        <f t="shared" si="78"/>
        <v/>
      </c>
      <c r="R963" t="str">
        <f t="shared" si="79"/>
        <v/>
      </c>
    </row>
    <row r="964" spans="12:18" x14ac:dyDescent="0.25">
      <c r="L964" t="str">
        <f t="shared" si="75"/>
        <v/>
      </c>
      <c r="M964" t="b">
        <f t="shared" si="76"/>
        <v>0</v>
      </c>
      <c r="N964" t="str">
        <f>IF(M964,IF(B964="Fe",_xludf.XLOOKUP(A964,'Standards Catalogue'!$A:$A,'Standards Catalogue'!$B:$B,""),IF(B964="P",_xludf.XLOOKUP(A964,'Standards Catalogue'!$A:$A,'Standards Catalogue'!$D:$D,""),IF(B964="S",_xludf.XLOOKUP(A964,'Standards Catalogue'!$A:$A,'Standards Catalogue'!$F:$F,""),""))),"")</f>
        <v/>
      </c>
      <c r="O964" t="str">
        <f>IF(M964,IF(B964="Fe",_xludf.XLOOKUP(A964,'Standards Catalogue'!$A:$A,'Standards Catalogue'!$C:$C,""),IF(B964="P",_xludf.XLOOKUP(A964,'Standards Catalogue'!$A:$A,'Standards Catalogue'!$E:$E,""),IF(B964="S",_xludf.XLOOKUP(A964,'Standards Catalogue'!$A:$A,'Standards Catalogue'!$G:$G,""),""))),"")</f>
        <v/>
      </c>
      <c r="P964" t="str">
        <f t="shared" si="77"/>
        <v/>
      </c>
      <c r="Q964" t="str">
        <f t="shared" si="78"/>
        <v/>
      </c>
      <c r="R964" t="str">
        <f t="shared" si="79"/>
        <v/>
      </c>
    </row>
    <row r="965" spans="12:18" x14ac:dyDescent="0.25">
      <c r="L965" t="str">
        <f t="shared" si="75"/>
        <v/>
      </c>
      <c r="M965" t="b">
        <f t="shared" si="76"/>
        <v>0</v>
      </c>
      <c r="N965" t="str">
        <f>IF(M965,IF(B965="Fe",_xludf.XLOOKUP(A965,'Standards Catalogue'!$A:$A,'Standards Catalogue'!$B:$B,""),IF(B965="P",_xludf.XLOOKUP(A965,'Standards Catalogue'!$A:$A,'Standards Catalogue'!$D:$D,""),IF(B965="S",_xludf.XLOOKUP(A965,'Standards Catalogue'!$A:$A,'Standards Catalogue'!$F:$F,""),""))),"")</f>
        <v/>
      </c>
      <c r="O965" t="str">
        <f>IF(M965,IF(B965="Fe",_xludf.XLOOKUP(A965,'Standards Catalogue'!$A:$A,'Standards Catalogue'!$C:$C,""),IF(B965="P",_xludf.XLOOKUP(A965,'Standards Catalogue'!$A:$A,'Standards Catalogue'!$E:$E,""),IF(B965="S",_xludf.XLOOKUP(A965,'Standards Catalogue'!$A:$A,'Standards Catalogue'!$G:$G,""),""))),"")</f>
        <v/>
      </c>
      <c r="P965" t="str">
        <f t="shared" si="77"/>
        <v/>
      </c>
      <c r="Q965" t="str">
        <f t="shared" si="78"/>
        <v/>
      </c>
      <c r="R965" t="str">
        <f t="shared" si="79"/>
        <v/>
      </c>
    </row>
    <row r="966" spans="12:18" x14ac:dyDescent="0.25">
      <c r="L966" t="str">
        <f t="shared" si="75"/>
        <v/>
      </c>
      <c r="M966" t="b">
        <f t="shared" si="76"/>
        <v>0</v>
      </c>
      <c r="N966" t="str">
        <f>IF(M966,IF(B966="Fe",_xludf.XLOOKUP(A966,'Standards Catalogue'!$A:$A,'Standards Catalogue'!$B:$B,""),IF(B966="P",_xludf.XLOOKUP(A966,'Standards Catalogue'!$A:$A,'Standards Catalogue'!$D:$D,""),IF(B966="S",_xludf.XLOOKUP(A966,'Standards Catalogue'!$A:$A,'Standards Catalogue'!$F:$F,""),""))),"")</f>
        <v/>
      </c>
      <c r="O966" t="str">
        <f>IF(M966,IF(B966="Fe",_xludf.XLOOKUP(A966,'Standards Catalogue'!$A:$A,'Standards Catalogue'!$C:$C,""),IF(B966="P",_xludf.XLOOKUP(A966,'Standards Catalogue'!$A:$A,'Standards Catalogue'!$E:$E,""),IF(B966="S",_xludf.XLOOKUP(A966,'Standards Catalogue'!$A:$A,'Standards Catalogue'!$G:$G,""),""))),"")</f>
        <v/>
      </c>
      <c r="P966" t="str">
        <f t="shared" si="77"/>
        <v/>
      </c>
      <c r="Q966" t="str">
        <f t="shared" si="78"/>
        <v/>
      </c>
      <c r="R966" t="str">
        <f t="shared" si="79"/>
        <v/>
      </c>
    </row>
    <row r="967" spans="12:18" x14ac:dyDescent="0.25">
      <c r="L967" t="str">
        <f t="shared" si="75"/>
        <v/>
      </c>
      <c r="M967" t="b">
        <f t="shared" si="76"/>
        <v>0</v>
      </c>
      <c r="N967" t="str">
        <f>IF(M967,IF(B967="Fe",_xludf.XLOOKUP(A967,'Standards Catalogue'!$A:$A,'Standards Catalogue'!$B:$B,""),IF(B967="P",_xludf.XLOOKUP(A967,'Standards Catalogue'!$A:$A,'Standards Catalogue'!$D:$D,""),IF(B967="S",_xludf.XLOOKUP(A967,'Standards Catalogue'!$A:$A,'Standards Catalogue'!$F:$F,""),""))),"")</f>
        <v/>
      </c>
      <c r="O967" t="str">
        <f>IF(M967,IF(B967="Fe",_xludf.XLOOKUP(A967,'Standards Catalogue'!$A:$A,'Standards Catalogue'!$C:$C,""),IF(B967="P",_xludf.XLOOKUP(A967,'Standards Catalogue'!$A:$A,'Standards Catalogue'!$E:$E,""),IF(B967="S",_xludf.XLOOKUP(A967,'Standards Catalogue'!$A:$A,'Standards Catalogue'!$G:$G,""),""))),"")</f>
        <v/>
      </c>
      <c r="P967" t="str">
        <f t="shared" si="77"/>
        <v/>
      </c>
      <c r="Q967" t="str">
        <f t="shared" si="78"/>
        <v/>
      </c>
      <c r="R967" t="str">
        <f t="shared" si="79"/>
        <v/>
      </c>
    </row>
    <row r="968" spans="12:18" x14ac:dyDescent="0.25">
      <c r="L968" t="str">
        <f t="shared" si="75"/>
        <v/>
      </c>
      <c r="M968" t="b">
        <f t="shared" si="76"/>
        <v>0</v>
      </c>
      <c r="N968" t="str">
        <f>IF(M968,IF(B968="Fe",_xludf.XLOOKUP(A968,'Standards Catalogue'!$A:$A,'Standards Catalogue'!$B:$B,""),IF(B968="P",_xludf.XLOOKUP(A968,'Standards Catalogue'!$A:$A,'Standards Catalogue'!$D:$D,""),IF(B968="S",_xludf.XLOOKUP(A968,'Standards Catalogue'!$A:$A,'Standards Catalogue'!$F:$F,""),""))),"")</f>
        <v/>
      </c>
      <c r="O968" t="str">
        <f>IF(M968,IF(B968="Fe",_xludf.XLOOKUP(A968,'Standards Catalogue'!$A:$A,'Standards Catalogue'!$C:$C,""),IF(B968="P",_xludf.XLOOKUP(A968,'Standards Catalogue'!$A:$A,'Standards Catalogue'!$E:$E,""),IF(B968="S",_xludf.XLOOKUP(A968,'Standards Catalogue'!$A:$A,'Standards Catalogue'!$G:$G,""),""))),"")</f>
        <v/>
      </c>
      <c r="P968" t="str">
        <f t="shared" si="77"/>
        <v/>
      </c>
      <c r="Q968" t="str">
        <f t="shared" si="78"/>
        <v/>
      </c>
      <c r="R968" t="str">
        <f t="shared" si="79"/>
        <v/>
      </c>
    </row>
    <row r="969" spans="12:18" x14ac:dyDescent="0.25">
      <c r="L969" t="str">
        <f t="shared" si="75"/>
        <v/>
      </c>
      <c r="M969" t="b">
        <f t="shared" si="76"/>
        <v>0</v>
      </c>
      <c r="N969" t="str">
        <f>IF(M969,IF(B969="Fe",_xludf.XLOOKUP(A969,'Standards Catalogue'!$A:$A,'Standards Catalogue'!$B:$B,""),IF(B969="P",_xludf.XLOOKUP(A969,'Standards Catalogue'!$A:$A,'Standards Catalogue'!$D:$D,""),IF(B969="S",_xludf.XLOOKUP(A969,'Standards Catalogue'!$A:$A,'Standards Catalogue'!$F:$F,""),""))),"")</f>
        <v/>
      </c>
      <c r="O969" t="str">
        <f>IF(M969,IF(B969="Fe",_xludf.XLOOKUP(A969,'Standards Catalogue'!$A:$A,'Standards Catalogue'!$C:$C,""),IF(B969="P",_xludf.XLOOKUP(A969,'Standards Catalogue'!$A:$A,'Standards Catalogue'!$E:$E,""),IF(B969="S",_xludf.XLOOKUP(A969,'Standards Catalogue'!$A:$A,'Standards Catalogue'!$G:$G,""),""))),"")</f>
        <v/>
      </c>
      <c r="P969" t="str">
        <f t="shared" si="77"/>
        <v/>
      </c>
      <c r="Q969" t="str">
        <f t="shared" si="78"/>
        <v/>
      </c>
      <c r="R969" t="str">
        <f t="shared" si="79"/>
        <v/>
      </c>
    </row>
    <row r="970" spans="12:18" x14ac:dyDescent="0.25">
      <c r="L970" t="str">
        <f t="shared" si="75"/>
        <v/>
      </c>
      <c r="M970" t="b">
        <f t="shared" si="76"/>
        <v>0</v>
      </c>
      <c r="N970" t="str">
        <f>IF(M970,IF(B970="Fe",_xludf.XLOOKUP(A970,'Standards Catalogue'!$A:$A,'Standards Catalogue'!$B:$B,""),IF(B970="P",_xludf.XLOOKUP(A970,'Standards Catalogue'!$A:$A,'Standards Catalogue'!$D:$D,""),IF(B970="S",_xludf.XLOOKUP(A970,'Standards Catalogue'!$A:$A,'Standards Catalogue'!$F:$F,""),""))),"")</f>
        <v/>
      </c>
      <c r="O970" t="str">
        <f>IF(M970,IF(B970="Fe",_xludf.XLOOKUP(A970,'Standards Catalogue'!$A:$A,'Standards Catalogue'!$C:$C,""),IF(B970="P",_xludf.XLOOKUP(A970,'Standards Catalogue'!$A:$A,'Standards Catalogue'!$E:$E,""),IF(B970="S",_xludf.XLOOKUP(A970,'Standards Catalogue'!$A:$A,'Standards Catalogue'!$G:$G,""),""))),"")</f>
        <v/>
      </c>
      <c r="P970" t="str">
        <f t="shared" si="77"/>
        <v/>
      </c>
      <c r="Q970" t="str">
        <f t="shared" si="78"/>
        <v/>
      </c>
      <c r="R970" t="str">
        <f t="shared" si="79"/>
        <v/>
      </c>
    </row>
    <row r="971" spans="12:18" x14ac:dyDescent="0.25">
      <c r="L971" t="str">
        <f t="shared" si="75"/>
        <v/>
      </c>
      <c r="M971" t="b">
        <f t="shared" si="76"/>
        <v>0</v>
      </c>
      <c r="N971" t="str">
        <f>IF(M971,IF(B971="Fe",_xludf.XLOOKUP(A971,'Standards Catalogue'!$A:$A,'Standards Catalogue'!$B:$B,""),IF(B971="P",_xludf.XLOOKUP(A971,'Standards Catalogue'!$A:$A,'Standards Catalogue'!$D:$D,""),IF(B971="S",_xludf.XLOOKUP(A971,'Standards Catalogue'!$A:$A,'Standards Catalogue'!$F:$F,""),""))),"")</f>
        <v/>
      </c>
      <c r="O971" t="str">
        <f>IF(M971,IF(B971="Fe",_xludf.XLOOKUP(A971,'Standards Catalogue'!$A:$A,'Standards Catalogue'!$C:$C,""),IF(B971="P",_xludf.XLOOKUP(A971,'Standards Catalogue'!$A:$A,'Standards Catalogue'!$E:$E,""),IF(B971="S",_xludf.XLOOKUP(A971,'Standards Catalogue'!$A:$A,'Standards Catalogue'!$G:$G,""),""))),"")</f>
        <v/>
      </c>
      <c r="P971" t="str">
        <f t="shared" si="77"/>
        <v/>
      </c>
      <c r="Q971" t="str">
        <f t="shared" si="78"/>
        <v/>
      </c>
      <c r="R971" t="str">
        <f t="shared" si="79"/>
        <v/>
      </c>
    </row>
    <row r="972" spans="12:18" x14ac:dyDescent="0.25">
      <c r="L972" t="str">
        <f t="shared" si="75"/>
        <v/>
      </c>
      <c r="M972" t="b">
        <f t="shared" si="76"/>
        <v>0</v>
      </c>
      <c r="N972" t="str">
        <f>IF(M972,IF(B972="Fe",_xludf.XLOOKUP(A972,'Standards Catalogue'!$A:$A,'Standards Catalogue'!$B:$B,""),IF(B972="P",_xludf.XLOOKUP(A972,'Standards Catalogue'!$A:$A,'Standards Catalogue'!$D:$D,""),IF(B972="S",_xludf.XLOOKUP(A972,'Standards Catalogue'!$A:$A,'Standards Catalogue'!$F:$F,""),""))),"")</f>
        <v/>
      </c>
      <c r="O972" t="str">
        <f>IF(M972,IF(B972="Fe",_xludf.XLOOKUP(A972,'Standards Catalogue'!$A:$A,'Standards Catalogue'!$C:$C,""),IF(B972="P",_xludf.XLOOKUP(A972,'Standards Catalogue'!$A:$A,'Standards Catalogue'!$E:$E,""),IF(B972="S",_xludf.XLOOKUP(A972,'Standards Catalogue'!$A:$A,'Standards Catalogue'!$G:$G,""),""))),"")</f>
        <v/>
      </c>
      <c r="P972" t="str">
        <f t="shared" si="77"/>
        <v/>
      </c>
      <c r="Q972" t="str">
        <f t="shared" si="78"/>
        <v/>
      </c>
      <c r="R972" t="str">
        <f t="shared" si="79"/>
        <v/>
      </c>
    </row>
    <row r="973" spans="12:18" x14ac:dyDescent="0.25">
      <c r="L973" t="str">
        <f t="shared" si="75"/>
        <v/>
      </c>
      <c r="M973" t="b">
        <f t="shared" si="76"/>
        <v>0</v>
      </c>
      <c r="N973" t="str">
        <f>IF(M973,IF(B973="Fe",_xludf.XLOOKUP(A973,'Standards Catalogue'!$A:$A,'Standards Catalogue'!$B:$B,""),IF(B973="P",_xludf.XLOOKUP(A973,'Standards Catalogue'!$A:$A,'Standards Catalogue'!$D:$D,""),IF(B973="S",_xludf.XLOOKUP(A973,'Standards Catalogue'!$A:$A,'Standards Catalogue'!$F:$F,""),""))),"")</f>
        <v/>
      </c>
      <c r="O973" t="str">
        <f>IF(M973,IF(B973="Fe",_xludf.XLOOKUP(A973,'Standards Catalogue'!$A:$A,'Standards Catalogue'!$C:$C,""),IF(B973="P",_xludf.XLOOKUP(A973,'Standards Catalogue'!$A:$A,'Standards Catalogue'!$E:$E,""),IF(B973="S",_xludf.XLOOKUP(A973,'Standards Catalogue'!$A:$A,'Standards Catalogue'!$G:$G,""),""))),"")</f>
        <v/>
      </c>
      <c r="P973" t="str">
        <f t="shared" si="77"/>
        <v/>
      </c>
      <c r="Q973" t="str">
        <f t="shared" si="78"/>
        <v/>
      </c>
      <c r="R973" t="str">
        <f t="shared" si="79"/>
        <v/>
      </c>
    </row>
    <row r="974" spans="12:18" x14ac:dyDescent="0.25">
      <c r="L974" t="str">
        <f t="shared" si="75"/>
        <v/>
      </c>
      <c r="M974" t="b">
        <f t="shared" si="76"/>
        <v>0</v>
      </c>
      <c r="N974" t="str">
        <f>IF(M974,IF(B974="Fe",_xludf.XLOOKUP(A974,'Standards Catalogue'!$A:$A,'Standards Catalogue'!$B:$B,""),IF(B974="P",_xludf.XLOOKUP(A974,'Standards Catalogue'!$A:$A,'Standards Catalogue'!$D:$D,""),IF(B974="S",_xludf.XLOOKUP(A974,'Standards Catalogue'!$A:$A,'Standards Catalogue'!$F:$F,""),""))),"")</f>
        <v/>
      </c>
      <c r="O974" t="str">
        <f>IF(M974,IF(B974="Fe",_xludf.XLOOKUP(A974,'Standards Catalogue'!$A:$A,'Standards Catalogue'!$C:$C,""),IF(B974="P",_xludf.XLOOKUP(A974,'Standards Catalogue'!$A:$A,'Standards Catalogue'!$E:$E,""),IF(B974="S",_xludf.XLOOKUP(A974,'Standards Catalogue'!$A:$A,'Standards Catalogue'!$G:$G,""),""))),"")</f>
        <v/>
      </c>
      <c r="P974" t="str">
        <f t="shared" si="77"/>
        <v/>
      </c>
      <c r="Q974" t="str">
        <f t="shared" si="78"/>
        <v/>
      </c>
      <c r="R974" t="str">
        <f t="shared" si="79"/>
        <v/>
      </c>
    </row>
    <row r="975" spans="12:18" x14ac:dyDescent="0.25">
      <c r="L975" t="str">
        <f t="shared" si="75"/>
        <v/>
      </c>
      <c r="M975" t="b">
        <f t="shared" si="76"/>
        <v>0</v>
      </c>
      <c r="N975" t="str">
        <f>IF(M975,IF(B975="Fe",_xludf.XLOOKUP(A975,'Standards Catalogue'!$A:$A,'Standards Catalogue'!$B:$B,""),IF(B975="P",_xludf.XLOOKUP(A975,'Standards Catalogue'!$A:$A,'Standards Catalogue'!$D:$D,""),IF(B975="S",_xludf.XLOOKUP(A975,'Standards Catalogue'!$A:$A,'Standards Catalogue'!$F:$F,""),""))),"")</f>
        <v/>
      </c>
      <c r="O975" t="str">
        <f>IF(M975,IF(B975="Fe",_xludf.XLOOKUP(A975,'Standards Catalogue'!$A:$A,'Standards Catalogue'!$C:$C,""),IF(B975="P",_xludf.XLOOKUP(A975,'Standards Catalogue'!$A:$A,'Standards Catalogue'!$E:$E,""),IF(B975="S",_xludf.XLOOKUP(A975,'Standards Catalogue'!$A:$A,'Standards Catalogue'!$G:$G,""),""))),"")</f>
        <v/>
      </c>
      <c r="P975" t="str">
        <f t="shared" si="77"/>
        <v/>
      </c>
      <c r="Q975" t="str">
        <f t="shared" si="78"/>
        <v/>
      </c>
      <c r="R975" t="str">
        <f t="shared" si="79"/>
        <v/>
      </c>
    </row>
    <row r="976" spans="12:18" x14ac:dyDescent="0.25">
      <c r="L976" t="str">
        <f t="shared" si="75"/>
        <v/>
      </c>
      <c r="M976" t="b">
        <f t="shared" si="76"/>
        <v>0</v>
      </c>
      <c r="N976" t="str">
        <f>IF(M976,IF(B976="Fe",_xludf.XLOOKUP(A976,'Standards Catalogue'!$A:$A,'Standards Catalogue'!$B:$B,""),IF(B976="P",_xludf.XLOOKUP(A976,'Standards Catalogue'!$A:$A,'Standards Catalogue'!$D:$D,""),IF(B976="S",_xludf.XLOOKUP(A976,'Standards Catalogue'!$A:$A,'Standards Catalogue'!$F:$F,""),""))),"")</f>
        <v/>
      </c>
      <c r="O976" t="str">
        <f>IF(M976,IF(B976="Fe",_xludf.XLOOKUP(A976,'Standards Catalogue'!$A:$A,'Standards Catalogue'!$C:$C,""),IF(B976="P",_xludf.XLOOKUP(A976,'Standards Catalogue'!$A:$A,'Standards Catalogue'!$E:$E,""),IF(B976="S",_xludf.XLOOKUP(A976,'Standards Catalogue'!$A:$A,'Standards Catalogue'!$G:$G,""),""))),"")</f>
        <v/>
      </c>
      <c r="P976" t="str">
        <f t="shared" si="77"/>
        <v/>
      </c>
      <c r="Q976" t="str">
        <f t="shared" si="78"/>
        <v/>
      </c>
      <c r="R976" t="str">
        <f t="shared" si="79"/>
        <v/>
      </c>
    </row>
    <row r="977" spans="12:18" x14ac:dyDescent="0.25">
      <c r="L977" t="str">
        <f t="shared" si="75"/>
        <v/>
      </c>
      <c r="M977" t="b">
        <f t="shared" si="76"/>
        <v>0</v>
      </c>
      <c r="N977" t="str">
        <f>IF(M977,IF(B977="Fe",_xludf.XLOOKUP(A977,'Standards Catalogue'!$A:$A,'Standards Catalogue'!$B:$B,""),IF(B977="P",_xludf.XLOOKUP(A977,'Standards Catalogue'!$A:$A,'Standards Catalogue'!$D:$D,""),IF(B977="S",_xludf.XLOOKUP(A977,'Standards Catalogue'!$A:$A,'Standards Catalogue'!$F:$F,""),""))),"")</f>
        <v/>
      </c>
      <c r="O977" t="str">
        <f>IF(M977,IF(B977="Fe",_xludf.XLOOKUP(A977,'Standards Catalogue'!$A:$A,'Standards Catalogue'!$C:$C,""),IF(B977="P",_xludf.XLOOKUP(A977,'Standards Catalogue'!$A:$A,'Standards Catalogue'!$E:$E,""),IF(B977="S",_xludf.XLOOKUP(A977,'Standards Catalogue'!$A:$A,'Standards Catalogue'!$G:$G,""),""))),"")</f>
        <v/>
      </c>
      <c r="P977" t="str">
        <f t="shared" si="77"/>
        <v/>
      </c>
      <c r="Q977" t="str">
        <f t="shared" si="78"/>
        <v/>
      </c>
      <c r="R977" t="str">
        <f t="shared" si="79"/>
        <v/>
      </c>
    </row>
    <row r="978" spans="12:18" x14ac:dyDescent="0.25">
      <c r="L978" t="str">
        <f t="shared" si="75"/>
        <v/>
      </c>
      <c r="M978" t="b">
        <f t="shared" si="76"/>
        <v>0</v>
      </c>
      <c r="N978" t="str">
        <f>IF(M978,IF(B978="Fe",_xludf.XLOOKUP(A978,'Standards Catalogue'!$A:$A,'Standards Catalogue'!$B:$B,""),IF(B978="P",_xludf.XLOOKUP(A978,'Standards Catalogue'!$A:$A,'Standards Catalogue'!$D:$D,""),IF(B978="S",_xludf.XLOOKUP(A978,'Standards Catalogue'!$A:$A,'Standards Catalogue'!$F:$F,""),""))),"")</f>
        <v/>
      </c>
      <c r="O978" t="str">
        <f>IF(M978,IF(B978="Fe",_xludf.XLOOKUP(A978,'Standards Catalogue'!$A:$A,'Standards Catalogue'!$C:$C,""),IF(B978="P",_xludf.XLOOKUP(A978,'Standards Catalogue'!$A:$A,'Standards Catalogue'!$E:$E,""),IF(B978="S",_xludf.XLOOKUP(A978,'Standards Catalogue'!$A:$A,'Standards Catalogue'!$G:$G,""),""))),"")</f>
        <v/>
      </c>
      <c r="P978" t="str">
        <f t="shared" si="77"/>
        <v/>
      </c>
      <c r="Q978" t="str">
        <f t="shared" si="78"/>
        <v/>
      </c>
      <c r="R978" t="str">
        <f t="shared" si="79"/>
        <v/>
      </c>
    </row>
    <row r="979" spans="12:18" x14ac:dyDescent="0.25">
      <c r="L979" t="str">
        <f t="shared" si="75"/>
        <v/>
      </c>
      <c r="M979" t="b">
        <f t="shared" si="76"/>
        <v>0</v>
      </c>
      <c r="N979" t="str">
        <f>IF(M979,IF(B979="Fe",_xludf.XLOOKUP(A979,'Standards Catalogue'!$A:$A,'Standards Catalogue'!$B:$B,""),IF(B979="P",_xludf.XLOOKUP(A979,'Standards Catalogue'!$A:$A,'Standards Catalogue'!$D:$D,""),IF(B979="S",_xludf.XLOOKUP(A979,'Standards Catalogue'!$A:$A,'Standards Catalogue'!$F:$F,""),""))),"")</f>
        <v/>
      </c>
      <c r="O979" t="str">
        <f>IF(M979,IF(B979="Fe",_xludf.XLOOKUP(A979,'Standards Catalogue'!$A:$A,'Standards Catalogue'!$C:$C,""),IF(B979="P",_xludf.XLOOKUP(A979,'Standards Catalogue'!$A:$A,'Standards Catalogue'!$E:$E,""),IF(B979="S",_xludf.XLOOKUP(A979,'Standards Catalogue'!$A:$A,'Standards Catalogue'!$G:$G,""),""))),"")</f>
        <v/>
      </c>
      <c r="P979" t="str">
        <f t="shared" si="77"/>
        <v/>
      </c>
      <c r="Q979" t="str">
        <f t="shared" si="78"/>
        <v/>
      </c>
      <c r="R979" t="str">
        <f t="shared" si="79"/>
        <v/>
      </c>
    </row>
    <row r="980" spans="12:18" x14ac:dyDescent="0.25">
      <c r="L980" t="str">
        <f t="shared" si="75"/>
        <v/>
      </c>
      <c r="M980" t="b">
        <f t="shared" si="76"/>
        <v>0</v>
      </c>
      <c r="N980" t="str">
        <f>IF(M980,IF(B980="Fe",_xludf.XLOOKUP(A980,'Standards Catalogue'!$A:$A,'Standards Catalogue'!$B:$B,""),IF(B980="P",_xludf.XLOOKUP(A980,'Standards Catalogue'!$A:$A,'Standards Catalogue'!$D:$D,""),IF(B980="S",_xludf.XLOOKUP(A980,'Standards Catalogue'!$A:$A,'Standards Catalogue'!$F:$F,""),""))),"")</f>
        <v/>
      </c>
      <c r="O980" t="str">
        <f>IF(M980,IF(B980="Fe",_xludf.XLOOKUP(A980,'Standards Catalogue'!$A:$A,'Standards Catalogue'!$C:$C,""),IF(B980="P",_xludf.XLOOKUP(A980,'Standards Catalogue'!$A:$A,'Standards Catalogue'!$E:$E,""),IF(B980="S",_xludf.XLOOKUP(A980,'Standards Catalogue'!$A:$A,'Standards Catalogue'!$G:$G,""),""))),"")</f>
        <v/>
      </c>
      <c r="P980" t="str">
        <f t="shared" si="77"/>
        <v/>
      </c>
      <c r="Q980" t="str">
        <f t="shared" si="78"/>
        <v/>
      </c>
      <c r="R980" t="str">
        <f t="shared" si="79"/>
        <v/>
      </c>
    </row>
    <row r="981" spans="12:18" x14ac:dyDescent="0.25">
      <c r="L981" t="str">
        <f t="shared" si="75"/>
        <v/>
      </c>
      <c r="M981" t="b">
        <f t="shared" si="76"/>
        <v>0</v>
      </c>
      <c r="N981" t="str">
        <f>IF(M981,IF(B981="Fe",_xludf.XLOOKUP(A981,'Standards Catalogue'!$A:$A,'Standards Catalogue'!$B:$B,""),IF(B981="P",_xludf.XLOOKUP(A981,'Standards Catalogue'!$A:$A,'Standards Catalogue'!$D:$D,""),IF(B981="S",_xludf.XLOOKUP(A981,'Standards Catalogue'!$A:$A,'Standards Catalogue'!$F:$F,""),""))),"")</f>
        <v/>
      </c>
      <c r="O981" t="str">
        <f>IF(M981,IF(B981="Fe",_xludf.XLOOKUP(A981,'Standards Catalogue'!$A:$A,'Standards Catalogue'!$C:$C,""),IF(B981="P",_xludf.XLOOKUP(A981,'Standards Catalogue'!$A:$A,'Standards Catalogue'!$E:$E,""),IF(B981="S",_xludf.XLOOKUP(A981,'Standards Catalogue'!$A:$A,'Standards Catalogue'!$G:$G,""),""))),"")</f>
        <v/>
      </c>
      <c r="P981" t="str">
        <f t="shared" si="77"/>
        <v/>
      </c>
      <c r="Q981" t="str">
        <f t="shared" si="78"/>
        <v/>
      </c>
      <c r="R981" t="str">
        <f t="shared" si="79"/>
        <v/>
      </c>
    </row>
    <row r="982" spans="12:18" x14ac:dyDescent="0.25">
      <c r="L982" t="str">
        <f t="shared" si="75"/>
        <v/>
      </c>
      <c r="M982" t="b">
        <f t="shared" si="76"/>
        <v>0</v>
      </c>
      <c r="N982" t="str">
        <f>IF(M982,IF(B982="Fe",_xludf.XLOOKUP(A982,'Standards Catalogue'!$A:$A,'Standards Catalogue'!$B:$B,""),IF(B982="P",_xludf.XLOOKUP(A982,'Standards Catalogue'!$A:$A,'Standards Catalogue'!$D:$D,""),IF(B982="S",_xludf.XLOOKUP(A982,'Standards Catalogue'!$A:$A,'Standards Catalogue'!$F:$F,""),""))),"")</f>
        <v/>
      </c>
      <c r="O982" t="str">
        <f>IF(M982,IF(B982="Fe",_xludf.XLOOKUP(A982,'Standards Catalogue'!$A:$A,'Standards Catalogue'!$C:$C,""),IF(B982="P",_xludf.XLOOKUP(A982,'Standards Catalogue'!$A:$A,'Standards Catalogue'!$E:$E,""),IF(B982="S",_xludf.XLOOKUP(A982,'Standards Catalogue'!$A:$A,'Standards Catalogue'!$G:$G,""),""))),"")</f>
        <v/>
      </c>
      <c r="P982" t="str">
        <f t="shared" si="77"/>
        <v/>
      </c>
      <c r="Q982" t="str">
        <f t="shared" si="78"/>
        <v/>
      </c>
      <c r="R982" t="str">
        <f t="shared" si="79"/>
        <v/>
      </c>
    </row>
    <row r="983" spans="12:18" x14ac:dyDescent="0.25">
      <c r="L983" t="str">
        <f t="shared" si="75"/>
        <v/>
      </c>
      <c r="M983" t="b">
        <f t="shared" si="76"/>
        <v>0</v>
      </c>
      <c r="N983" t="str">
        <f>IF(M983,IF(B983="Fe",_xludf.XLOOKUP(A983,'Standards Catalogue'!$A:$A,'Standards Catalogue'!$B:$B,""),IF(B983="P",_xludf.XLOOKUP(A983,'Standards Catalogue'!$A:$A,'Standards Catalogue'!$D:$D,""),IF(B983="S",_xludf.XLOOKUP(A983,'Standards Catalogue'!$A:$A,'Standards Catalogue'!$F:$F,""),""))),"")</f>
        <v/>
      </c>
      <c r="O983" t="str">
        <f>IF(M983,IF(B983="Fe",_xludf.XLOOKUP(A983,'Standards Catalogue'!$A:$A,'Standards Catalogue'!$C:$C,""),IF(B983="P",_xludf.XLOOKUP(A983,'Standards Catalogue'!$A:$A,'Standards Catalogue'!$E:$E,""),IF(B983="S",_xludf.XLOOKUP(A983,'Standards Catalogue'!$A:$A,'Standards Catalogue'!$G:$G,""),""))),"")</f>
        <v/>
      </c>
      <c r="P983" t="str">
        <f t="shared" si="77"/>
        <v/>
      </c>
      <c r="Q983" t="str">
        <f t="shared" si="78"/>
        <v/>
      </c>
      <c r="R983" t="str">
        <f t="shared" si="79"/>
        <v/>
      </c>
    </row>
    <row r="984" spans="12:18" x14ac:dyDescent="0.25">
      <c r="L984" t="str">
        <f t="shared" si="75"/>
        <v/>
      </c>
      <c r="M984" t="b">
        <f t="shared" si="76"/>
        <v>0</v>
      </c>
      <c r="N984" t="str">
        <f>IF(M984,IF(B984="Fe",_xludf.XLOOKUP(A984,'Standards Catalogue'!$A:$A,'Standards Catalogue'!$B:$B,""),IF(B984="P",_xludf.XLOOKUP(A984,'Standards Catalogue'!$A:$A,'Standards Catalogue'!$D:$D,""),IF(B984="S",_xludf.XLOOKUP(A984,'Standards Catalogue'!$A:$A,'Standards Catalogue'!$F:$F,""),""))),"")</f>
        <v/>
      </c>
      <c r="O984" t="str">
        <f>IF(M984,IF(B984="Fe",_xludf.XLOOKUP(A984,'Standards Catalogue'!$A:$A,'Standards Catalogue'!$C:$C,""),IF(B984="P",_xludf.XLOOKUP(A984,'Standards Catalogue'!$A:$A,'Standards Catalogue'!$E:$E,""),IF(B984="S",_xludf.XLOOKUP(A984,'Standards Catalogue'!$A:$A,'Standards Catalogue'!$G:$G,""),""))),"")</f>
        <v/>
      </c>
      <c r="P984" t="str">
        <f t="shared" si="77"/>
        <v/>
      </c>
      <c r="Q984" t="str">
        <f t="shared" si="78"/>
        <v/>
      </c>
      <c r="R984" t="str">
        <f t="shared" si="79"/>
        <v/>
      </c>
    </row>
    <row r="985" spans="12:18" x14ac:dyDescent="0.25">
      <c r="L985" t="str">
        <f t="shared" si="75"/>
        <v/>
      </c>
      <c r="M985" t="b">
        <f t="shared" si="76"/>
        <v>0</v>
      </c>
      <c r="N985" t="str">
        <f>IF(M985,IF(B985="Fe",_xludf.XLOOKUP(A985,'Standards Catalogue'!$A:$A,'Standards Catalogue'!$B:$B,""),IF(B985="P",_xludf.XLOOKUP(A985,'Standards Catalogue'!$A:$A,'Standards Catalogue'!$D:$D,""),IF(B985="S",_xludf.XLOOKUP(A985,'Standards Catalogue'!$A:$A,'Standards Catalogue'!$F:$F,""),""))),"")</f>
        <v/>
      </c>
      <c r="O985" t="str">
        <f>IF(M985,IF(B985="Fe",_xludf.XLOOKUP(A985,'Standards Catalogue'!$A:$A,'Standards Catalogue'!$C:$C,""),IF(B985="P",_xludf.XLOOKUP(A985,'Standards Catalogue'!$A:$A,'Standards Catalogue'!$E:$E,""),IF(B985="S",_xludf.XLOOKUP(A985,'Standards Catalogue'!$A:$A,'Standards Catalogue'!$G:$G,""),""))),"")</f>
        <v/>
      </c>
      <c r="P985" t="str">
        <f t="shared" si="77"/>
        <v/>
      </c>
      <c r="Q985" t="str">
        <f t="shared" si="78"/>
        <v/>
      </c>
      <c r="R985" t="str">
        <f t="shared" si="79"/>
        <v/>
      </c>
    </row>
    <row r="986" spans="12:18" x14ac:dyDescent="0.25">
      <c r="L986" t="str">
        <f t="shared" si="75"/>
        <v/>
      </c>
      <c r="M986" t="b">
        <f t="shared" si="76"/>
        <v>0</v>
      </c>
      <c r="N986" t="str">
        <f>IF(M986,IF(B986="Fe",_xludf.XLOOKUP(A986,'Standards Catalogue'!$A:$A,'Standards Catalogue'!$B:$B,""),IF(B986="P",_xludf.XLOOKUP(A986,'Standards Catalogue'!$A:$A,'Standards Catalogue'!$D:$D,""),IF(B986="S",_xludf.XLOOKUP(A986,'Standards Catalogue'!$A:$A,'Standards Catalogue'!$F:$F,""),""))),"")</f>
        <v/>
      </c>
      <c r="O986" t="str">
        <f>IF(M986,IF(B986="Fe",_xludf.XLOOKUP(A986,'Standards Catalogue'!$A:$A,'Standards Catalogue'!$C:$C,""),IF(B986="P",_xludf.XLOOKUP(A986,'Standards Catalogue'!$A:$A,'Standards Catalogue'!$E:$E,""),IF(B986="S",_xludf.XLOOKUP(A986,'Standards Catalogue'!$A:$A,'Standards Catalogue'!$G:$G,""),""))),"")</f>
        <v/>
      </c>
      <c r="P986" t="str">
        <f t="shared" si="77"/>
        <v/>
      </c>
      <c r="Q986" t="str">
        <f t="shared" si="78"/>
        <v/>
      </c>
      <c r="R986" t="str">
        <f t="shared" si="79"/>
        <v/>
      </c>
    </row>
    <row r="987" spans="12:18" x14ac:dyDescent="0.25">
      <c r="L987" t="str">
        <f t="shared" si="75"/>
        <v/>
      </c>
      <c r="M987" t="b">
        <f t="shared" si="76"/>
        <v>0</v>
      </c>
      <c r="N987" t="str">
        <f>IF(M987,IF(B987="Fe",_xludf.XLOOKUP(A987,'Standards Catalogue'!$A:$A,'Standards Catalogue'!$B:$B,""),IF(B987="P",_xludf.XLOOKUP(A987,'Standards Catalogue'!$A:$A,'Standards Catalogue'!$D:$D,""),IF(B987="S",_xludf.XLOOKUP(A987,'Standards Catalogue'!$A:$A,'Standards Catalogue'!$F:$F,""),""))),"")</f>
        <v/>
      </c>
      <c r="O987" t="str">
        <f>IF(M987,IF(B987="Fe",_xludf.XLOOKUP(A987,'Standards Catalogue'!$A:$A,'Standards Catalogue'!$C:$C,""),IF(B987="P",_xludf.XLOOKUP(A987,'Standards Catalogue'!$A:$A,'Standards Catalogue'!$E:$E,""),IF(B987="S",_xludf.XLOOKUP(A987,'Standards Catalogue'!$A:$A,'Standards Catalogue'!$G:$G,""),""))),"")</f>
        <v/>
      </c>
      <c r="P987" t="str">
        <f t="shared" si="77"/>
        <v/>
      </c>
      <c r="Q987" t="str">
        <f t="shared" si="78"/>
        <v/>
      </c>
      <c r="R987" t="str">
        <f t="shared" si="79"/>
        <v/>
      </c>
    </row>
    <row r="988" spans="12:18" x14ac:dyDescent="0.25">
      <c r="L988" t="str">
        <f t="shared" si="75"/>
        <v/>
      </c>
      <c r="M988" t="b">
        <f t="shared" si="76"/>
        <v>0</v>
      </c>
      <c r="N988" t="str">
        <f>IF(M988,IF(B988="Fe",_xludf.XLOOKUP(A988,'Standards Catalogue'!$A:$A,'Standards Catalogue'!$B:$B,""),IF(B988="P",_xludf.XLOOKUP(A988,'Standards Catalogue'!$A:$A,'Standards Catalogue'!$D:$D,""),IF(B988="S",_xludf.XLOOKUP(A988,'Standards Catalogue'!$A:$A,'Standards Catalogue'!$F:$F,""),""))),"")</f>
        <v/>
      </c>
      <c r="O988" t="str">
        <f>IF(M988,IF(B988="Fe",_xludf.XLOOKUP(A988,'Standards Catalogue'!$A:$A,'Standards Catalogue'!$C:$C,""),IF(B988="P",_xludf.XLOOKUP(A988,'Standards Catalogue'!$A:$A,'Standards Catalogue'!$E:$E,""),IF(B988="S",_xludf.XLOOKUP(A988,'Standards Catalogue'!$A:$A,'Standards Catalogue'!$G:$G,""),""))),"")</f>
        <v/>
      </c>
      <c r="P988" t="str">
        <f t="shared" si="77"/>
        <v/>
      </c>
      <c r="Q988" t="str">
        <f t="shared" si="78"/>
        <v/>
      </c>
      <c r="R988" t="str">
        <f t="shared" si="79"/>
        <v/>
      </c>
    </row>
    <row r="989" spans="12:18" x14ac:dyDescent="0.25">
      <c r="L989" t="str">
        <f t="shared" si="75"/>
        <v/>
      </c>
      <c r="M989" t="b">
        <f t="shared" si="76"/>
        <v>0</v>
      </c>
      <c r="N989" t="str">
        <f>IF(M989,IF(B989="Fe",_xludf.XLOOKUP(A989,'Standards Catalogue'!$A:$A,'Standards Catalogue'!$B:$B,""),IF(B989="P",_xludf.XLOOKUP(A989,'Standards Catalogue'!$A:$A,'Standards Catalogue'!$D:$D,""),IF(B989="S",_xludf.XLOOKUP(A989,'Standards Catalogue'!$A:$A,'Standards Catalogue'!$F:$F,""),""))),"")</f>
        <v/>
      </c>
      <c r="O989" t="str">
        <f>IF(M989,IF(B989="Fe",_xludf.XLOOKUP(A989,'Standards Catalogue'!$A:$A,'Standards Catalogue'!$C:$C,""),IF(B989="P",_xludf.XLOOKUP(A989,'Standards Catalogue'!$A:$A,'Standards Catalogue'!$E:$E,""),IF(B989="S",_xludf.XLOOKUP(A989,'Standards Catalogue'!$A:$A,'Standards Catalogue'!$G:$G,""),""))),"")</f>
        <v/>
      </c>
      <c r="P989" t="str">
        <f t="shared" si="77"/>
        <v/>
      </c>
      <c r="Q989" t="str">
        <f t="shared" si="78"/>
        <v/>
      </c>
      <c r="R989" t="str">
        <f t="shared" si="79"/>
        <v/>
      </c>
    </row>
    <row r="990" spans="12:18" x14ac:dyDescent="0.25">
      <c r="L990" t="str">
        <f t="shared" si="75"/>
        <v/>
      </c>
      <c r="M990" t="b">
        <f t="shared" si="76"/>
        <v>0</v>
      </c>
      <c r="N990" t="str">
        <f>IF(M990,IF(B990="Fe",_xludf.XLOOKUP(A990,'Standards Catalogue'!$A:$A,'Standards Catalogue'!$B:$B,""),IF(B990="P",_xludf.XLOOKUP(A990,'Standards Catalogue'!$A:$A,'Standards Catalogue'!$D:$D,""),IF(B990="S",_xludf.XLOOKUP(A990,'Standards Catalogue'!$A:$A,'Standards Catalogue'!$F:$F,""),""))),"")</f>
        <v/>
      </c>
      <c r="O990" t="str">
        <f>IF(M990,IF(B990="Fe",_xludf.XLOOKUP(A990,'Standards Catalogue'!$A:$A,'Standards Catalogue'!$C:$C,""),IF(B990="P",_xludf.XLOOKUP(A990,'Standards Catalogue'!$A:$A,'Standards Catalogue'!$E:$E,""),IF(B990="S",_xludf.XLOOKUP(A990,'Standards Catalogue'!$A:$A,'Standards Catalogue'!$G:$G,""),""))),"")</f>
        <v/>
      </c>
      <c r="P990" t="str">
        <f t="shared" si="77"/>
        <v/>
      </c>
      <c r="Q990" t="str">
        <f t="shared" si="78"/>
        <v/>
      </c>
      <c r="R990" t="str">
        <f t="shared" si="79"/>
        <v/>
      </c>
    </row>
    <row r="991" spans="12:18" x14ac:dyDescent="0.25">
      <c r="L991" t="str">
        <f t="shared" si="75"/>
        <v/>
      </c>
      <c r="M991" t="b">
        <f t="shared" si="76"/>
        <v>0</v>
      </c>
      <c r="N991" t="str">
        <f>IF(M991,IF(B991="Fe",_xludf.XLOOKUP(A991,'Standards Catalogue'!$A:$A,'Standards Catalogue'!$B:$B,""),IF(B991="P",_xludf.XLOOKUP(A991,'Standards Catalogue'!$A:$A,'Standards Catalogue'!$D:$D,""),IF(B991="S",_xludf.XLOOKUP(A991,'Standards Catalogue'!$A:$A,'Standards Catalogue'!$F:$F,""),""))),"")</f>
        <v/>
      </c>
      <c r="O991" t="str">
        <f>IF(M991,IF(B991="Fe",_xludf.XLOOKUP(A991,'Standards Catalogue'!$A:$A,'Standards Catalogue'!$C:$C,""),IF(B991="P",_xludf.XLOOKUP(A991,'Standards Catalogue'!$A:$A,'Standards Catalogue'!$E:$E,""),IF(B991="S",_xludf.XLOOKUP(A991,'Standards Catalogue'!$A:$A,'Standards Catalogue'!$G:$G,""),""))),"")</f>
        <v/>
      </c>
      <c r="P991" t="str">
        <f t="shared" si="77"/>
        <v/>
      </c>
      <c r="Q991" t="str">
        <f t="shared" si="78"/>
        <v/>
      </c>
      <c r="R991" t="str">
        <f t="shared" si="79"/>
        <v/>
      </c>
    </row>
    <row r="992" spans="12:18" x14ac:dyDescent="0.25">
      <c r="L992" t="str">
        <f t="shared" si="75"/>
        <v/>
      </c>
      <c r="M992" t="b">
        <f t="shared" si="76"/>
        <v>0</v>
      </c>
      <c r="N992" t="str">
        <f>IF(M992,IF(B992="Fe",_xludf.XLOOKUP(A992,'Standards Catalogue'!$A:$A,'Standards Catalogue'!$B:$B,""),IF(B992="P",_xludf.XLOOKUP(A992,'Standards Catalogue'!$A:$A,'Standards Catalogue'!$D:$D,""),IF(B992="S",_xludf.XLOOKUP(A992,'Standards Catalogue'!$A:$A,'Standards Catalogue'!$F:$F,""),""))),"")</f>
        <v/>
      </c>
      <c r="O992" t="str">
        <f>IF(M992,IF(B992="Fe",_xludf.XLOOKUP(A992,'Standards Catalogue'!$A:$A,'Standards Catalogue'!$C:$C,""),IF(B992="P",_xludf.XLOOKUP(A992,'Standards Catalogue'!$A:$A,'Standards Catalogue'!$E:$E,""),IF(B992="S",_xludf.XLOOKUP(A992,'Standards Catalogue'!$A:$A,'Standards Catalogue'!$G:$G,""),""))),"")</f>
        <v/>
      </c>
      <c r="P992" t="str">
        <f t="shared" si="77"/>
        <v/>
      </c>
      <c r="Q992" t="str">
        <f t="shared" si="78"/>
        <v/>
      </c>
      <c r="R992" t="str">
        <f t="shared" si="79"/>
        <v/>
      </c>
    </row>
    <row r="993" spans="12:18" x14ac:dyDescent="0.25">
      <c r="L993" t="str">
        <f t="shared" si="75"/>
        <v/>
      </c>
      <c r="M993" t="b">
        <f t="shared" si="76"/>
        <v>0</v>
      </c>
      <c r="N993" t="str">
        <f>IF(M993,IF(B993="Fe",_xludf.XLOOKUP(A993,'Standards Catalogue'!$A:$A,'Standards Catalogue'!$B:$B,""),IF(B993="P",_xludf.XLOOKUP(A993,'Standards Catalogue'!$A:$A,'Standards Catalogue'!$D:$D,""),IF(B993="S",_xludf.XLOOKUP(A993,'Standards Catalogue'!$A:$A,'Standards Catalogue'!$F:$F,""),""))),"")</f>
        <v/>
      </c>
      <c r="O993" t="str">
        <f>IF(M993,IF(B993="Fe",_xludf.XLOOKUP(A993,'Standards Catalogue'!$A:$A,'Standards Catalogue'!$C:$C,""),IF(B993="P",_xludf.XLOOKUP(A993,'Standards Catalogue'!$A:$A,'Standards Catalogue'!$E:$E,""),IF(B993="S",_xludf.XLOOKUP(A993,'Standards Catalogue'!$A:$A,'Standards Catalogue'!$G:$G,""),""))),"")</f>
        <v/>
      </c>
      <c r="P993" t="str">
        <f t="shared" si="77"/>
        <v/>
      </c>
      <c r="Q993" t="str">
        <f t="shared" si="78"/>
        <v/>
      </c>
      <c r="R993" t="str">
        <f t="shared" si="79"/>
        <v/>
      </c>
    </row>
    <row r="994" spans="12:18" x14ac:dyDescent="0.25">
      <c r="L994" t="str">
        <f t="shared" si="75"/>
        <v/>
      </c>
      <c r="M994" t="b">
        <f t="shared" si="76"/>
        <v>0</v>
      </c>
      <c r="N994" t="str">
        <f>IF(M994,IF(B994="Fe",_xludf.XLOOKUP(A994,'Standards Catalogue'!$A:$A,'Standards Catalogue'!$B:$B,""),IF(B994="P",_xludf.XLOOKUP(A994,'Standards Catalogue'!$A:$A,'Standards Catalogue'!$D:$D,""),IF(B994="S",_xludf.XLOOKUP(A994,'Standards Catalogue'!$A:$A,'Standards Catalogue'!$F:$F,""),""))),"")</f>
        <v/>
      </c>
      <c r="O994" t="str">
        <f>IF(M994,IF(B994="Fe",_xludf.XLOOKUP(A994,'Standards Catalogue'!$A:$A,'Standards Catalogue'!$C:$C,""),IF(B994="P",_xludf.XLOOKUP(A994,'Standards Catalogue'!$A:$A,'Standards Catalogue'!$E:$E,""),IF(B994="S",_xludf.XLOOKUP(A994,'Standards Catalogue'!$A:$A,'Standards Catalogue'!$G:$G,""),""))),"")</f>
        <v/>
      </c>
      <c r="P994" t="str">
        <f t="shared" si="77"/>
        <v/>
      </c>
      <c r="Q994" t="str">
        <f t="shared" si="78"/>
        <v/>
      </c>
      <c r="R994" t="str">
        <f t="shared" si="79"/>
        <v/>
      </c>
    </row>
    <row r="995" spans="12:18" x14ac:dyDescent="0.25">
      <c r="L995" t="str">
        <f t="shared" si="75"/>
        <v/>
      </c>
      <c r="M995" t="b">
        <f t="shared" si="76"/>
        <v>0</v>
      </c>
      <c r="N995" t="str">
        <f>IF(M995,IF(B995="Fe",_xludf.XLOOKUP(A995,'Standards Catalogue'!$A:$A,'Standards Catalogue'!$B:$B,""),IF(B995="P",_xludf.XLOOKUP(A995,'Standards Catalogue'!$A:$A,'Standards Catalogue'!$D:$D,""),IF(B995="S",_xludf.XLOOKUP(A995,'Standards Catalogue'!$A:$A,'Standards Catalogue'!$F:$F,""),""))),"")</f>
        <v/>
      </c>
      <c r="O995" t="str">
        <f>IF(M995,IF(B995="Fe",_xludf.XLOOKUP(A995,'Standards Catalogue'!$A:$A,'Standards Catalogue'!$C:$C,""),IF(B995="P",_xludf.XLOOKUP(A995,'Standards Catalogue'!$A:$A,'Standards Catalogue'!$E:$E,""),IF(B995="S",_xludf.XLOOKUP(A995,'Standards Catalogue'!$A:$A,'Standards Catalogue'!$G:$G,""),""))),"")</f>
        <v/>
      </c>
      <c r="P995" t="str">
        <f t="shared" si="77"/>
        <v/>
      </c>
      <c r="Q995" t="str">
        <f t="shared" si="78"/>
        <v/>
      </c>
      <c r="R995" t="str">
        <f t="shared" si="79"/>
        <v/>
      </c>
    </row>
    <row r="996" spans="12:18" x14ac:dyDescent="0.25">
      <c r="L996" t="str">
        <f t="shared" si="75"/>
        <v/>
      </c>
      <c r="M996" t="b">
        <f t="shared" si="76"/>
        <v>0</v>
      </c>
      <c r="N996" t="str">
        <f>IF(M996,IF(B996="Fe",_xludf.XLOOKUP(A996,'Standards Catalogue'!$A:$A,'Standards Catalogue'!$B:$B,""),IF(B996="P",_xludf.XLOOKUP(A996,'Standards Catalogue'!$A:$A,'Standards Catalogue'!$D:$D,""),IF(B996="S",_xludf.XLOOKUP(A996,'Standards Catalogue'!$A:$A,'Standards Catalogue'!$F:$F,""),""))),"")</f>
        <v/>
      </c>
      <c r="O996" t="str">
        <f>IF(M996,IF(B996="Fe",_xludf.XLOOKUP(A996,'Standards Catalogue'!$A:$A,'Standards Catalogue'!$C:$C,""),IF(B996="P",_xludf.XLOOKUP(A996,'Standards Catalogue'!$A:$A,'Standards Catalogue'!$E:$E,""),IF(B996="S",_xludf.XLOOKUP(A996,'Standards Catalogue'!$A:$A,'Standards Catalogue'!$G:$G,""),""))),"")</f>
        <v/>
      </c>
      <c r="P996" t="str">
        <f t="shared" si="77"/>
        <v/>
      </c>
      <c r="Q996" t="str">
        <f t="shared" si="78"/>
        <v/>
      </c>
      <c r="R996" t="str">
        <f t="shared" si="79"/>
        <v/>
      </c>
    </row>
    <row r="997" spans="12:18" x14ac:dyDescent="0.25">
      <c r="L997" t="str">
        <f t="shared" si="75"/>
        <v/>
      </c>
      <c r="M997" t="b">
        <f t="shared" si="76"/>
        <v>0</v>
      </c>
      <c r="N997" t="str">
        <f>IF(M997,IF(B997="Fe",_xludf.XLOOKUP(A997,'Standards Catalogue'!$A:$A,'Standards Catalogue'!$B:$B,""),IF(B997="P",_xludf.XLOOKUP(A997,'Standards Catalogue'!$A:$A,'Standards Catalogue'!$D:$D,""),IF(B997="S",_xludf.XLOOKUP(A997,'Standards Catalogue'!$A:$A,'Standards Catalogue'!$F:$F,""),""))),"")</f>
        <v/>
      </c>
      <c r="O997" t="str">
        <f>IF(M997,IF(B997="Fe",_xludf.XLOOKUP(A997,'Standards Catalogue'!$A:$A,'Standards Catalogue'!$C:$C,""),IF(B997="P",_xludf.XLOOKUP(A997,'Standards Catalogue'!$A:$A,'Standards Catalogue'!$E:$E,""),IF(B997="S",_xludf.XLOOKUP(A997,'Standards Catalogue'!$A:$A,'Standards Catalogue'!$G:$G,""),""))),"")</f>
        <v/>
      </c>
      <c r="P997" t="str">
        <f t="shared" si="77"/>
        <v/>
      </c>
      <c r="Q997" t="str">
        <f t="shared" si="78"/>
        <v/>
      </c>
      <c r="R997" t="str">
        <f t="shared" si="79"/>
        <v/>
      </c>
    </row>
    <row r="998" spans="12:18" x14ac:dyDescent="0.25">
      <c r="L998" t="str">
        <f t="shared" si="75"/>
        <v/>
      </c>
      <c r="M998" t="b">
        <f t="shared" si="76"/>
        <v>0</v>
      </c>
      <c r="N998" t="str">
        <f>IF(M998,IF(B998="Fe",_xludf.XLOOKUP(A998,'Standards Catalogue'!$A:$A,'Standards Catalogue'!$B:$B,""),IF(B998="P",_xludf.XLOOKUP(A998,'Standards Catalogue'!$A:$A,'Standards Catalogue'!$D:$D,""),IF(B998="S",_xludf.XLOOKUP(A998,'Standards Catalogue'!$A:$A,'Standards Catalogue'!$F:$F,""),""))),"")</f>
        <v/>
      </c>
      <c r="O998" t="str">
        <f>IF(M998,IF(B998="Fe",_xludf.XLOOKUP(A998,'Standards Catalogue'!$A:$A,'Standards Catalogue'!$C:$C,""),IF(B998="P",_xludf.XLOOKUP(A998,'Standards Catalogue'!$A:$A,'Standards Catalogue'!$E:$E,""),IF(B998="S",_xludf.XLOOKUP(A998,'Standards Catalogue'!$A:$A,'Standards Catalogue'!$G:$G,""),""))),"")</f>
        <v/>
      </c>
      <c r="P998" t="str">
        <f t="shared" si="77"/>
        <v/>
      </c>
      <c r="Q998" t="str">
        <f t="shared" si="78"/>
        <v/>
      </c>
      <c r="R998" t="str">
        <f t="shared" si="79"/>
        <v/>
      </c>
    </row>
    <row r="999" spans="12:18" x14ac:dyDescent="0.25">
      <c r="L999" t="str">
        <f t="shared" si="75"/>
        <v/>
      </c>
      <c r="M999" t="b">
        <f t="shared" si="76"/>
        <v>0</v>
      </c>
      <c r="N999" t="str">
        <f>IF(M999,IF(B999="Fe",_xludf.XLOOKUP(A999,'Standards Catalogue'!$A:$A,'Standards Catalogue'!$B:$B,""),IF(B999="P",_xludf.XLOOKUP(A999,'Standards Catalogue'!$A:$A,'Standards Catalogue'!$D:$D,""),IF(B999="S",_xludf.XLOOKUP(A999,'Standards Catalogue'!$A:$A,'Standards Catalogue'!$F:$F,""),""))),"")</f>
        <v/>
      </c>
      <c r="O999" t="str">
        <f>IF(M999,IF(B999="Fe",_xludf.XLOOKUP(A999,'Standards Catalogue'!$A:$A,'Standards Catalogue'!$C:$C,""),IF(B999="P",_xludf.XLOOKUP(A999,'Standards Catalogue'!$A:$A,'Standards Catalogue'!$E:$E,""),IF(B999="S",_xludf.XLOOKUP(A999,'Standards Catalogue'!$A:$A,'Standards Catalogue'!$G:$G,""),""))),"")</f>
        <v/>
      </c>
      <c r="P999" t="str">
        <f t="shared" si="77"/>
        <v/>
      </c>
      <c r="Q999" t="str">
        <f t="shared" si="78"/>
        <v/>
      </c>
      <c r="R999" t="str">
        <f t="shared" si="79"/>
        <v/>
      </c>
    </row>
    <row r="1000" spans="12:18" x14ac:dyDescent="0.25">
      <c r="L1000" t="str">
        <f t="shared" si="75"/>
        <v/>
      </c>
      <c r="M1000" t="b">
        <f t="shared" si="76"/>
        <v>0</v>
      </c>
      <c r="N1000" t="str">
        <f>IF(M1000,IF(B1000="Fe",_xludf.XLOOKUP(A1000,'Standards Catalogue'!$A:$A,'Standards Catalogue'!$B:$B,""),IF(B1000="P",_xludf.XLOOKUP(A1000,'Standards Catalogue'!$A:$A,'Standards Catalogue'!$D:$D,""),IF(B1000="S",_xludf.XLOOKUP(A1000,'Standards Catalogue'!$A:$A,'Standards Catalogue'!$F:$F,""),""))),"")</f>
        <v/>
      </c>
      <c r="O1000" t="str">
        <f>IF(M1000,IF(B1000="Fe",_xludf.XLOOKUP(A1000,'Standards Catalogue'!$A:$A,'Standards Catalogue'!$C:$C,""),IF(B1000="P",_xludf.XLOOKUP(A1000,'Standards Catalogue'!$A:$A,'Standards Catalogue'!$E:$E,""),IF(B1000="S",_xludf.XLOOKUP(A1000,'Standards Catalogue'!$A:$A,'Standards Catalogue'!$G:$G,""),""))),"")</f>
        <v/>
      </c>
      <c r="P1000" t="str">
        <f t="shared" si="77"/>
        <v/>
      </c>
      <c r="Q1000" t="str">
        <f t="shared" si="78"/>
        <v/>
      </c>
      <c r="R1000" t="str">
        <f t="shared" si="79"/>
        <v/>
      </c>
    </row>
    <row r="1001" spans="12:18" x14ac:dyDescent="0.25">
      <c r="L1001" t="str">
        <f t="shared" si="75"/>
        <v/>
      </c>
      <c r="M1001" t="b">
        <f t="shared" si="76"/>
        <v>0</v>
      </c>
      <c r="N1001" t="str">
        <f>IF(M1001,IF(B1001="Fe",_xludf.XLOOKUP(A1001,'Standards Catalogue'!$A:$A,'Standards Catalogue'!$B:$B,""),IF(B1001="P",_xludf.XLOOKUP(A1001,'Standards Catalogue'!$A:$A,'Standards Catalogue'!$D:$D,""),IF(B1001="S",_xludf.XLOOKUP(A1001,'Standards Catalogue'!$A:$A,'Standards Catalogue'!$F:$F,""),""))),"")</f>
        <v/>
      </c>
      <c r="O1001" t="str">
        <f>IF(M1001,IF(B1001="Fe",_xludf.XLOOKUP(A1001,'Standards Catalogue'!$A:$A,'Standards Catalogue'!$C:$C,""),IF(B1001="P",_xludf.XLOOKUP(A1001,'Standards Catalogue'!$A:$A,'Standards Catalogue'!$E:$E,""),IF(B1001="S",_xludf.XLOOKUP(A1001,'Standards Catalogue'!$A:$A,'Standards Catalogue'!$G:$G,""),""))),"")</f>
        <v/>
      </c>
      <c r="P1001" t="str">
        <f t="shared" si="77"/>
        <v/>
      </c>
      <c r="Q1001" t="str">
        <f t="shared" si="78"/>
        <v/>
      </c>
      <c r="R1001" t="str">
        <f t="shared" si="79"/>
        <v/>
      </c>
    </row>
  </sheetData>
  <conditionalFormatting sqref="C2:C1001">
    <cfRule type="expression" dxfId="2" priority="2001">
      <formula>AND(M2, R2="FAIL")</formula>
    </cfRule>
  </conditionalFormatting>
  <conditionalFormatting sqref="R2:R1001">
    <cfRule type="expression" dxfId="1" priority="1">
      <formula>R2="PASS"</formula>
    </cfRule>
    <cfRule type="expression" dxfId="0" priority="2">
      <formula>R2="FAIL"</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01"/>
  <sheetViews>
    <sheetView workbookViewId="0">
      <pane ySplit="1" topLeftCell="A2" activePane="bottomLeft" state="frozen"/>
      <selection pane="bottomLeft"/>
    </sheetView>
  </sheetViews>
  <sheetFormatPr defaultRowHeight="15" x14ac:dyDescent="0.25"/>
  <sheetData>
    <row r="1" spans="1:11" x14ac:dyDescent="0.25">
      <c r="A1" s="2" t="s">
        <v>73</v>
      </c>
      <c r="B1" s="2" t="s">
        <v>75</v>
      </c>
      <c r="C1" s="2" t="s">
        <v>76</v>
      </c>
      <c r="D1" s="2" t="s">
        <v>153</v>
      </c>
      <c r="E1" s="2" t="s">
        <v>78</v>
      </c>
      <c r="F1" s="2" t="s">
        <v>122</v>
      </c>
      <c r="G1" s="2" t="s">
        <v>123</v>
      </c>
      <c r="H1" s="2" t="s">
        <v>124</v>
      </c>
      <c r="I1" s="2" t="s">
        <v>125</v>
      </c>
      <c r="J1" s="2" t="s">
        <v>126</v>
      </c>
      <c r="K1" s="2" t="s">
        <v>127</v>
      </c>
    </row>
    <row r="2" spans="1:11" x14ac:dyDescent="0.25">
      <c r="A2">
        <f>'Borehole Logging'!A2</f>
        <v>0</v>
      </c>
      <c r="B2">
        <f>'Borehole Logging'!C2</f>
        <v>0</v>
      </c>
      <c r="C2">
        <f>'Borehole Logging'!D2</f>
        <v>0</v>
      </c>
      <c r="E2">
        <f>'Borehole Logging'!F2</f>
        <v>0</v>
      </c>
      <c r="F2" t="str">
        <f ca="1">'Borehole Logging'!AX2</f>
        <v/>
      </c>
      <c r="G2" t="str">
        <f ca="1">'Borehole Logging'!AY2</f>
        <v/>
      </c>
      <c r="H2" t="str">
        <f ca="1">'Borehole Logging'!AZ2</f>
        <v/>
      </c>
      <c r="I2" t="str">
        <f ca="1">'Borehole Logging'!BA2</f>
        <v/>
      </c>
      <c r="J2" t="str">
        <f ca="1">'Borehole Logging'!BB2</f>
        <v/>
      </c>
      <c r="K2" t="str">
        <f ca="1">'Borehole Logging'!BC2</f>
        <v/>
      </c>
    </row>
    <row r="3" spans="1:11" x14ac:dyDescent="0.25">
      <c r="A3">
        <f>'Borehole Logging'!A3</f>
        <v>0</v>
      </c>
      <c r="B3">
        <f>'Borehole Logging'!C3</f>
        <v>0</v>
      </c>
      <c r="C3">
        <f>'Borehole Logging'!D3</f>
        <v>0</v>
      </c>
      <c r="E3">
        <f>'Borehole Logging'!F3</f>
        <v>0</v>
      </c>
      <c r="F3" t="str">
        <f ca="1">'Borehole Logging'!AX3</f>
        <v/>
      </c>
      <c r="G3" t="str">
        <f ca="1">'Borehole Logging'!AY3</f>
        <v/>
      </c>
      <c r="H3" t="str">
        <f ca="1">'Borehole Logging'!AZ3</f>
        <v/>
      </c>
      <c r="I3" t="str">
        <f ca="1">'Borehole Logging'!BA3</f>
        <v/>
      </c>
      <c r="J3" t="str">
        <f ca="1">'Borehole Logging'!BB3</f>
        <v/>
      </c>
      <c r="K3" t="str">
        <f ca="1">'Borehole Logging'!BC3</f>
        <v/>
      </c>
    </row>
    <row r="4" spans="1:11" x14ac:dyDescent="0.25">
      <c r="A4">
        <f>'Borehole Logging'!A4</f>
        <v>0</v>
      </c>
      <c r="B4">
        <f>'Borehole Logging'!C4</f>
        <v>0</v>
      </c>
      <c r="C4">
        <f>'Borehole Logging'!D4</f>
        <v>0</v>
      </c>
      <c r="E4">
        <f>'Borehole Logging'!F4</f>
        <v>0</v>
      </c>
      <c r="F4" t="str">
        <f ca="1">'Borehole Logging'!AX4</f>
        <v/>
      </c>
      <c r="G4" t="str">
        <f ca="1">'Borehole Logging'!AY4</f>
        <v/>
      </c>
      <c r="H4" t="str">
        <f ca="1">'Borehole Logging'!AZ4</f>
        <v/>
      </c>
      <c r="I4" t="str">
        <f ca="1">'Borehole Logging'!BA4</f>
        <v/>
      </c>
      <c r="J4" t="str">
        <f ca="1">'Borehole Logging'!BB4</f>
        <v/>
      </c>
      <c r="K4" t="str">
        <f ca="1">'Borehole Logging'!BC4</f>
        <v/>
      </c>
    </row>
    <row r="5" spans="1:11" x14ac:dyDescent="0.25">
      <c r="A5">
        <f>'Borehole Logging'!A5</f>
        <v>0</v>
      </c>
      <c r="B5">
        <f>'Borehole Logging'!C5</f>
        <v>0</v>
      </c>
      <c r="C5">
        <f>'Borehole Logging'!D5</f>
        <v>0</v>
      </c>
      <c r="E5">
        <f>'Borehole Logging'!F5</f>
        <v>0</v>
      </c>
      <c r="F5" t="str">
        <f ca="1">'Borehole Logging'!AX5</f>
        <v/>
      </c>
      <c r="G5" t="str">
        <f ca="1">'Borehole Logging'!AY5</f>
        <v/>
      </c>
      <c r="H5" t="str">
        <f ca="1">'Borehole Logging'!AZ5</f>
        <v/>
      </c>
      <c r="I5" t="str">
        <f ca="1">'Borehole Logging'!BA5</f>
        <v/>
      </c>
      <c r="J5" t="str">
        <f ca="1">'Borehole Logging'!BB5</f>
        <v/>
      </c>
      <c r="K5" t="str">
        <f ca="1">'Borehole Logging'!BC5</f>
        <v/>
      </c>
    </row>
    <row r="6" spans="1:11" x14ac:dyDescent="0.25">
      <c r="A6">
        <f>'Borehole Logging'!A6</f>
        <v>0</v>
      </c>
      <c r="B6">
        <f>'Borehole Logging'!C6</f>
        <v>0</v>
      </c>
      <c r="C6">
        <f>'Borehole Logging'!D6</f>
        <v>0</v>
      </c>
      <c r="E6">
        <f>'Borehole Logging'!F6</f>
        <v>0</v>
      </c>
      <c r="F6" t="str">
        <f ca="1">'Borehole Logging'!AX6</f>
        <v/>
      </c>
      <c r="G6" t="str">
        <f ca="1">'Borehole Logging'!AY6</f>
        <v/>
      </c>
      <c r="H6" t="str">
        <f ca="1">'Borehole Logging'!AZ6</f>
        <v/>
      </c>
      <c r="I6" t="str">
        <f ca="1">'Borehole Logging'!BA6</f>
        <v/>
      </c>
      <c r="J6" t="str">
        <f ca="1">'Borehole Logging'!BB6</f>
        <v/>
      </c>
      <c r="K6" t="str">
        <f ca="1">'Borehole Logging'!BC6</f>
        <v/>
      </c>
    </row>
    <row r="7" spans="1:11" x14ac:dyDescent="0.25">
      <c r="A7">
        <f>'Borehole Logging'!A7</f>
        <v>0</v>
      </c>
      <c r="B7">
        <f>'Borehole Logging'!C7</f>
        <v>0</v>
      </c>
      <c r="C7">
        <f>'Borehole Logging'!D7</f>
        <v>0</v>
      </c>
      <c r="E7">
        <f>'Borehole Logging'!F7</f>
        <v>0</v>
      </c>
      <c r="F7" t="str">
        <f ca="1">'Borehole Logging'!AX7</f>
        <v/>
      </c>
      <c r="G7" t="str">
        <f ca="1">'Borehole Logging'!AY7</f>
        <v/>
      </c>
      <c r="H7" t="str">
        <f ca="1">'Borehole Logging'!AZ7</f>
        <v/>
      </c>
      <c r="I7" t="str">
        <f ca="1">'Borehole Logging'!BA7</f>
        <v/>
      </c>
      <c r="J7" t="str">
        <f ca="1">'Borehole Logging'!BB7</f>
        <v/>
      </c>
      <c r="K7" t="str">
        <f ca="1">'Borehole Logging'!BC7</f>
        <v/>
      </c>
    </row>
    <row r="8" spans="1:11" x14ac:dyDescent="0.25">
      <c r="A8">
        <f>'Borehole Logging'!A8</f>
        <v>0</v>
      </c>
      <c r="B8">
        <f>'Borehole Logging'!C8</f>
        <v>0</v>
      </c>
      <c r="C8">
        <f>'Borehole Logging'!D8</f>
        <v>0</v>
      </c>
      <c r="E8">
        <f>'Borehole Logging'!F8</f>
        <v>0</v>
      </c>
      <c r="F8" t="str">
        <f ca="1">'Borehole Logging'!AX8</f>
        <v/>
      </c>
      <c r="G8" t="str">
        <f ca="1">'Borehole Logging'!AY8</f>
        <v/>
      </c>
      <c r="H8" t="str">
        <f ca="1">'Borehole Logging'!AZ8</f>
        <v/>
      </c>
      <c r="I8" t="str">
        <f ca="1">'Borehole Logging'!BA8</f>
        <v/>
      </c>
      <c r="J8" t="str">
        <f ca="1">'Borehole Logging'!BB8</f>
        <v/>
      </c>
      <c r="K8" t="str">
        <f ca="1">'Borehole Logging'!BC8</f>
        <v/>
      </c>
    </row>
    <row r="9" spans="1:11" x14ac:dyDescent="0.25">
      <c r="A9">
        <f>'Borehole Logging'!A9</f>
        <v>0</v>
      </c>
      <c r="B9">
        <f>'Borehole Logging'!C9</f>
        <v>0</v>
      </c>
      <c r="C9">
        <f>'Borehole Logging'!D9</f>
        <v>0</v>
      </c>
      <c r="E9">
        <f>'Borehole Logging'!F9</f>
        <v>0</v>
      </c>
      <c r="F9" t="str">
        <f ca="1">'Borehole Logging'!AX9</f>
        <v/>
      </c>
      <c r="G9" t="str">
        <f ca="1">'Borehole Logging'!AY9</f>
        <v/>
      </c>
      <c r="H9" t="str">
        <f ca="1">'Borehole Logging'!AZ9</f>
        <v/>
      </c>
      <c r="I9" t="str">
        <f ca="1">'Borehole Logging'!BA9</f>
        <v/>
      </c>
      <c r="J9" t="str">
        <f ca="1">'Borehole Logging'!BB9</f>
        <v/>
      </c>
      <c r="K9" t="str">
        <f ca="1">'Borehole Logging'!BC9</f>
        <v/>
      </c>
    </row>
    <row r="10" spans="1:11" x14ac:dyDescent="0.25">
      <c r="A10">
        <f>'Borehole Logging'!A10</f>
        <v>0</v>
      </c>
      <c r="B10">
        <f>'Borehole Logging'!C10</f>
        <v>0</v>
      </c>
      <c r="C10">
        <f>'Borehole Logging'!D10</f>
        <v>0</v>
      </c>
      <c r="E10">
        <f>'Borehole Logging'!F10</f>
        <v>0</v>
      </c>
      <c r="F10" t="str">
        <f ca="1">'Borehole Logging'!AX10</f>
        <v/>
      </c>
      <c r="G10" t="str">
        <f ca="1">'Borehole Logging'!AY10</f>
        <v/>
      </c>
      <c r="H10" t="str">
        <f ca="1">'Borehole Logging'!AZ10</f>
        <v/>
      </c>
      <c r="I10" t="str">
        <f ca="1">'Borehole Logging'!BA10</f>
        <v/>
      </c>
      <c r="J10" t="str">
        <f ca="1">'Borehole Logging'!BB10</f>
        <v/>
      </c>
      <c r="K10" t="str">
        <f ca="1">'Borehole Logging'!BC10</f>
        <v/>
      </c>
    </row>
    <row r="11" spans="1:11" x14ac:dyDescent="0.25">
      <c r="A11">
        <f>'Borehole Logging'!A11</f>
        <v>0</v>
      </c>
      <c r="B11">
        <f>'Borehole Logging'!C11</f>
        <v>0</v>
      </c>
      <c r="C11">
        <f>'Borehole Logging'!D11</f>
        <v>0</v>
      </c>
      <c r="E11">
        <f>'Borehole Logging'!F11</f>
        <v>0</v>
      </c>
      <c r="F11" t="str">
        <f ca="1">'Borehole Logging'!AX11</f>
        <v/>
      </c>
      <c r="G11" t="str">
        <f ca="1">'Borehole Logging'!AY11</f>
        <v/>
      </c>
      <c r="H11" t="str">
        <f ca="1">'Borehole Logging'!AZ11</f>
        <v/>
      </c>
      <c r="I11" t="str">
        <f ca="1">'Borehole Logging'!BA11</f>
        <v/>
      </c>
      <c r="J11" t="str">
        <f ca="1">'Borehole Logging'!BB11</f>
        <v/>
      </c>
      <c r="K11" t="str">
        <f ca="1">'Borehole Logging'!BC11</f>
        <v/>
      </c>
    </row>
    <row r="12" spans="1:11" x14ac:dyDescent="0.25">
      <c r="A12">
        <f>'Borehole Logging'!A12</f>
        <v>0</v>
      </c>
      <c r="B12">
        <f>'Borehole Logging'!C12</f>
        <v>0</v>
      </c>
      <c r="C12">
        <f>'Borehole Logging'!D12</f>
        <v>0</v>
      </c>
      <c r="E12">
        <f>'Borehole Logging'!F12</f>
        <v>0</v>
      </c>
      <c r="F12" t="str">
        <f ca="1">'Borehole Logging'!AX12</f>
        <v/>
      </c>
      <c r="G12" t="str">
        <f ca="1">'Borehole Logging'!AY12</f>
        <v/>
      </c>
      <c r="H12" t="str">
        <f ca="1">'Borehole Logging'!AZ12</f>
        <v/>
      </c>
      <c r="I12" t="str">
        <f ca="1">'Borehole Logging'!BA12</f>
        <v/>
      </c>
      <c r="J12" t="str">
        <f ca="1">'Borehole Logging'!BB12</f>
        <v/>
      </c>
      <c r="K12" t="str">
        <f ca="1">'Borehole Logging'!BC12</f>
        <v/>
      </c>
    </row>
    <row r="13" spans="1:11" x14ac:dyDescent="0.25">
      <c r="A13">
        <f>'Borehole Logging'!A13</f>
        <v>0</v>
      </c>
      <c r="B13">
        <f>'Borehole Logging'!C13</f>
        <v>0</v>
      </c>
      <c r="C13">
        <f>'Borehole Logging'!D13</f>
        <v>0</v>
      </c>
      <c r="E13">
        <f>'Borehole Logging'!F13</f>
        <v>0</v>
      </c>
      <c r="F13" t="str">
        <f ca="1">'Borehole Logging'!AX13</f>
        <v/>
      </c>
      <c r="G13" t="str">
        <f ca="1">'Borehole Logging'!AY13</f>
        <v/>
      </c>
      <c r="H13" t="str">
        <f ca="1">'Borehole Logging'!AZ13</f>
        <v/>
      </c>
      <c r="I13" t="str">
        <f ca="1">'Borehole Logging'!BA13</f>
        <v/>
      </c>
      <c r="J13" t="str">
        <f ca="1">'Borehole Logging'!BB13</f>
        <v/>
      </c>
      <c r="K13" t="str">
        <f ca="1">'Borehole Logging'!BC13</f>
        <v/>
      </c>
    </row>
    <row r="14" spans="1:11" x14ac:dyDescent="0.25">
      <c r="A14">
        <f>'Borehole Logging'!A14</f>
        <v>0</v>
      </c>
      <c r="B14">
        <f>'Borehole Logging'!C14</f>
        <v>0</v>
      </c>
      <c r="C14">
        <f>'Borehole Logging'!D14</f>
        <v>0</v>
      </c>
      <c r="E14">
        <f>'Borehole Logging'!F14</f>
        <v>0</v>
      </c>
      <c r="F14" t="str">
        <f ca="1">'Borehole Logging'!AX14</f>
        <v/>
      </c>
      <c r="G14" t="str">
        <f ca="1">'Borehole Logging'!AY14</f>
        <v/>
      </c>
      <c r="H14" t="str">
        <f ca="1">'Borehole Logging'!AZ14</f>
        <v/>
      </c>
      <c r="I14" t="str">
        <f ca="1">'Borehole Logging'!BA14</f>
        <v/>
      </c>
      <c r="J14" t="str">
        <f ca="1">'Borehole Logging'!BB14</f>
        <v/>
      </c>
      <c r="K14" t="str">
        <f ca="1">'Borehole Logging'!BC14</f>
        <v/>
      </c>
    </row>
    <row r="15" spans="1:11" x14ac:dyDescent="0.25">
      <c r="A15">
        <f>'Borehole Logging'!A15</f>
        <v>0</v>
      </c>
      <c r="B15">
        <f>'Borehole Logging'!C15</f>
        <v>0</v>
      </c>
      <c r="C15">
        <f>'Borehole Logging'!D15</f>
        <v>0</v>
      </c>
      <c r="E15">
        <f>'Borehole Logging'!F15</f>
        <v>0</v>
      </c>
      <c r="F15" t="str">
        <f ca="1">'Borehole Logging'!AX15</f>
        <v/>
      </c>
      <c r="G15" t="str">
        <f ca="1">'Borehole Logging'!AY15</f>
        <v/>
      </c>
      <c r="H15" t="str">
        <f ca="1">'Borehole Logging'!AZ15</f>
        <v/>
      </c>
      <c r="I15" t="str">
        <f ca="1">'Borehole Logging'!BA15</f>
        <v/>
      </c>
      <c r="J15" t="str">
        <f ca="1">'Borehole Logging'!BB15</f>
        <v/>
      </c>
      <c r="K15" t="str">
        <f ca="1">'Borehole Logging'!BC15</f>
        <v/>
      </c>
    </row>
    <row r="16" spans="1:11" x14ac:dyDescent="0.25">
      <c r="A16">
        <f>'Borehole Logging'!A16</f>
        <v>0</v>
      </c>
      <c r="B16">
        <f>'Borehole Logging'!C16</f>
        <v>0</v>
      </c>
      <c r="C16">
        <f>'Borehole Logging'!D16</f>
        <v>0</v>
      </c>
      <c r="E16">
        <f>'Borehole Logging'!F16</f>
        <v>0</v>
      </c>
      <c r="F16" t="str">
        <f ca="1">'Borehole Logging'!AX16</f>
        <v/>
      </c>
      <c r="G16" t="str">
        <f ca="1">'Borehole Logging'!AY16</f>
        <v/>
      </c>
      <c r="H16" t="str">
        <f ca="1">'Borehole Logging'!AZ16</f>
        <v/>
      </c>
      <c r="I16" t="str">
        <f ca="1">'Borehole Logging'!BA16</f>
        <v/>
      </c>
      <c r="J16" t="str">
        <f ca="1">'Borehole Logging'!BB16</f>
        <v/>
      </c>
      <c r="K16" t="str">
        <f ca="1">'Borehole Logging'!BC16</f>
        <v/>
      </c>
    </row>
    <row r="17" spans="1:11" x14ac:dyDescent="0.25">
      <c r="A17">
        <f>'Borehole Logging'!A17</f>
        <v>0</v>
      </c>
      <c r="B17">
        <f>'Borehole Logging'!C17</f>
        <v>0</v>
      </c>
      <c r="C17">
        <f>'Borehole Logging'!D17</f>
        <v>0</v>
      </c>
      <c r="E17">
        <f>'Borehole Logging'!F17</f>
        <v>0</v>
      </c>
      <c r="F17" t="str">
        <f ca="1">'Borehole Logging'!AX17</f>
        <v/>
      </c>
      <c r="G17" t="str">
        <f ca="1">'Borehole Logging'!AY17</f>
        <v/>
      </c>
      <c r="H17" t="str">
        <f ca="1">'Borehole Logging'!AZ17</f>
        <v/>
      </c>
      <c r="I17" t="str">
        <f ca="1">'Borehole Logging'!BA17</f>
        <v/>
      </c>
      <c r="J17" t="str">
        <f ca="1">'Borehole Logging'!BB17</f>
        <v/>
      </c>
      <c r="K17" t="str">
        <f ca="1">'Borehole Logging'!BC17</f>
        <v/>
      </c>
    </row>
    <row r="18" spans="1:11" x14ac:dyDescent="0.25">
      <c r="A18">
        <f>'Borehole Logging'!A18</f>
        <v>0</v>
      </c>
      <c r="B18">
        <f>'Borehole Logging'!C18</f>
        <v>0</v>
      </c>
      <c r="C18">
        <f>'Borehole Logging'!D18</f>
        <v>0</v>
      </c>
      <c r="E18">
        <f>'Borehole Logging'!F18</f>
        <v>0</v>
      </c>
      <c r="F18" t="str">
        <f ca="1">'Borehole Logging'!AX18</f>
        <v/>
      </c>
      <c r="G18" t="str">
        <f ca="1">'Borehole Logging'!AY18</f>
        <v/>
      </c>
      <c r="H18" t="str">
        <f ca="1">'Borehole Logging'!AZ18</f>
        <v/>
      </c>
      <c r="I18" t="str">
        <f ca="1">'Borehole Logging'!BA18</f>
        <v/>
      </c>
      <c r="J18" t="str">
        <f ca="1">'Borehole Logging'!BB18</f>
        <v/>
      </c>
      <c r="K18" t="str">
        <f ca="1">'Borehole Logging'!BC18</f>
        <v/>
      </c>
    </row>
    <row r="19" spans="1:11" x14ac:dyDescent="0.25">
      <c r="A19">
        <f>'Borehole Logging'!A19</f>
        <v>0</v>
      </c>
      <c r="B19">
        <f>'Borehole Logging'!C19</f>
        <v>0</v>
      </c>
      <c r="C19">
        <f>'Borehole Logging'!D19</f>
        <v>0</v>
      </c>
      <c r="E19">
        <f>'Borehole Logging'!F19</f>
        <v>0</v>
      </c>
      <c r="F19" t="str">
        <f ca="1">'Borehole Logging'!AX19</f>
        <v/>
      </c>
      <c r="G19" t="str">
        <f ca="1">'Borehole Logging'!AY19</f>
        <v/>
      </c>
      <c r="H19" t="str">
        <f ca="1">'Borehole Logging'!AZ19</f>
        <v/>
      </c>
      <c r="I19" t="str">
        <f ca="1">'Borehole Logging'!BA19</f>
        <v/>
      </c>
      <c r="J19" t="str">
        <f ca="1">'Borehole Logging'!BB19</f>
        <v/>
      </c>
      <c r="K19" t="str">
        <f ca="1">'Borehole Logging'!BC19</f>
        <v/>
      </c>
    </row>
    <row r="20" spans="1:11" x14ac:dyDescent="0.25">
      <c r="A20">
        <f>'Borehole Logging'!A20</f>
        <v>0</v>
      </c>
      <c r="B20">
        <f>'Borehole Logging'!C20</f>
        <v>0</v>
      </c>
      <c r="C20">
        <f>'Borehole Logging'!D20</f>
        <v>0</v>
      </c>
      <c r="E20">
        <f>'Borehole Logging'!F20</f>
        <v>0</v>
      </c>
      <c r="F20" t="str">
        <f ca="1">'Borehole Logging'!AX20</f>
        <v/>
      </c>
      <c r="G20" t="str">
        <f ca="1">'Borehole Logging'!AY20</f>
        <v/>
      </c>
      <c r="H20" t="str">
        <f ca="1">'Borehole Logging'!AZ20</f>
        <v/>
      </c>
      <c r="I20" t="str">
        <f ca="1">'Borehole Logging'!BA20</f>
        <v/>
      </c>
      <c r="J20" t="str">
        <f ca="1">'Borehole Logging'!BB20</f>
        <v/>
      </c>
      <c r="K20" t="str">
        <f ca="1">'Borehole Logging'!BC20</f>
        <v/>
      </c>
    </row>
    <row r="21" spans="1:11" x14ac:dyDescent="0.25">
      <c r="A21">
        <f>'Borehole Logging'!A21</f>
        <v>0</v>
      </c>
      <c r="B21">
        <f>'Borehole Logging'!C21</f>
        <v>0</v>
      </c>
      <c r="C21">
        <f>'Borehole Logging'!D21</f>
        <v>0</v>
      </c>
      <c r="E21">
        <f>'Borehole Logging'!F21</f>
        <v>0</v>
      </c>
      <c r="F21" t="str">
        <f ca="1">'Borehole Logging'!AX21</f>
        <v/>
      </c>
      <c r="G21" t="str">
        <f ca="1">'Borehole Logging'!AY21</f>
        <v/>
      </c>
      <c r="H21" t="str">
        <f ca="1">'Borehole Logging'!AZ21</f>
        <v/>
      </c>
      <c r="I21" t="str">
        <f ca="1">'Borehole Logging'!BA21</f>
        <v/>
      </c>
      <c r="J21" t="str">
        <f ca="1">'Borehole Logging'!BB21</f>
        <v/>
      </c>
      <c r="K21" t="str">
        <f ca="1">'Borehole Logging'!BC21</f>
        <v/>
      </c>
    </row>
    <row r="22" spans="1:11" x14ac:dyDescent="0.25">
      <c r="A22">
        <f>'Borehole Logging'!A22</f>
        <v>0</v>
      </c>
      <c r="B22">
        <f>'Borehole Logging'!C22</f>
        <v>0</v>
      </c>
      <c r="C22">
        <f>'Borehole Logging'!D22</f>
        <v>0</v>
      </c>
      <c r="E22">
        <f>'Borehole Logging'!F22</f>
        <v>0</v>
      </c>
      <c r="F22" t="str">
        <f ca="1">'Borehole Logging'!AX22</f>
        <v/>
      </c>
      <c r="G22" t="str">
        <f ca="1">'Borehole Logging'!AY22</f>
        <v/>
      </c>
      <c r="H22" t="str">
        <f ca="1">'Borehole Logging'!AZ22</f>
        <v/>
      </c>
      <c r="I22" t="str">
        <f ca="1">'Borehole Logging'!BA22</f>
        <v/>
      </c>
      <c r="J22" t="str">
        <f ca="1">'Borehole Logging'!BB22</f>
        <v/>
      </c>
      <c r="K22" t="str">
        <f ca="1">'Borehole Logging'!BC22</f>
        <v/>
      </c>
    </row>
    <row r="23" spans="1:11" x14ac:dyDescent="0.25">
      <c r="A23">
        <f>'Borehole Logging'!A23</f>
        <v>0</v>
      </c>
      <c r="B23">
        <f>'Borehole Logging'!C23</f>
        <v>0</v>
      </c>
      <c r="C23">
        <f>'Borehole Logging'!D23</f>
        <v>0</v>
      </c>
      <c r="E23">
        <f>'Borehole Logging'!F23</f>
        <v>0</v>
      </c>
      <c r="F23" t="str">
        <f ca="1">'Borehole Logging'!AX23</f>
        <v/>
      </c>
      <c r="G23" t="str">
        <f ca="1">'Borehole Logging'!AY23</f>
        <v/>
      </c>
      <c r="H23" t="str">
        <f ca="1">'Borehole Logging'!AZ23</f>
        <v/>
      </c>
      <c r="I23" t="str">
        <f ca="1">'Borehole Logging'!BA23</f>
        <v/>
      </c>
      <c r="J23" t="str">
        <f ca="1">'Borehole Logging'!BB23</f>
        <v/>
      </c>
      <c r="K23" t="str">
        <f ca="1">'Borehole Logging'!BC23</f>
        <v/>
      </c>
    </row>
    <row r="24" spans="1:11" x14ac:dyDescent="0.25">
      <c r="A24">
        <f>'Borehole Logging'!A24</f>
        <v>0</v>
      </c>
      <c r="B24">
        <f>'Borehole Logging'!C24</f>
        <v>0</v>
      </c>
      <c r="C24">
        <f>'Borehole Logging'!D24</f>
        <v>0</v>
      </c>
      <c r="E24">
        <f>'Borehole Logging'!F24</f>
        <v>0</v>
      </c>
      <c r="F24" t="str">
        <f ca="1">'Borehole Logging'!AX24</f>
        <v/>
      </c>
      <c r="G24" t="str">
        <f ca="1">'Borehole Logging'!AY24</f>
        <v/>
      </c>
      <c r="H24" t="str">
        <f ca="1">'Borehole Logging'!AZ24</f>
        <v/>
      </c>
      <c r="I24" t="str">
        <f ca="1">'Borehole Logging'!BA24</f>
        <v/>
      </c>
      <c r="J24" t="str">
        <f ca="1">'Borehole Logging'!BB24</f>
        <v/>
      </c>
      <c r="K24" t="str">
        <f ca="1">'Borehole Logging'!BC24</f>
        <v/>
      </c>
    </row>
    <row r="25" spans="1:11" x14ac:dyDescent="0.25">
      <c r="A25">
        <f>'Borehole Logging'!A25</f>
        <v>0</v>
      </c>
      <c r="B25">
        <f>'Borehole Logging'!C25</f>
        <v>0</v>
      </c>
      <c r="C25">
        <f>'Borehole Logging'!D25</f>
        <v>0</v>
      </c>
      <c r="E25">
        <f>'Borehole Logging'!F25</f>
        <v>0</v>
      </c>
      <c r="F25" t="str">
        <f ca="1">'Borehole Logging'!AX25</f>
        <v/>
      </c>
      <c r="G25" t="str">
        <f ca="1">'Borehole Logging'!AY25</f>
        <v/>
      </c>
      <c r="H25" t="str">
        <f ca="1">'Borehole Logging'!AZ25</f>
        <v/>
      </c>
      <c r="I25" t="str">
        <f ca="1">'Borehole Logging'!BA25</f>
        <v/>
      </c>
      <c r="J25" t="str">
        <f ca="1">'Borehole Logging'!BB25</f>
        <v/>
      </c>
      <c r="K25" t="str">
        <f ca="1">'Borehole Logging'!BC25</f>
        <v/>
      </c>
    </row>
    <row r="26" spans="1:11" x14ac:dyDescent="0.25">
      <c r="A26">
        <f>'Borehole Logging'!A26</f>
        <v>0</v>
      </c>
      <c r="B26">
        <f>'Borehole Logging'!C26</f>
        <v>0</v>
      </c>
      <c r="C26">
        <f>'Borehole Logging'!D26</f>
        <v>0</v>
      </c>
      <c r="E26">
        <f>'Borehole Logging'!F26</f>
        <v>0</v>
      </c>
      <c r="F26" t="str">
        <f ca="1">'Borehole Logging'!AX26</f>
        <v/>
      </c>
      <c r="G26" t="str">
        <f ca="1">'Borehole Logging'!AY26</f>
        <v/>
      </c>
      <c r="H26" t="str">
        <f ca="1">'Borehole Logging'!AZ26</f>
        <v/>
      </c>
      <c r="I26" t="str">
        <f ca="1">'Borehole Logging'!BA26</f>
        <v/>
      </c>
      <c r="J26" t="str">
        <f ca="1">'Borehole Logging'!BB26</f>
        <v/>
      </c>
      <c r="K26" t="str">
        <f ca="1">'Borehole Logging'!BC26</f>
        <v/>
      </c>
    </row>
    <row r="27" spans="1:11" x14ac:dyDescent="0.25">
      <c r="A27">
        <f>'Borehole Logging'!A27</f>
        <v>0</v>
      </c>
      <c r="B27">
        <f>'Borehole Logging'!C27</f>
        <v>0</v>
      </c>
      <c r="C27">
        <f>'Borehole Logging'!D27</f>
        <v>0</v>
      </c>
      <c r="E27">
        <f>'Borehole Logging'!F27</f>
        <v>0</v>
      </c>
      <c r="F27" t="str">
        <f ca="1">'Borehole Logging'!AX27</f>
        <v/>
      </c>
      <c r="G27" t="str">
        <f ca="1">'Borehole Logging'!AY27</f>
        <v/>
      </c>
      <c r="H27" t="str">
        <f ca="1">'Borehole Logging'!AZ27</f>
        <v/>
      </c>
      <c r="I27" t="str">
        <f ca="1">'Borehole Logging'!BA27</f>
        <v/>
      </c>
      <c r="J27" t="str">
        <f ca="1">'Borehole Logging'!BB27</f>
        <v/>
      </c>
      <c r="K27" t="str">
        <f ca="1">'Borehole Logging'!BC27</f>
        <v/>
      </c>
    </row>
    <row r="28" spans="1:11" x14ac:dyDescent="0.25">
      <c r="A28">
        <f>'Borehole Logging'!A28</f>
        <v>0</v>
      </c>
      <c r="B28">
        <f>'Borehole Logging'!C28</f>
        <v>0</v>
      </c>
      <c r="C28">
        <f>'Borehole Logging'!D28</f>
        <v>0</v>
      </c>
      <c r="E28">
        <f>'Borehole Logging'!F28</f>
        <v>0</v>
      </c>
      <c r="F28" t="str">
        <f ca="1">'Borehole Logging'!AX28</f>
        <v/>
      </c>
      <c r="G28" t="str">
        <f ca="1">'Borehole Logging'!AY28</f>
        <v/>
      </c>
      <c r="H28" t="str">
        <f ca="1">'Borehole Logging'!AZ28</f>
        <v/>
      </c>
      <c r="I28" t="str">
        <f ca="1">'Borehole Logging'!BA28</f>
        <v/>
      </c>
      <c r="J28" t="str">
        <f ca="1">'Borehole Logging'!BB28</f>
        <v/>
      </c>
      <c r="K28" t="str">
        <f ca="1">'Borehole Logging'!BC28</f>
        <v/>
      </c>
    </row>
    <row r="29" spans="1:11" x14ac:dyDescent="0.25">
      <c r="A29">
        <f>'Borehole Logging'!A29</f>
        <v>0</v>
      </c>
      <c r="B29">
        <f>'Borehole Logging'!C29</f>
        <v>0</v>
      </c>
      <c r="C29">
        <f>'Borehole Logging'!D29</f>
        <v>0</v>
      </c>
      <c r="E29">
        <f>'Borehole Logging'!F29</f>
        <v>0</v>
      </c>
      <c r="F29" t="str">
        <f ca="1">'Borehole Logging'!AX29</f>
        <v/>
      </c>
      <c r="G29" t="str">
        <f ca="1">'Borehole Logging'!AY29</f>
        <v/>
      </c>
      <c r="H29" t="str">
        <f ca="1">'Borehole Logging'!AZ29</f>
        <v/>
      </c>
      <c r="I29" t="str">
        <f ca="1">'Borehole Logging'!BA29</f>
        <v/>
      </c>
      <c r="J29" t="str">
        <f ca="1">'Borehole Logging'!BB29</f>
        <v/>
      </c>
      <c r="K29" t="str">
        <f ca="1">'Borehole Logging'!BC29</f>
        <v/>
      </c>
    </row>
    <row r="30" spans="1:11" x14ac:dyDescent="0.25">
      <c r="A30">
        <f>'Borehole Logging'!A30</f>
        <v>0</v>
      </c>
      <c r="B30">
        <f>'Borehole Logging'!C30</f>
        <v>0</v>
      </c>
      <c r="C30">
        <f>'Borehole Logging'!D30</f>
        <v>0</v>
      </c>
      <c r="E30">
        <f>'Borehole Logging'!F30</f>
        <v>0</v>
      </c>
      <c r="F30" t="str">
        <f ca="1">'Borehole Logging'!AX30</f>
        <v/>
      </c>
      <c r="G30" t="str">
        <f ca="1">'Borehole Logging'!AY30</f>
        <v/>
      </c>
      <c r="H30" t="str">
        <f ca="1">'Borehole Logging'!AZ30</f>
        <v/>
      </c>
      <c r="I30" t="str">
        <f ca="1">'Borehole Logging'!BA30</f>
        <v/>
      </c>
      <c r="J30" t="str">
        <f ca="1">'Borehole Logging'!BB30</f>
        <v/>
      </c>
      <c r="K30" t="str">
        <f ca="1">'Borehole Logging'!BC30</f>
        <v/>
      </c>
    </row>
    <row r="31" spans="1:11" x14ac:dyDescent="0.25">
      <c r="A31">
        <f>'Borehole Logging'!A31</f>
        <v>0</v>
      </c>
      <c r="B31">
        <f>'Borehole Logging'!C31</f>
        <v>0</v>
      </c>
      <c r="C31">
        <f>'Borehole Logging'!D31</f>
        <v>0</v>
      </c>
      <c r="E31">
        <f>'Borehole Logging'!F31</f>
        <v>0</v>
      </c>
      <c r="F31" t="str">
        <f ca="1">'Borehole Logging'!AX31</f>
        <v/>
      </c>
      <c r="G31" t="str">
        <f ca="1">'Borehole Logging'!AY31</f>
        <v/>
      </c>
      <c r="H31" t="str">
        <f ca="1">'Borehole Logging'!AZ31</f>
        <v/>
      </c>
      <c r="I31" t="str">
        <f ca="1">'Borehole Logging'!BA31</f>
        <v/>
      </c>
      <c r="J31" t="str">
        <f ca="1">'Borehole Logging'!BB31</f>
        <v/>
      </c>
      <c r="K31" t="str">
        <f ca="1">'Borehole Logging'!BC31</f>
        <v/>
      </c>
    </row>
    <row r="32" spans="1:11" x14ac:dyDescent="0.25">
      <c r="A32">
        <f>'Borehole Logging'!A32</f>
        <v>0</v>
      </c>
      <c r="B32">
        <f>'Borehole Logging'!C32</f>
        <v>0</v>
      </c>
      <c r="C32">
        <f>'Borehole Logging'!D32</f>
        <v>0</v>
      </c>
      <c r="E32">
        <f>'Borehole Logging'!F32</f>
        <v>0</v>
      </c>
      <c r="F32" t="str">
        <f ca="1">'Borehole Logging'!AX32</f>
        <v/>
      </c>
      <c r="G32" t="str">
        <f ca="1">'Borehole Logging'!AY32</f>
        <v/>
      </c>
      <c r="H32" t="str">
        <f ca="1">'Borehole Logging'!AZ32</f>
        <v/>
      </c>
      <c r="I32" t="str">
        <f ca="1">'Borehole Logging'!BA32</f>
        <v/>
      </c>
      <c r="J32" t="str">
        <f ca="1">'Borehole Logging'!BB32</f>
        <v/>
      </c>
      <c r="K32" t="str">
        <f ca="1">'Borehole Logging'!BC32</f>
        <v/>
      </c>
    </row>
    <row r="33" spans="1:11" x14ac:dyDescent="0.25">
      <c r="A33">
        <f>'Borehole Logging'!A33</f>
        <v>0</v>
      </c>
      <c r="B33">
        <f>'Borehole Logging'!C33</f>
        <v>0</v>
      </c>
      <c r="C33">
        <f>'Borehole Logging'!D33</f>
        <v>0</v>
      </c>
      <c r="E33">
        <f>'Borehole Logging'!F33</f>
        <v>0</v>
      </c>
      <c r="F33" t="str">
        <f ca="1">'Borehole Logging'!AX33</f>
        <v/>
      </c>
      <c r="G33" t="str">
        <f ca="1">'Borehole Logging'!AY33</f>
        <v/>
      </c>
      <c r="H33" t="str">
        <f ca="1">'Borehole Logging'!AZ33</f>
        <v/>
      </c>
      <c r="I33" t="str">
        <f ca="1">'Borehole Logging'!BA33</f>
        <v/>
      </c>
      <c r="J33" t="str">
        <f ca="1">'Borehole Logging'!BB33</f>
        <v/>
      </c>
      <c r="K33" t="str">
        <f ca="1">'Borehole Logging'!BC33</f>
        <v/>
      </c>
    </row>
    <row r="34" spans="1:11" x14ac:dyDescent="0.25">
      <c r="A34">
        <f>'Borehole Logging'!A34</f>
        <v>0</v>
      </c>
      <c r="B34">
        <f>'Borehole Logging'!C34</f>
        <v>0</v>
      </c>
      <c r="C34">
        <f>'Borehole Logging'!D34</f>
        <v>0</v>
      </c>
      <c r="E34">
        <f>'Borehole Logging'!F34</f>
        <v>0</v>
      </c>
      <c r="F34" t="str">
        <f ca="1">'Borehole Logging'!AX34</f>
        <v/>
      </c>
      <c r="G34" t="str">
        <f ca="1">'Borehole Logging'!AY34</f>
        <v/>
      </c>
      <c r="H34" t="str">
        <f ca="1">'Borehole Logging'!AZ34</f>
        <v/>
      </c>
      <c r="I34" t="str">
        <f ca="1">'Borehole Logging'!BA34</f>
        <v/>
      </c>
      <c r="J34" t="str">
        <f ca="1">'Borehole Logging'!BB34</f>
        <v/>
      </c>
      <c r="K34" t="str">
        <f ca="1">'Borehole Logging'!BC34</f>
        <v/>
      </c>
    </row>
    <row r="35" spans="1:11" x14ac:dyDescent="0.25">
      <c r="A35">
        <f>'Borehole Logging'!A35</f>
        <v>0</v>
      </c>
      <c r="B35">
        <f>'Borehole Logging'!C35</f>
        <v>0</v>
      </c>
      <c r="C35">
        <f>'Borehole Logging'!D35</f>
        <v>0</v>
      </c>
      <c r="E35">
        <f>'Borehole Logging'!F35</f>
        <v>0</v>
      </c>
      <c r="F35" t="str">
        <f ca="1">'Borehole Logging'!AX35</f>
        <v/>
      </c>
      <c r="G35" t="str">
        <f ca="1">'Borehole Logging'!AY35</f>
        <v/>
      </c>
      <c r="H35" t="str">
        <f ca="1">'Borehole Logging'!AZ35</f>
        <v/>
      </c>
      <c r="I35" t="str">
        <f ca="1">'Borehole Logging'!BA35</f>
        <v/>
      </c>
      <c r="J35" t="str">
        <f ca="1">'Borehole Logging'!BB35</f>
        <v/>
      </c>
      <c r="K35" t="str">
        <f ca="1">'Borehole Logging'!BC35</f>
        <v/>
      </c>
    </row>
    <row r="36" spans="1:11" x14ac:dyDescent="0.25">
      <c r="A36">
        <f>'Borehole Logging'!A36</f>
        <v>0</v>
      </c>
      <c r="B36">
        <f>'Borehole Logging'!C36</f>
        <v>0</v>
      </c>
      <c r="C36">
        <f>'Borehole Logging'!D36</f>
        <v>0</v>
      </c>
      <c r="E36">
        <f>'Borehole Logging'!F36</f>
        <v>0</v>
      </c>
      <c r="F36" t="str">
        <f ca="1">'Borehole Logging'!AX36</f>
        <v/>
      </c>
      <c r="G36" t="str">
        <f ca="1">'Borehole Logging'!AY36</f>
        <v/>
      </c>
      <c r="H36" t="str">
        <f ca="1">'Borehole Logging'!AZ36</f>
        <v/>
      </c>
      <c r="I36" t="str">
        <f ca="1">'Borehole Logging'!BA36</f>
        <v/>
      </c>
      <c r="J36" t="str">
        <f ca="1">'Borehole Logging'!BB36</f>
        <v/>
      </c>
      <c r="K36" t="str">
        <f ca="1">'Borehole Logging'!BC36</f>
        <v/>
      </c>
    </row>
    <row r="37" spans="1:11" x14ac:dyDescent="0.25">
      <c r="A37">
        <f>'Borehole Logging'!A37</f>
        <v>0</v>
      </c>
      <c r="B37">
        <f>'Borehole Logging'!C37</f>
        <v>0</v>
      </c>
      <c r="C37">
        <f>'Borehole Logging'!D37</f>
        <v>0</v>
      </c>
      <c r="E37">
        <f>'Borehole Logging'!F37</f>
        <v>0</v>
      </c>
      <c r="F37" t="str">
        <f ca="1">'Borehole Logging'!AX37</f>
        <v/>
      </c>
      <c r="G37" t="str">
        <f ca="1">'Borehole Logging'!AY37</f>
        <v/>
      </c>
      <c r="H37" t="str">
        <f ca="1">'Borehole Logging'!AZ37</f>
        <v/>
      </c>
      <c r="I37" t="str">
        <f ca="1">'Borehole Logging'!BA37</f>
        <v/>
      </c>
      <c r="J37" t="str">
        <f ca="1">'Borehole Logging'!BB37</f>
        <v/>
      </c>
      <c r="K37" t="str">
        <f ca="1">'Borehole Logging'!BC37</f>
        <v/>
      </c>
    </row>
    <row r="38" spans="1:11" x14ac:dyDescent="0.25">
      <c r="A38">
        <f>'Borehole Logging'!A38</f>
        <v>0</v>
      </c>
      <c r="B38">
        <f>'Borehole Logging'!C38</f>
        <v>0</v>
      </c>
      <c r="C38">
        <f>'Borehole Logging'!D38</f>
        <v>0</v>
      </c>
      <c r="E38">
        <f>'Borehole Logging'!F38</f>
        <v>0</v>
      </c>
      <c r="F38" t="str">
        <f ca="1">'Borehole Logging'!AX38</f>
        <v/>
      </c>
      <c r="G38" t="str">
        <f ca="1">'Borehole Logging'!AY38</f>
        <v/>
      </c>
      <c r="H38" t="str">
        <f ca="1">'Borehole Logging'!AZ38</f>
        <v/>
      </c>
      <c r="I38" t="str">
        <f ca="1">'Borehole Logging'!BA38</f>
        <v/>
      </c>
      <c r="J38" t="str">
        <f ca="1">'Borehole Logging'!BB38</f>
        <v/>
      </c>
      <c r="K38" t="str">
        <f ca="1">'Borehole Logging'!BC38</f>
        <v/>
      </c>
    </row>
    <row r="39" spans="1:11" x14ac:dyDescent="0.25">
      <c r="A39">
        <f>'Borehole Logging'!A39</f>
        <v>0</v>
      </c>
      <c r="B39">
        <f>'Borehole Logging'!C39</f>
        <v>0</v>
      </c>
      <c r="C39">
        <f>'Borehole Logging'!D39</f>
        <v>0</v>
      </c>
      <c r="E39">
        <f>'Borehole Logging'!F39</f>
        <v>0</v>
      </c>
      <c r="F39" t="str">
        <f ca="1">'Borehole Logging'!AX39</f>
        <v/>
      </c>
      <c r="G39" t="str">
        <f ca="1">'Borehole Logging'!AY39</f>
        <v/>
      </c>
      <c r="H39" t="str">
        <f ca="1">'Borehole Logging'!AZ39</f>
        <v/>
      </c>
      <c r="I39" t="str">
        <f ca="1">'Borehole Logging'!BA39</f>
        <v/>
      </c>
      <c r="J39" t="str">
        <f ca="1">'Borehole Logging'!BB39</f>
        <v/>
      </c>
      <c r="K39" t="str">
        <f ca="1">'Borehole Logging'!BC39</f>
        <v/>
      </c>
    </row>
    <row r="40" spans="1:11" x14ac:dyDescent="0.25">
      <c r="A40">
        <f>'Borehole Logging'!A40</f>
        <v>0</v>
      </c>
      <c r="B40">
        <f>'Borehole Logging'!C40</f>
        <v>0</v>
      </c>
      <c r="C40">
        <f>'Borehole Logging'!D40</f>
        <v>0</v>
      </c>
      <c r="E40">
        <f>'Borehole Logging'!F40</f>
        <v>0</v>
      </c>
      <c r="F40" t="str">
        <f ca="1">'Borehole Logging'!AX40</f>
        <v/>
      </c>
      <c r="G40" t="str">
        <f ca="1">'Borehole Logging'!AY40</f>
        <v/>
      </c>
      <c r="H40" t="str">
        <f ca="1">'Borehole Logging'!AZ40</f>
        <v/>
      </c>
      <c r="I40" t="str">
        <f ca="1">'Borehole Logging'!BA40</f>
        <v/>
      </c>
      <c r="J40" t="str">
        <f ca="1">'Borehole Logging'!BB40</f>
        <v/>
      </c>
      <c r="K40" t="str">
        <f ca="1">'Borehole Logging'!BC40</f>
        <v/>
      </c>
    </row>
    <row r="41" spans="1:11" x14ac:dyDescent="0.25">
      <c r="A41">
        <f>'Borehole Logging'!A41</f>
        <v>0</v>
      </c>
      <c r="B41">
        <f>'Borehole Logging'!C41</f>
        <v>0</v>
      </c>
      <c r="C41">
        <f>'Borehole Logging'!D41</f>
        <v>0</v>
      </c>
      <c r="E41">
        <f>'Borehole Logging'!F41</f>
        <v>0</v>
      </c>
      <c r="F41" t="str">
        <f ca="1">'Borehole Logging'!AX41</f>
        <v/>
      </c>
      <c r="G41" t="str">
        <f ca="1">'Borehole Logging'!AY41</f>
        <v/>
      </c>
      <c r="H41" t="str">
        <f ca="1">'Borehole Logging'!AZ41</f>
        <v/>
      </c>
      <c r="I41" t="str">
        <f ca="1">'Borehole Logging'!BA41</f>
        <v/>
      </c>
      <c r="J41" t="str">
        <f ca="1">'Borehole Logging'!BB41</f>
        <v/>
      </c>
      <c r="K41" t="str">
        <f ca="1">'Borehole Logging'!BC41</f>
        <v/>
      </c>
    </row>
    <row r="42" spans="1:11" x14ac:dyDescent="0.25">
      <c r="A42">
        <f>'Borehole Logging'!A42</f>
        <v>0</v>
      </c>
      <c r="B42">
        <f>'Borehole Logging'!C42</f>
        <v>0</v>
      </c>
      <c r="C42">
        <f>'Borehole Logging'!D42</f>
        <v>0</v>
      </c>
      <c r="E42">
        <f>'Borehole Logging'!F42</f>
        <v>0</v>
      </c>
      <c r="F42" t="str">
        <f ca="1">'Borehole Logging'!AX42</f>
        <v/>
      </c>
      <c r="G42" t="str">
        <f ca="1">'Borehole Logging'!AY42</f>
        <v/>
      </c>
      <c r="H42" t="str">
        <f ca="1">'Borehole Logging'!AZ42</f>
        <v/>
      </c>
      <c r="I42" t="str">
        <f ca="1">'Borehole Logging'!BA42</f>
        <v/>
      </c>
      <c r="J42" t="str">
        <f ca="1">'Borehole Logging'!BB42</f>
        <v/>
      </c>
      <c r="K42" t="str">
        <f ca="1">'Borehole Logging'!BC42</f>
        <v/>
      </c>
    </row>
    <row r="43" spans="1:11" x14ac:dyDescent="0.25">
      <c r="A43">
        <f>'Borehole Logging'!A43</f>
        <v>0</v>
      </c>
      <c r="B43">
        <f>'Borehole Logging'!C43</f>
        <v>0</v>
      </c>
      <c r="C43">
        <f>'Borehole Logging'!D43</f>
        <v>0</v>
      </c>
      <c r="E43">
        <f>'Borehole Logging'!F43</f>
        <v>0</v>
      </c>
      <c r="F43" t="str">
        <f ca="1">'Borehole Logging'!AX43</f>
        <v/>
      </c>
      <c r="G43" t="str">
        <f ca="1">'Borehole Logging'!AY43</f>
        <v/>
      </c>
      <c r="H43" t="str">
        <f ca="1">'Borehole Logging'!AZ43</f>
        <v/>
      </c>
      <c r="I43" t="str">
        <f ca="1">'Borehole Logging'!BA43</f>
        <v/>
      </c>
      <c r="J43" t="str">
        <f ca="1">'Borehole Logging'!BB43</f>
        <v/>
      </c>
      <c r="K43" t="str">
        <f ca="1">'Borehole Logging'!BC43</f>
        <v/>
      </c>
    </row>
    <row r="44" spans="1:11" x14ac:dyDescent="0.25">
      <c r="A44">
        <f>'Borehole Logging'!A44</f>
        <v>0</v>
      </c>
      <c r="B44">
        <f>'Borehole Logging'!C44</f>
        <v>0</v>
      </c>
      <c r="C44">
        <f>'Borehole Logging'!D44</f>
        <v>0</v>
      </c>
      <c r="E44">
        <f>'Borehole Logging'!F44</f>
        <v>0</v>
      </c>
      <c r="F44" t="str">
        <f ca="1">'Borehole Logging'!AX44</f>
        <v/>
      </c>
      <c r="G44" t="str">
        <f ca="1">'Borehole Logging'!AY44</f>
        <v/>
      </c>
      <c r="H44" t="str">
        <f ca="1">'Borehole Logging'!AZ44</f>
        <v/>
      </c>
      <c r="I44" t="str">
        <f ca="1">'Borehole Logging'!BA44</f>
        <v/>
      </c>
      <c r="J44" t="str">
        <f ca="1">'Borehole Logging'!BB44</f>
        <v/>
      </c>
      <c r="K44" t="str">
        <f ca="1">'Borehole Logging'!BC44</f>
        <v/>
      </c>
    </row>
    <row r="45" spans="1:11" x14ac:dyDescent="0.25">
      <c r="A45">
        <f>'Borehole Logging'!A45</f>
        <v>0</v>
      </c>
      <c r="B45">
        <f>'Borehole Logging'!C45</f>
        <v>0</v>
      </c>
      <c r="C45">
        <f>'Borehole Logging'!D45</f>
        <v>0</v>
      </c>
      <c r="E45">
        <f>'Borehole Logging'!F45</f>
        <v>0</v>
      </c>
      <c r="F45" t="str">
        <f ca="1">'Borehole Logging'!AX45</f>
        <v/>
      </c>
      <c r="G45" t="str">
        <f ca="1">'Borehole Logging'!AY45</f>
        <v/>
      </c>
      <c r="H45" t="str">
        <f ca="1">'Borehole Logging'!AZ45</f>
        <v/>
      </c>
      <c r="I45" t="str">
        <f ca="1">'Borehole Logging'!BA45</f>
        <v/>
      </c>
      <c r="J45" t="str">
        <f ca="1">'Borehole Logging'!BB45</f>
        <v/>
      </c>
      <c r="K45" t="str">
        <f ca="1">'Borehole Logging'!BC45</f>
        <v/>
      </c>
    </row>
    <row r="46" spans="1:11" x14ac:dyDescent="0.25">
      <c r="A46">
        <f>'Borehole Logging'!A46</f>
        <v>0</v>
      </c>
      <c r="B46">
        <f>'Borehole Logging'!C46</f>
        <v>0</v>
      </c>
      <c r="C46">
        <f>'Borehole Logging'!D46</f>
        <v>0</v>
      </c>
      <c r="E46">
        <f>'Borehole Logging'!F46</f>
        <v>0</v>
      </c>
      <c r="F46" t="str">
        <f ca="1">'Borehole Logging'!AX46</f>
        <v/>
      </c>
      <c r="G46" t="str">
        <f ca="1">'Borehole Logging'!AY46</f>
        <v/>
      </c>
      <c r="H46" t="str">
        <f ca="1">'Borehole Logging'!AZ46</f>
        <v/>
      </c>
      <c r="I46" t="str">
        <f ca="1">'Borehole Logging'!BA46</f>
        <v/>
      </c>
      <c r="J46" t="str">
        <f ca="1">'Borehole Logging'!BB46</f>
        <v/>
      </c>
      <c r="K46" t="str">
        <f ca="1">'Borehole Logging'!BC46</f>
        <v/>
      </c>
    </row>
    <row r="47" spans="1:11" x14ac:dyDescent="0.25">
      <c r="A47">
        <f>'Borehole Logging'!A47</f>
        <v>0</v>
      </c>
      <c r="B47">
        <f>'Borehole Logging'!C47</f>
        <v>0</v>
      </c>
      <c r="C47">
        <f>'Borehole Logging'!D47</f>
        <v>0</v>
      </c>
      <c r="E47">
        <f>'Borehole Logging'!F47</f>
        <v>0</v>
      </c>
      <c r="F47" t="str">
        <f ca="1">'Borehole Logging'!AX47</f>
        <v/>
      </c>
      <c r="G47" t="str">
        <f ca="1">'Borehole Logging'!AY47</f>
        <v/>
      </c>
      <c r="H47" t="str">
        <f ca="1">'Borehole Logging'!AZ47</f>
        <v/>
      </c>
      <c r="I47" t="str">
        <f ca="1">'Borehole Logging'!BA47</f>
        <v/>
      </c>
      <c r="J47" t="str">
        <f ca="1">'Borehole Logging'!BB47</f>
        <v/>
      </c>
      <c r="K47" t="str">
        <f ca="1">'Borehole Logging'!BC47</f>
        <v/>
      </c>
    </row>
    <row r="48" spans="1:11" x14ac:dyDescent="0.25">
      <c r="A48">
        <f>'Borehole Logging'!A48</f>
        <v>0</v>
      </c>
      <c r="B48">
        <f>'Borehole Logging'!C48</f>
        <v>0</v>
      </c>
      <c r="C48">
        <f>'Borehole Logging'!D48</f>
        <v>0</v>
      </c>
      <c r="E48">
        <f>'Borehole Logging'!F48</f>
        <v>0</v>
      </c>
      <c r="F48" t="str">
        <f ca="1">'Borehole Logging'!AX48</f>
        <v/>
      </c>
      <c r="G48" t="str">
        <f ca="1">'Borehole Logging'!AY48</f>
        <v/>
      </c>
      <c r="H48" t="str">
        <f ca="1">'Borehole Logging'!AZ48</f>
        <v/>
      </c>
      <c r="I48" t="str">
        <f ca="1">'Borehole Logging'!BA48</f>
        <v/>
      </c>
      <c r="J48" t="str">
        <f ca="1">'Borehole Logging'!BB48</f>
        <v/>
      </c>
      <c r="K48" t="str">
        <f ca="1">'Borehole Logging'!BC48</f>
        <v/>
      </c>
    </row>
    <row r="49" spans="1:11" x14ac:dyDescent="0.25">
      <c r="A49">
        <f>'Borehole Logging'!A49</f>
        <v>0</v>
      </c>
      <c r="B49">
        <f>'Borehole Logging'!C49</f>
        <v>0</v>
      </c>
      <c r="C49">
        <f>'Borehole Logging'!D49</f>
        <v>0</v>
      </c>
      <c r="E49">
        <f>'Borehole Logging'!F49</f>
        <v>0</v>
      </c>
      <c r="F49" t="str">
        <f ca="1">'Borehole Logging'!AX49</f>
        <v/>
      </c>
      <c r="G49" t="str">
        <f ca="1">'Borehole Logging'!AY49</f>
        <v/>
      </c>
      <c r="H49" t="str">
        <f ca="1">'Borehole Logging'!AZ49</f>
        <v/>
      </c>
      <c r="I49" t="str">
        <f ca="1">'Borehole Logging'!BA49</f>
        <v/>
      </c>
      <c r="J49" t="str">
        <f ca="1">'Borehole Logging'!BB49</f>
        <v/>
      </c>
      <c r="K49" t="str">
        <f ca="1">'Borehole Logging'!BC49</f>
        <v/>
      </c>
    </row>
    <row r="50" spans="1:11" x14ac:dyDescent="0.25">
      <c r="A50">
        <f>'Borehole Logging'!A50</f>
        <v>0</v>
      </c>
      <c r="B50">
        <f>'Borehole Logging'!C50</f>
        <v>0</v>
      </c>
      <c r="C50">
        <f>'Borehole Logging'!D50</f>
        <v>0</v>
      </c>
      <c r="E50">
        <f>'Borehole Logging'!F50</f>
        <v>0</v>
      </c>
      <c r="F50" t="str">
        <f ca="1">'Borehole Logging'!AX50</f>
        <v/>
      </c>
      <c r="G50" t="str">
        <f ca="1">'Borehole Logging'!AY50</f>
        <v/>
      </c>
      <c r="H50" t="str">
        <f ca="1">'Borehole Logging'!AZ50</f>
        <v/>
      </c>
      <c r="I50" t="str">
        <f ca="1">'Borehole Logging'!BA50</f>
        <v/>
      </c>
      <c r="J50" t="str">
        <f ca="1">'Borehole Logging'!BB50</f>
        <v/>
      </c>
      <c r="K50" t="str">
        <f ca="1">'Borehole Logging'!BC50</f>
        <v/>
      </c>
    </row>
    <row r="51" spans="1:11" x14ac:dyDescent="0.25">
      <c r="A51">
        <f>'Borehole Logging'!A51</f>
        <v>0</v>
      </c>
      <c r="B51">
        <f>'Borehole Logging'!C51</f>
        <v>0</v>
      </c>
      <c r="C51">
        <f>'Borehole Logging'!D51</f>
        <v>0</v>
      </c>
      <c r="E51">
        <f>'Borehole Logging'!F51</f>
        <v>0</v>
      </c>
      <c r="F51" t="str">
        <f ca="1">'Borehole Logging'!AX51</f>
        <v/>
      </c>
      <c r="G51" t="str">
        <f ca="1">'Borehole Logging'!AY51</f>
        <v/>
      </c>
      <c r="H51" t="str">
        <f ca="1">'Borehole Logging'!AZ51</f>
        <v/>
      </c>
      <c r="I51" t="str">
        <f ca="1">'Borehole Logging'!BA51</f>
        <v/>
      </c>
      <c r="J51" t="str">
        <f ca="1">'Borehole Logging'!BB51</f>
        <v/>
      </c>
      <c r="K51" t="str">
        <f ca="1">'Borehole Logging'!BC51</f>
        <v/>
      </c>
    </row>
    <row r="52" spans="1:11" x14ac:dyDescent="0.25">
      <c r="A52">
        <f>'Borehole Logging'!A52</f>
        <v>0</v>
      </c>
      <c r="B52">
        <f>'Borehole Logging'!C52</f>
        <v>0</v>
      </c>
      <c r="C52">
        <f>'Borehole Logging'!D52</f>
        <v>0</v>
      </c>
      <c r="E52">
        <f>'Borehole Logging'!F52</f>
        <v>0</v>
      </c>
      <c r="F52" t="str">
        <f ca="1">'Borehole Logging'!AX52</f>
        <v/>
      </c>
      <c r="G52" t="str">
        <f ca="1">'Borehole Logging'!AY52</f>
        <v/>
      </c>
      <c r="H52" t="str">
        <f ca="1">'Borehole Logging'!AZ52</f>
        <v/>
      </c>
      <c r="I52" t="str">
        <f ca="1">'Borehole Logging'!BA52</f>
        <v/>
      </c>
      <c r="J52" t="str">
        <f ca="1">'Borehole Logging'!BB52</f>
        <v/>
      </c>
      <c r="K52" t="str">
        <f ca="1">'Borehole Logging'!BC52</f>
        <v/>
      </c>
    </row>
    <row r="53" spans="1:11" x14ac:dyDescent="0.25">
      <c r="A53">
        <f>'Borehole Logging'!A53</f>
        <v>0</v>
      </c>
      <c r="B53">
        <f>'Borehole Logging'!C53</f>
        <v>0</v>
      </c>
      <c r="C53">
        <f>'Borehole Logging'!D53</f>
        <v>0</v>
      </c>
      <c r="E53">
        <f>'Borehole Logging'!F53</f>
        <v>0</v>
      </c>
      <c r="F53" t="str">
        <f ca="1">'Borehole Logging'!AX53</f>
        <v/>
      </c>
      <c r="G53" t="str">
        <f ca="1">'Borehole Logging'!AY53</f>
        <v/>
      </c>
      <c r="H53" t="str">
        <f ca="1">'Borehole Logging'!AZ53</f>
        <v/>
      </c>
      <c r="I53" t="str">
        <f ca="1">'Borehole Logging'!BA53</f>
        <v/>
      </c>
      <c r="J53" t="str">
        <f ca="1">'Borehole Logging'!BB53</f>
        <v/>
      </c>
      <c r="K53" t="str">
        <f ca="1">'Borehole Logging'!BC53</f>
        <v/>
      </c>
    </row>
    <row r="54" spans="1:11" x14ac:dyDescent="0.25">
      <c r="A54">
        <f>'Borehole Logging'!A54</f>
        <v>0</v>
      </c>
      <c r="B54">
        <f>'Borehole Logging'!C54</f>
        <v>0</v>
      </c>
      <c r="C54">
        <f>'Borehole Logging'!D54</f>
        <v>0</v>
      </c>
      <c r="E54">
        <f>'Borehole Logging'!F54</f>
        <v>0</v>
      </c>
      <c r="F54" t="str">
        <f ca="1">'Borehole Logging'!AX54</f>
        <v/>
      </c>
      <c r="G54" t="str">
        <f ca="1">'Borehole Logging'!AY54</f>
        <v/>
      </c>
      <c r="H54" t="str">
        <f ca="1">'Borehole Logging'!AZ54</f>
        <v/>
      </c>
      <c r="I54" t="str">
        <f ca="1">'Borehole Logging'!BA54</f>
        <v/>
      </c>
      <c r="J54" t="str">
        <f ca="1">'Borehole Logging'!BB54</f>
        <v/>
      </c>
      <c r="K54" t="str">
        <f ca="1">'Borehole Logging'!BC54</f>
        <v/>
      </c>
    </row>
    <row r="55" spans="1:11" x14ac:dyDescent="0.25">
      <c r="A55">
        <f>'Borehole Logging'!A55</f>
        <v>0</v>
      </c>
      <c r="B55">
        <f>'Borehole Logging'!C55</f>
        <v>0</v>
      </c>
      <c r="C55">
        <f>'Borehole Logging'!D55</f>
        <v>0</v>
      </c>
      <c r="E55">
        <f>'Borehole Logging'!F55</f>
        <v>0</v>
      </c>
      <c r="F55" t="str">
        <f ca="1">'Borehole Logging'!AX55</f>
        <v/>
      </c>
      <c r="G55" t="str">
        <f ca="1">'Borehole Logging'!AY55</f>
        <v/>
      </c>
      <c r="H55" t="str">
        <f ca="1">'Borehole Logging'!AZ55</f>
        <v/>
      </c>
      <c r="I55" t="str">
        <f ca="1">'Borehole Logging'!BA55</f>
        <v/>
      </c>
      <c r="J55" t="str">
        <f ca="1">'Borehole Logging'!BB55</f>
        <v/>
      </c>
      <c r="K55" t="str">
        <f ca="1">'Borehole Logging'!BC55</f>
        <v/>
      </c>
    </row>
    <row r="56" spans="1:11" x14ac:dyDescent="0.25">
      <c r="A56">
        <f>'Borehole Logging'!A56</f>
        <v>0</v>
      </c>
      <c r="B56">
        <f>'Borehole Logging'!C56</f>
        <v>0</v>
      </c>
      <c r="C56">
        <f>'Borehole Logging'!D56</f>
        <v>0</v>
      </c>
      <c r="E56">
        <f>'Borehole Logging'!F56</f>
        <v>0</v>
      </c>
      <c r="F56" t="str">
        <f ca="1">'Borehole Logging'!AX56</f>
        <v/>
      </c>
      <c r="G56" t="str">
        <f ca="1">'Borehole Logging'!AY56</f>
        <v/>
      </c>
      <c r="H56" t="str">
        <f ca="1">'Borehole Logging'!AZ56</f>
        <v/>
      </c>
      <c r="I56" t="str">
        <f ca="1">'Borehole Logging'!BA56</f>
        <v/>
      </c>
      <c r="J56" t="str">
        <f ca="1">'Borehole Logging'!BB56</f>
        <v/>
      </c>
      <c r="K56" t="str">
        <f ca="1">'Borehole Logging'!BC56</f>
        <v/>
      </c>
    </row>
    <row r="57" spans="1:11" x14ac:dyDescent="0.25">
      <c r="A57">
        <f>'Borehole Logging'!A57</f>
        <v>0</v>
      </c>
      <c r="B57">
        <f>'Borehole Logging'!C57</f>
        <v>0</v>
      </c>
      <c r="C57">
        <f>'Borehole Logging'!D57</f>
        <v>0</v>
      </c>
      <c r="E57">
        <f>'Borehole Logging'!F57</f>
        <v>0</v>
      </c>
      <c r="F57" t="str">
        <f ca="1">'Borehole Logging'!AX57</f>
        <v/>
      </c>
      <c r="G57" t="str">
        <f ca="1">'Borehole Logging'!AY57</f>
        <v/>
      </c>
      <c r="H57" t="str">
        <f ca="1">'Borehole Logging'!AZ57</f>
        <v/>
      </c>
      <c r="I57" t="str">
        <f ca="1">'Borehole Logging'!BA57</f>
        <v/>
      </c>
      <c r="J57" t="str">
        <f ca="1">'Borehole Logging'!BB57</f>
        <v/>
      </c>
      <c r="K57" t="str">
        <f ca="1">'Borehole Logging'!BC57</f>
        <v/>
      </c>
    </row>
    <row r="58" spans="1:11" x14ac:dyDescent="0.25">
      <c r="A58">
        <f>'Borehole Logging'!A58</f>
        <v>0</v>
      </c>
      <c r="B58">
        <f>'Borehole Logging'!C58</f>
        <v>0</v>
      </c>
      <c r="C58">
        <f>'Borehole Logging'!D58</f>
        <v>0</v>
      </c>
      <c r="E58">
        <f>'Borehole Logging'!F58</f>
        <v>0</v>
      </c>
      <c r="F58" t="str">
        <f ca="1">'Borehole Logging'!AX58</f>
        <v/>
      </c>
      <c r="G58" t="str">
        <f ca="1">'Borehole Logging'!AY58</f>
        <v/>
      </c>
      <c r="H58" t="str">
        <f ca="1">'Borehole Logging'!AZ58</f>
        <v/>
      </c>
      <c r="I58" t="str">
        <f ca="1">'Borehole Logging'!BA58</f>
        <v/>
      </c>
      <c r="J58" t="str">
        <f ca="1">'Borehole Logging'!BB58</f>
        <v/>
      </c>
      <c r="K58" t="str">
        <f ca="1">'Borehole Logging'!BC58</f>
        <v/>
      </c>
    </row>
    <row r="59" spans="1:11" x14ac:dyDescent="0.25">
      <c r="A59">
        <f>'Borehole Logging'!A59</f>
        <v>0</v>
      </c>
      <c r="B59">
        <f>'Borehole Logging'!C59</f>
        <v>0</v>
      </c>
      <c r="C59">
        <f>'Borehole Logging'!D59</f>
        <v>0</v>
      </c>
      <c r="E59">
        <f>'Borehole Logging'!F59</f>
        <v>0</v>
      </c>
      <c r="F59" t="str">
        <f ca="1">'Borehole Logging'!AX59</f>
        <v/>
      </c>
      <c r="G59" t="str">
        <f ca="1">'Borehole Logging'!AY59</f>
        <v/>
      </c>
      <c r="H59" t="str">
        <f ca="1">'Borehole Logging'!AZ59</f>
        <v/>
      </c>
      <c r="I59" t="str">
        <f ca="1">'Borehole Logging'!BA59</f>
        <v/>
      </c>
      <c r="J59" t="str">
        <f ca="1">'Borehole Logging'!BB59</f>
        <v/>
      </c>
      <c r="K59" t="str">
        <f ca="1">'Borehole Logging'!BC59</f>
        <v/>
      </c>
    </row>
    <row r="60" spans="1:11" x14ac:dyDescent="0.25">
      <c r="A60">
        <f>'Borehole Logging'!A60</f>
        <v>0</v>
      </c>
      <c r="B60">
        <f>'Borehole Logging'!C60</f>
        <v>0</v>
      </c>
      <c r="C60">
        <f>'Borehole Logging'!D60</f>
        <v>0</v>
      </c>
      <c r="E60">
        <f>'Borehole Logging'!F60</f>
        <v>0</v>
      </c>
      <c r="F60" t="str">
        <f ca="1">'Borehole Logging'!AX60</f>
        <v/>
      </c>
      <c r="G60" t="str">
        <f ca="1">'Borehole Logging'!AY60</f>
        <v/>
      </c>
      <c r="H60" t="str">
        <f ca="1">'Borehole Logging'!AZ60</f>
        <v/>
      </c>
      <c r="I60" t="str">
        <f ca="1">'Borehole Logging'!BA60</f>
        <v/>
      </c>
      <c r="J60" t="str">
        <f ca="1">'Borehole Logging'!BB60</f>
        <v/>
      </c>
      <c r="K60" t="str">
        <f ca="1">'Borehole Logging'!BC60</f>
        <v/>
      </c>
    </row>
    <row r="61" spans="1:11" x14ac:dyDescent="0.25">
      <c r="A61">
        <f>'Borehole Logging'!A61</f>
        <v>0</v>
      </c>
      <c r="B61">
        <f>'Borehole Logging'!C61</f>
        <v>0</v>
      </c>
      <c r="C61">
        <f>'Borehole Logging'!D61</f>
        <v>0</v>
      </c>
      <c r="E61">
        <f>'Borehole Logging'!F61</f>
        <v>0</v>
      </c>
      <c r="F61" t="str">
        <f ca="1">'Borehole Logging'!AX61</f>
        <v/>
      </c>
      <c r="G61" t="str">
        <f ca="1">'Borehole Logging'!AY61</f>
        <v/>
      </c>
      <c r="H61" t="str">
        <f ca="1">'Borehole Logging'!AZ61</f>
        <v/>
      </c>
      <c r="I61" t="str">
        <f ca="1">'Borehole Logging'!BA61</f>
        <v/>
      </c>
      <c r="J61" t="str">
        <f ca="1">'Borehole Logging'!BB61</f>
        <v/>
      </c>
      <c r="K61" t="str">
        <f ca="1">'Borehole Logging'!BC61</f>
        <v/>
      </c>
    </row>
    <row r="62" spans="1:11" x14ac:dyDescent="0.25">
      <c r="A62">
        <f>'Borehole Logging'!A62</f>
        <v>0</v>
      </c>
      <c r="B62">
        <f>'Borehole Logging'!C62</f>
        <v>0</v>
      </c>
      <c r="C62">
        <f>'Borehole Logging'!D62</f>
        <v>0</v>
      </c>
      <c r="E62">
        <f>'Borehole Logging'!F62</f>
        <v>0</v>
      </c>
      <c r="F62" t="str">
        <f ca="1">'Borehole Logging'!AX62</f>
        <v/>
      </c>
      <c r="G62" t="str">
        <f ca="1">'Borehole Logging'!AY62</f>
        <v/>
      </c>
      <c r="H62" t="str">
        <f ca="1">'Borehole Logging'!AZ62</f>
        <v/>
      </c>
      <c r="I62" t="str">
        <f ca="1">'Borehole Logging'!BA62</f>
        <v/>
      </c>
      <c r="J62" t="str">
        <f ca="1">'Borehole Logging'!BB62</f>
        <v/>
      </c>
      <c r="K62" t="str">
        <f ca="1">'Borehole Logging'!BC62</f>
        <v/>
      </c>
    </row>
    <row r="63" spans="1:11" x14ac:dyDescent="0.25">
      <c r="A63">
        <f>'Borehole Logging'!A63</f>
        <v>0</v>
      </c>
      <c r="B63">
        <f>'Borehole Logging'!C63</f>
        <v>0</v>
      </c>
      <c r="C63">
        <f>'Borehole Logging'!D63</f>
        <v>0</v>
      </c>
      <c r="E63">
        <f>'Borehole Logging'!F63</f>
        <v>0</v>
      </c>
      <c r="F63" t="str">
        <f ca="1">'Borehole Logging'!AX63</f>
        <v/>
      </c>
      <c r="G63" t="str">
        <f ca="1">'Borehole Logging'!AY63</f>
        <v/>
      </c>
      <c r="H63" t="str">
        <f ca="1">'Borehole Logging'!AZ63</f>
        <v/>
      </c>
      <c r="I63" t="str">
        <f ca="1">'Borehole Logging'!BA63</f>
        <v/>
      </c>
      <c r="J63" t="str">
        <f ca="1">'Borehole Logging'!BB63</f>
        <v/>
      </c>
      <c r="K63" t="str">
        <f ca="1">'Borehole Logging'!BC63</f>
        <v/>
      </c>
    </row>
    <row r="64" spans="1:11" x14ac:dyDescent="0.25">
      <c r="A64">
        <f>'Borehole Logging'!A64</f>
        <v>0</v>
      </c>
      <c r="B64">
        <f>'Borehole Logging'!C64</f>
        <v>0</v>
      </c>
      <c r="C64">
        <f>'Borehole Logging'!D64</f>
        <v>0</v>
      </c>
      <c r="E64">
        <f>'Borehole Logging'!F64</f>
        <v>0</v>
      </c>
      <c r="F64" t="str">
        <f ca="1">'Borehole Logging'!AX64</f>
        <v/>
      </c>
      <c r="G64" t="str">
        <f ca="1">'Borehole Logging'!AY64</f>
        <v/>
      </c>
      <c r="H64" t="str">
        <f ca="1">'Borehole Logging'!AZ64</f>
        <v/>
      </c>
      <c r="I64" t="str">
        <f ca="1">'Borehole Logging'!BA64</f>
        <v/>
      </c>
      <c r="J64" t="str">
        <f ca="1">'Borehole Logging'!BB64</f>
        <v/>
      </c>
      <c r="K64" t="str">
        <f ca="1">'Borehole Logging'!BC64</f>
        <v/>
      </c>
    </row>
    <row r="65" spans="1:11" x14ac:dyDescent="0.25">
      <c r="A65">
        <f>'Borehole Logging'!A65</f>
        <v>0</v>
      </c>
      <c r="B65">
        <f>'Borehole Logging'!C65</f>
        <v>0</v>
      </c>
      <c r="C65">
        <f>'Borehole Logging'!D65</f>
        <v>0</v>
      </c>
      <c r="E65">
        <f>'Borehole Logging'!F65</f>
        <v>0</v>
      </c>
      <c r="F65" t="str">
        <f ca="1">'Borehole Logging'!AX65</f>
        <v/>
      </c>
      <c r="G65" t="str">
        <f ca="1">'Borehole Logging'!AY65</f>
        <v/>
      </c>
      <c r="H65" t="str">
        <f ca="1">'Borehole Logging'!AZ65</f>
        <v/>
      </c>
      <c r="I65" t="str">
        <f ca="1">'Borehole Logging'!BA65</f>
        <v/>
      </c>
      <c r="J65" t="str">
        <f ca="1">'Borehole Logging'!BB65</f>
        <v/>
      </c>
      <c r="K65" t="str">
        <f ca="1">'Borehole Logging'!BC65</f>
        <v/>
      </c>
    </row>
    <row r="66" spans="1:11" x14ac:dyDescent="0.25">
      <c r="A66">
        <f>'Borehole Logging'!A66</f>
        <v>0</v>
      </c>
      <c r="B66">
        <f>'Borehole Logging'!C66</f>
        <v>0</v>
      </c>
      <c r="C66">
        <f>'Borehole Logging'!D66</f>
        <v>0</v>
      </c>
      <c r="E66">
        <f>'Borehole Logging'!F66</f>
        <v>0</v>
      </c>
      <c r="F66" t="str">
        <f ca="1">'Borehole Logging'!AX66</f>
        <v/>
      </c>
      <c r="G66" t="str">
        <f ca="1">'Borehole Logging'!AY66</f>
        <v/>
      </c>
      <c r="H66" t="str">
        <f ca="1">'Borehole Logging'!AZ66</f>
        <v/>
      </c>
      <c r="I66" t="str">
        <f ca="1">'Borehole Logging'!BA66</f>
        <v/>
      </c>
      <c r="J66" t="str">
        <f ca="1">'Borehole Logging'!BB66</f>
        <v/>
      </c>
      <c r="K66" t="str">
        <f ca="1">'Borehole Logging'!BC66</f>
        <v/>
      </c>
    </row>
    <row r="67" spans="1:11" x14ac:dyDescent="0.25">
      <c r="A67">
        <f>'Borehole Logging'!A67</f>
        <v>0</v>
      </c>
      <c r="B67">
        <f>'Borehole Logging'!C67</f>
        <v>0</v>
      </c>
      <c r="C67">
        <f>'Borehole Logging'!D67</f>
        <v>0</v>
      </c>
      <c r="E67">
        <f>'Borehole Logging'!F67</f>
        <v>0</v>
      </c>
      <c r="F67" t="str">
        <f ca="1">'Borehole Logging'!AX67</f>
        <v/>
      </c>
      <c r="G67" t="str">
        <f ca="1">'Borehole Logging'!AY67</f>
        <v/>
      </c>
      <c r="H67" t="str">
        <f ca="1">'Borehole Logging'!AZ67</f>
        <v/>
      </c>
      <c r="I67" t="str">
        <f ca="1">'Borehole Logging'!BA67</f>
        <v/>
      </c>
      <c r="J67" t="str">
        <f ca="1">'Borehole Logging'!BB67</f>
        <v/>
      </c>
      <c r="K67" t="str">
        <f ca="1">'Borehole Logging'!BC67</f>
        <v/>
      </c>
    </row>
    <row r="68" spans="1:11" x14ac:dyDescent="0.25">
      <c r="A68">
        <f>'Borehole Logging'!A68</f>
        <v>0</v>
      </c>
      <c r="B68">
        <f>'Borehole Logging'!C68</f>
        <v>0</v>
      </c>
      <c r="C68">
        <f>'Borehole Logging'!D68</f>
        <v>0</v>
      </c>
      <c r="E68">
        <f>'Borehole Logging'!F68</f>
        <v>0</v>
      </c>
      <c r="F68" t="str">
        <f ca="1">'Borehole Logging'!AX68</f>
        <v/>
      </c>
      <c r="G68" t="str">
        <f ca="1">'Borehole Logging'!AY68</f>
        <v/>
      </c>
      <c r="H68" t="str">
        <f ca="1">'Borehole Logging'!AZ68</f>
        <v/>
      </c>
      <c r="I68" t="str">
        <f ca="1">'Borehole Logging'!BA68</f>
        <v/>
      </c>
      <c r="J68" t="str">
        <f ca="1">'Borehole Logging'!BB68</f>
        <v/>
      </c>
      <c r="K68" t="str">
        <f ca="1">'Borehole Logging'!BC68</f>
        <v/>
      </c>
    </row>
    <row r="69" spans="1:11" x14ac:dyDescent="0.25">
      <c r="A69">
        <f>'Borehole Logging'!A69</f>
        <v>0</v>
      </c>
      <c r="B69">
        <f>'Borehole Logging'!C69</f>
        <v>0</v>
      </c>
      <c r="C69">
        <f>'Borehole Logging'!D69</f>
        <v>0</v>
      </c>
      <c r="E69">
        <f>'Borehole Logging'!F69</f>
        <v>0</v>
      </c>
      <c r="F69" t="str">
        <f ca="1">'Borehole Logging'!AX69</f>
        <v/>
      </c>
      <c r="G69" t="str">
        <f ca="1">'Borehole Logging'!AY69</f>
        <v/>
      </c>
      <c r="H69" t="str">
        <f ca="1">'Borehole Logging'!AZ69</f>
        <v/>
      </c>
      <c r="I69" t="str">
        <f ca="1">'Borehole Logging'!BA69</f>
        <v/>
      </c>
      <c r="J69" t="str">
        <f ca="1">'Borehole Logging'!BB69</f>
        <v/>
      </c>
      <c r="K69" t="str">
        <f ca="1">'Borehole Logging'!BC69</f>
        <v/>
      </c>
    </row>
    <row r="70" spans="1:11" x14ac:dyDescent="0.25">
      <c r="A70">
        <f>'Borehole Logging'!A70</f>
        <v>0</v>
      </c>
      <c r="B70">
        <f>'Borehole Logging'!C70</f>
        <v>0</v>
      </c>
      <c r="C70">
        <f>'Borehole Logging'!D70</f>
        <v>0</v>
      </c>
      <c r="E70">
        <f>'Borehole Logging'!F70</f>
        <v>0</v>
      </c>
      <c r="F70" t="str">
        <f ca="1">'Borehole Logging'!AX70</f>
        <v/>
      </c>
      <c r="G70" t="str">
        <f ca="1">'Borehole Logging'!AY70</f>
        <v/>
      </c>
      <c r="H70" t="str">
        <f ca="1">'Borehole Logging'!AZ70</f>
        <v/>
      </c>
      <c r="I70" t="str">
        <f ca="1">'Borehole Logging'!BA70</f>
        <v/>
      </c>
      <c r="J70" t="str">
        <f ca="1">'Borehole Logging'!BB70</f>
        <v/>
      </c>
      <c r="K70" t="str">
        <f ca="1">'Borehole Logging'!BC70</f>
        <v/>
      </c>
    </row>
    <row r="71" spans="1:11" x14ac:dyDescent="0.25">
      <c r="A71">
        <f>'Borehole Logging'!A71</f>
        <v>0</v>
      </c>
      <c r="B71">
        <f>'Borehole Logging'!C71</f>
        <v>0</v>
      </c>
      <c r="C71">
        <f>'Borehole Logging'!D71</f>
        <v>0</v>
      </c>
      <c r="E71">
        <f>'Borehole Logging'!F71</f>
        <v>0</v>
      </c>
      <c r="F71" t="str">
        <f ca="1">'Borehole Logging'!AX71</f>
        <v/>
      </c>
      <c r="G71" t="str">
        <f ca="1">'Borehole Logging'!AY71</f>
        <v/>
      </c>
      <c r="H71" t="str">
        <f ca="1">'Borehole Logging'!AZ71</f>
        <v/>
      </c>
      <c r="I71" t="str">
        <f ca="1">'Borehole Logging'!BA71</f>
        <v/>
      </c>
      <c r="J71" t="str">
        <f ca="1">'Borehole Logging'!BB71</f>
        <v/>
      </c>
      <c r="K71" t="str">
        <f ca="1">'Borehole Logging'!BC71</f>
        <v/>
      </c>
    </row>
    <row r="72" spans="1:11" x14ac:dyDescent="0.25">
      <c r="A72">
        <f>'Borehole Logging'!A72</f>
        <v>0</v>
      </c>
      <c r="B72">
        <f>'Borehole Logging'!C72</f>
        <v>0</v>
      </c>
      <c r="C72">
        <f>'Borehole Logging'!D72</f>
        <v>0</v>
      </c>
      <c r="E72">
        <f>'Borehole Logging'!F72</f>
        <v>0</v>
      </c>
      <c r="F72" t="str">
        <f ca="1">'Borehole Logging'!AX72</f>
        <v/>
      </c>
      <c r="G72" t="str">
        <f ca="1">'Borehole Logging'!AY72</f>
        <v/>
      </c>
      <c r="H72" t="str">
        <f ca="1">'Borehole Logging'!AZ72</f>
        <v/>
      </c>
      <c r="I72" t="str">
        <f ca="1">'Borehole Logging'!BA72</f>
        <v/>
      </c>
      <c r="J72" t="str">
        <f ca="1">'Borehole Logging'!BB72</f>
        <v/>
      </c>
      <c r="K72" t="str">
        <f ca="1">'Borehole Logging'!BC72</f>
        <v/>
      </c>
    </row>
    <row r="73" spans="1:11" x14ac:dyDescent="0.25">
      <c r="A73">
        <f>'Borehole Logging'!A73</f>
        <v>0</v>
      </c>
      <c r="B73">
        <f>'Borehole Logging'!C73</f>
        <v>0</v>
      </c>
      <c r="C73">
        <f>'Borehole Logging'!D73</f>
        <v>0</v>
      </c>
      <c r="E73">
        <f>'Borehole Logging'!F73</f>
        <v>0</v>
      </c>
      <c r="F73" t="str">
        <f ca="1">'Borehole Logging'!AX73</f>
        <v/>
      </c>
      <c r="G73" t="str">
        <f ca="1">'Borehole Logging'!AY73</f>
        <v/>
      </c>
      <c r="H73" t="str">
        <f ca="1">'Borehole Logging'!AZ73</f>
        <v/>
      </c>
      <c r="I73" t="str">
        <f ca="1">'Borehole Logging'!BA73</f>
        <v/>
      </c>
      <c r="J73" t="str">
        <f ca="1">'Borehole Logging'!BB73</f>
        <v/>
      </c>
      <c r="K73" t="str">
        <f ca="1">'Borehole Logging'!BC73</f>
        <v/>
      </c>
    </row>
    <row r="74" spans="1:11" x14ac:dyDescent="0.25">
      <c r="A74">
        <f>'Borehole Logging'!A74</f>
        <v>0</v>
      </c>
      <c r="B74">
        <f>'Borehole Logging'!C74</f>
        <v>0</v>
      </c>
      <c r="C74">
        <f>'Borehole Logging'!D74</f>
        <v>0</v>
      </c>
      <c r="E74">
        <f>'Borehole Logging'!F74</f>
        <v>0</v>
      </c>
      <c r="F74" t="str">
        <f ca="1">'Borehole Logging'!AX74</f>
        <v/>
      </c>
      <c r="G74" t="str">
        <f ca="1">'Borehole Logging'!AY74</f>
        <v/>
      </c>
      <c r="H74" t="str">
        <f ca="1">'Borehole Logging'!AZ74</f>
        <v/>
      </c>
      <c r="I74" t="str">
        <f ca="1">'Borehole Logging'!BA74</f>
        <v/>
      </c>
      <c r="J74" t="str">
        <f ca="1">'Borehole Logging'!BB74</f>
        <v/>
      </c>
      <c r="K74" t="str">
        <f ca="1">'Borehole Logging'!BC74</f>
        <v/>
      </c>
    </row>
    <row r="75" spans="1:11" x14ac:dyDescent="0.25">
      <c r="A75">
        <f>'Borehole Logging'!A75</f>
        <v>0</v>
      </c>
      <c r="B75">
        <f>'Borehole Logging'!C75</f>
        <v>0</v>
      </c>
      <c r="C75">
        <f>'Borehole Logging'!D75</f>
        <v>0</v>
      </c>
      <c r="E75">
        <f>'Borehole Logging'!F75</f>
        <v>0</v>
      </c>
      <c r="F75" t="str">
        <f ca="1">'Borehole Logging'!AX75</f>
        <v/>
      </c>
      <c r="G75" t="str">
        <f ca="1">'Borehole Logging'!AY75</f>
        <v/>
      </c>
      <c r="H75" t="str">
        <f ca="1">'Borehole Logging'!AZ75</f>
        <v/>
      </c>
      <c r="I75" t="str">
        <f ca="1">'Borehole Logging'!BA75</f>
        <v/>
      </c>
      <c r="J75" t="str">
        <f ca="1">'Borehole Logging'!BB75</f>
        <v/>
      </c>
      <c r="K75" t="str">
        <f ca="1">'Borehole Logging'!BC75</f>
        <v/>
      </c>
    </row>
    <row r="76" spans="1:11" x14ac:dyDescent="0.25">
      <c r="A76">
        <f>'Borehole Logging'!A76</f>
        <v>0</v>
      </c>
      <c r="B76">
        <f>'Borehole Logging'!C76</f>
        <v>0</v>
      </c>
      <c r="C76">
        <f>'Borehole Logging'!D76</f>
        <v>0</v>
      </c>
      <c r="E76">
        <f>'Borehole Logging'!F76</f>
        <v>0</v>
      </c>
      <c r="F76" t="str">
        <f ca="1">'Borehole Logging'!AX76</f>
        <v/>
      </c>
      <c r="G76" t="str">
        <f ca="1">'Borehole Logging'!AY76</f>
        <v/>
      </c>
      <c r="H76" t="str">
        <f ca="1">'Borehole Logging'!AZ76</f>
        <v/>
      </c>
      <c r="I76" t="str">
        <f ca="1">'Borehole Logging'!BA76</f>
        <v/>
      </c>
      <c r="J76" t="str">
        <f ca="1">'Borehole Logging'!BB76</f>
        <v/>
      </c>
      <c r="K76" t="str">
        <f ca="1">'Borehole Logging'!BC76</f>
        <v/>
      </c>
    </row>
    <row r="77" spans="1:11" x14ac:dyDescent="0.25">
      <c r="A77">
        <f>'Borehole Logging'!A77</f>
        <v>0</v>
      </c>
      <c r="B77">
        <f>'Borehole Logging'!C77</f>
        <v>0</v>
      </c>
      <c r="C77">
        <f>'Borehole Logging'!D77</f>
        <v>0</v>
      </c>
      <c r="E77">
        <f>'Borehole Logging'!F77</f>
        <v>0</v>
      </c>
      <c r="F77" t="str">
        <f ca="1">'Borehole Logging'!AX77</f>
        <v/>
      </c>
      <c r="G77" t="str">
        <f ca="1">'Borehole Logging'!AY77</f>
        <v/>
      </c>
      <c r="H77" t="str">
        <f ca="1">'Borehole Logging'!AZ77</f>
        <v/>
      </c>
      <c r="I77" t="str">
        <f ca="1">'Borehole Logging'!BA77</f>
        <v/>
      </c>
      <c r="J77" t="str">
        <f ca="1">'Borehole Logging'!BB77</f>
        <v/>
      </c>
      <c r="K77" t="str">
        <f ca="1">'Borehole Logging'!BC77</f>
        <v/>
      </c>
    </row>
    <row r="78" spans="1:11" x14ac:dyDescent="0.25">
      <c r="A78">
        <f>'Borehole Logging'!A78</f>
        <v>0</v>
      </c>
      <c r="B78">
        <f>'Borehole Logging'!C78</f>
        <v>0</v>
      </c>
      <c r="C78">
        <f>'Borehole Logging'!D78</f>
        <v>0</v>
      </c>
      <c r="E78">
        <f>'Borehole Logging'!F78</f>
        <v>0</v>
      </c>
      <c r="F78" t="str">
        <f ca="1">'Borehole Logging'!AX78</f>
        <v/>
      </c>
      <c r="G78" t="str">
        <f ca="1">'Borehole Logging'!AY78</f>
        <v/>
      </c>
      <c r="H78" t="str">
        <f ca="1">'Borehole Logging'!AZ78</f>
        <v/>
      </c>
      <c r="I78" t="str">
        <f ca="1">'Borehole Logging'!BA78</f>
        <v/>
      </c>
      <c r="J78" t="str">
        <f ca="1">'Borehole Logging'!BB78</f>
        <v/>
      </c>
      <c r="K78" t="str">
        <f ca="1">'Borehole Logging'!BC78</f>
        <v/>
      </c>
    </row>
    <row r="79" spans="1:11" x14ac:dyDescent="0.25">
      <c r="A79">
        <f>'Borehole Logging'!A79</f>
        <v>0</v>
      </c>
      <c r="B79">
        <f>'Borehole Logging'!C79</f>
        <v>0</v>
      </c>
      <c r="C79">
        <f>'Borehole Logging'!D79</f>
        <v>0</v>
      </c>
      <c r="E79">
        <f>'Borehole Logging'!F79</f>
        <v>0</v>
      </c>
      <c r="F79" t="str">
        <f ca="1">'Borehole Logging'!AX79</f>
        <v/>
      </c>
      <c r="G79" t="str">
        <f ca="1">'Borehole Logging'!AY79</f>
        <v/>
      </c>
      <c r="H79" t="str">
        <f ca="1">'Borehole Logging'!AZ79</f>
        <v/>
      </c>
      <c r="I79" t="str">
        <f ca="1">'Borehole Logging'!BA79</f>
        <v/>
      </c>
      <c r="J79" t="str">
        <f ca="1">'Borehole Logging'!BB79</f>
        <v/>
      </c>
      <c r="K79" t="str">
        <f ca="1">'Borehole Logging'!BC79</f>
        <v/>
      </c>
    </row>
    <row r="80" spans="1:11" x14ac:dyDescent="0.25">
      <c r="A80">
        <f>'Borehole Logging'!A80</f>
        <v>0</v>
      </c>
      <c r="B80">
        <f>'Borehole Logging'!C80</f>
        <v>0</v>
      </c>
      <c r="C80">
        <f>'Borehole Logging'!D80</f>
        <v>0</v>
      </c>
      <c r="E80">
        <f>'Borehole Logging'!F80</f>
        <v>0</v>
      </c>
      <c r="F80" t="str">
        <f ca="1">'Borehole Logging'!AX80</f>
        <v/>
      </c>
      <c r="G80" t="str">
        <f ca="1">'Borehole Logging'!AY80</f>
        <v/>
      </c>
      <c r="H80" t="str">
        <f ca="1">'Borehole Logging'!AZ80</f>
        <v/>
      </c>
      <c r="I80" t="str">
        <f ca="1">'Borehole Logging'!BA80</f>
        <v/>
      </c>
      <c r="J80" t="str">
        <f ca="1">'Borehole Logging'!BB80</f>
        <v/>
      </c>
      <c r="K80" t="str">
        <f ca="1">'Borehole Logging'!BC80</f>
        <v/>
      </c>
    </row>
    <row r="81" spans="1:11" x14ac:dyDescent="0.25">
      <c r="A81">
        <f>'Borehole Logging'!A81</f>
        <v>0</v>
      </c>
      <c r="B81">
        <f>'Borehole Logging'!C81</f>
        <v>0</v>
      </c>
      <c r="C81">
        <f>'Borehole Logging'!D81</f>
        <v>0</v>
      </c>
      <c r="E81">
        <f>'Borehole Logging'!F81</f>
        <v>0</v>
      </c>
      <c r="F81" t="str">
        <f ca="1">'Borehole Logging'!AX81</f>
        <v/>
      </c>
      <c r="G81" t="str">
        <f ca="1">'Borehole Logging'!AY81</f>
        <v/>
      </c>
      <c r="H81" t="str">
        <f ca="1">'Borehole Logging'!AZ81</f>
        <v/>
      </c>
      <c r="I81" t="str">
        <f ca="1">'Borehole Logging'!BA81</f>
        <v/>
      </c>
      <c r="J81" t="str">
        <f ca="1">'Borehole Logging'!BB81</f>
        <v/>
      </c>
      <c r="K81" t="str">
        <f ca="1">'Borehole Logging'!BC81</f>
        <v/>
      </c>
    </row>
    <row r="82" spans="1:11" x14ac:dyDescent="0.25">
      <c r="A82">
        <f>'Borehole Logging'!A82</f>
        <v>0</v>
      </c>
      <c r="B82">
        <f>'Borehole Logging'!C82</f>
        <v>0</v>
      </c>
      <c r="C82">
        <f>'Borehole Logging'!D82</f>
        <v>0</v>
      </c>
      <c r="E82">
        <f>'Borehole Logging'!F82</f>
        <v>0</v>
      </c>
      <c r="F82" t="str">
        <f ca="1">'Borehole Logging'!AX82</f>
        <v/>
      </c>
      <c r="G82" t="str">
        <f ca="1">'Borehole Logging'!AY82</f>
        <v/>
      </c>
      <c r="H82" t="str">
        <f ca="1">'Borehole Logging'!AZ82</f>
        <v/>
      </c>
      <c r="I82" t="str">
        <f ca="1">'Borehole Logging'!BA82</f>
        <v/>
      </c>
      <c r="J82" t="str">
        <f ca="1">'Borehole Logging'!BB82</f>
        <v/>
      </c>
      <c r="K82" t="str">
        <f ca="1">'Borehole Logging'!BC82</f>
        <v/>
      </c>
    </row>
    <row r="83" spans="1:11" x14ac:dyDescent="0.25">
      <c r="A83">
        <f>'Borehole Logging'!A83</f>
        <v>0</v>
      </c>
      <c r="B83">
        <f>'Borehole Logging'!C83</f>
        <v>0</v>
      </c>
      <c r="C83">
        <f>'Borehole Logging'!D83</f>
        <v>0</v>
      </c>
      <c r="E83">
        <f>'Borehole Logging'!F83</f>
        <v>0</v>
      </c>
      <c r="F83" t="str">
        <f ca="1">'Borehole Logging'!AX83</f>
        <v/>
      </c>
      <c r="G83" t="str">
        <f ca="1">'Borehole Logging'!AY83</f>
        <v/>
      </c>
      <c r="H83" t="str">
        <f ca="1">'Borehole Logging'!AZ83</f>
        <v/>
      </c>
      <c r="I83" t="str">
        <f ca="1">'Borehole Logging'!BA83</f>
        <v/>
      </c>
      <c r="J83" t="str">
        <f ca="1">'Borehole Logging'!BB83</f>
        <v/>
      </c>
      <c r="K83" t="str">
        <f ca="1">'Borehole Logging'!BC83</f>
        <v/>
      </c>
    </row>
    <row r="84" spans="1:11" x14ac:dyDescent="0.25">
      <c r="A84">
        <f>'Borehole Logging'!A84</f>
        <v>0</v>
      </c>
      <c r="B84">
        <f>'Borehole Logging'!C84</f>
        <v>0</v>
      </c>
      <c r="C84">
        <f>'Borehole Logging'!D84</f>
        <v>0</v>
      </c>
      <c r="E84">
        <f>'Borehole Logging'!F84</f>
        <v>0</v>
      </c>
      <c r="F84" t="str">
        <f ca="1">'Borehole Logging'!AX84</f>
        <v/>
      </c>
      <c r="G84" t="str">
        <f ca="1">'Borehole Logging'!AY84</f>
        <v/>
      </c>
      <c r="H84" t="str">
        <f ca="1">'Borehole Logging'!AZ84</f>
        <v/>
      </c>
      <c r="I84" t="str">
        <f ca="1">'Borehole Logging'!BA84</f>
        <v/>
      </c>
      <c r="J84" t="str">
        <f ca="1">'Borehole Logging'!BB84</f>
        <v/>
      </c>
      <c r="K84" t="str">
        <f ca="1">'Borehole Logging'!BC84</f>
        <v/>
      </c>
    </row>
    <row r="85" spans="1:11" x14ac:dyDescent="0.25">
      <c r="A85">
        <f>'Borehole Logging'!A85</f>
        <v>0</v>
      </c>
      <c r="B85">
        <f>'Borehole Logging'!C85</f>
        <v>0</v>
      </c>
      <c r="C85">
        <f>'Borehole Logging'!D85</f>
        <v>0</v>
      </c>
      <c r="E85">
        <f>'Borehole Logging'!F85</f>
        <v>0</v>
      </c>
      <c r="F85" t="str">
        <f ca="1">'Borehole Logging'!AX85</f>
        <v/>
      </c>
      <c r="G85" t="str">
        <f ca="1">'Borehole Logging'!AY85</f>
        <v/>
      </c>
      <c r="H85" t="str">
        <f ca="1">'Borehole Logging'!AZ85</f>
        <v/>
      </c>
      <c r="I85" t="str">
        <f ca="1">'Borehole Logging'!BA85</f>
        <v/>
      </c>
      <c r="J85" t="str">
        <f ca="1">'Borehole Logging'!BB85</f>
        <v/>
      </c>
      <c r="K85" t="str">
        <f ca="1">'Borehole Logging'!BC85</f>
        <v/>
      </c>
    </row>
    <row r="86" spans="1:11" x14ac:dyDescent="0.25">
      <c r="A86">
        <f>'Borehole Logging'!A86</f>
        <v>0</v>
      </c>
      <c r="B86">
        <f>'Borehole Logging'!C86</f>
        <v>0</v>
      </c>
      <c r="C86">
        <f>'Borehole Logging'!D86</f>
        <v>0</v>
      </c>
      <c r="E86">
        <f>'Borehole Logging'!F86</f>
        <v>0</v>
      </c>
      <c r="F86" t="str">
        <f ca="1">'Borehole Logging'!AX86</f>
        <v/>
      </c>
      <c r="G86" t="str">
        <f ca="1">'Borehole Logging'!AY86</f>
        <v/>
      </c>
      <c r="H86" t="str">
        <f ca="1">'Borehole Logging'!AZ86</f>
        <v/>
      </c>
      <c r="I86" t="str">
        <f ca="1">'Borehole Logging'!BA86</f>
        <v/>
      </c>
      <c r="J86" t="str">
        <f ca="1">'Borehole Logging'!BB86</f>
        <v/>
      </c>
      <c r="K86" t="str">
        <f ca="1">'Borehole Logging'!BC86</f>
        <v/>
      </c>
    </row>
    <row r="87" spans="1:11" x14ac:dyDescent="0.25">
      <c r="A87">
        <f>'Borehole Logging'!A87</f>
        <v>0</v>
      </c>
      <c r="B87">
        <f>'Borehole Logging'!C87</f>
        <v>0</v>
      </c>
      <c r="C87">
        <f>'Borehole Logging'!D87</f>
        <v>0</v>
      </c>
      <c r="E87">
        <f>'Borehole Logging'!F87</f>
        <v>0</v>
      </c>
      <c r="F87" t="str">
        <f ca="1">'Borehole Logging'!AX87</f>
        <v/>
      </c>
      <c r="G87" t="str">
        <f ca="1">'Borehole Logging'!AY87</f>
        <v/>
      </c>
      <c r="H87" t="str">
        <f ca="1">'Borehole Logging'!AZ87</f>
        <v/>
      </c>
      <c r="I87" t="str">
        <f ca="1">'Borehole Logging'!BA87</f>
        <v/>
      </c>
      <c r="J87" t="str">
        <f ca="1">'Borehole Logging'!BB87</f>
        <v/>
      </c>
      <c r="K87" t="str">
        <f ca="1">'Borehole Logging'!BC87</f>
        <v/>
      </c>
    </row>
    <row r="88" spans="1:11" x14ac:dyDescent="0.25">
      <c r="A88">
        <f>'Borehole Logging'!A88</f>
        <v>0</v>
      </c>
      <c r="B88">
        <f>'Borehole Logging'!C88</f>
        <v>0</v>
      </c>
      <c r="C88">
        <f>'Borehole Logging'!D88</f>
        <v>0</v>
      </c>
      <c r="E88">
        <f>'Borehole Logging'!F88</f>
        <v>0</v>
      </c>
      <c r="F88" t="str">
        <f ca="1">'Borehole Logging'!AX88</f>
        <v/>
      </c>
      <c r="G88" t="str">
        <f ca="1">'Borehole Logging'!AY88</f>
        <v/>
      </c>
      <c r="H88" t="str">
        <f ca="1">'Borehole Logging'!AZ88</f>
        <v/>
      </c>
      <c r="I88" t="str">
        <f ca="1">'Borehole Logging'!BA88</f>
        <v/>
      </c>
      <c r="J88" t="str">
        <f ca="1">'Borehole Logging'!BB88</f>
        <v/>
      </c>
      <c r="K88" t="str">
        <f ca="1">'Borehole Logging'!BC88</f>
        <v/>
      </c>
    </row>
    <row r="89" spans="1:11" x14ac:dyDescent="0.25">
      <c r="A89">
        <f>'Borehole Logging'!A89</f>
        <v>0</v>
      </c>
      <c r="B89">
        <f>'Borehole Logging'!C89</f>
        <v>0</v>
      </c>
      <c r="C89">
        <f>'Borehole Logging'!D89</f>
        <v>0</v>
      </c>
      <c r="E89">
        <f>'Borehole Logging'!F89</f>
        <v>0</v>
      </c>
      <c r="F89" t="str">
        <f ca="1">'Borehole Logging'!AX89</f>
        <v/>
      </c>
      <c r="G89" t="str">
        <f ca="1">'Borehole Logging'!AY89</f>
        <v/>
      </c>
      <c r="H89" t="str">
        <f ca="1">'Borehole Logging'!AZ89</f>
        <v/>
      </c>
      <c r="I89" t="str">
        <f ca="1">'Borehole Logging'!BA89</f>
        <v/>
      </c>
      <c r="J89" t="str">
        <f ca="1">'Borehole Logging'!BB89</f>
        <v/>
      </c>
      <c r="K89" t="str">
        <f ca="1">'Borehole Logging'!BC89</f>
        <v/>
      </c>
    </row>
    <row r="90" spans="1:11" x14ac:dyDescent="0.25">
      <c r="A90">
        <f>'Borehole Logging'!A90</f>
        <v>0</v>
      </c>
      <c r="B90">
        <f>'Borehole Logging'!C90</f>
        <v>0</v>
      </c>
      <c r="C90">
        <f>'Borehole Logging'!D90</f>
        <v>0</v>
      </c>
      <c r="E90">
        <f>'Borehole Logging'!F90</f>
        <v>0</v>
      </c>
      <c r="F90" t="str">
        <f ca="1">'Borehole Logging'!AX90</f>
        <v/>
      </c>
      <c r="G90" t="str">
        <f ca="1">'Borehole Logging'!AY90</f>
        <v/>
      </c>
      <c r="H90" t="str">
        <f ca="1">'Borehole Logging'!AZ90</f>
        <v/>
      </c>
      <c r="I90" t="str">
        <f ca="1">'Borehole Logging'!BA90</f>
        <v/>
      </c>
      <c r="J90" t="str">
        <f ca="1">'Borehole Logging'!BB90</f>
        <v/>
      </c>
      <c r="K90" t="str">
        <f ca="1">'Borehole Logging'!BC90</f>
        <v/>
      </c>
    </row>
    <row r="91" spans="1:11" x14ac:dyDescent="0.25">
      <c r="A91">
        <f>'Borehole Logging'!A91</f>
        <v>0</v>
      </c>
      <c r="B91">
        <f>'Borehole Logging'!C91</f>
        <v>0</v>
      </c>
      <c r="C91">
        <f>'Borehole Logging'!D91</f>
        <v>0</v>
      </c>
      <c r="E91">
        <f>'Borehole Logging'!F91</f>
        <v>0</v>
      </c>
      <c r="F91" t="str">
        <f ca="1">'Borehole Logging'!AX91</f>
        <v/>
      </c>
      <c r="G91" t="str">
        <f ca="1">'Borehole Logging'!AY91</f>
        <v/>
      </c>
      <c r="H91" t="str">
        <f ca="1">'Borehole Logging'!AZ91</f>
        <v/>
      </c>
      <c r="I91" t="str">
        <f ca="1">'Borehole Logging'!BA91</f>
        <v/>
      </c>
      <c r="J91" t="str">
        <f ca="1">'Borehole Logging'!BB91</f>
        <v/>
      </c>
      <c r="K91" t="str">
        <f ca="1">'Borehole Logging'!BC91</f>
        <v/>
      </c>
    </row>
    <row r="92" spans="1:11" x14ac:dyDescent="0.25">
      <c r="A92">
        <f>'Borehole Logging'!A92</f>
        <v>0</v>
      </c>
      <c r="B92">
        <f>'Borehole Logging'!C92</f>
        <v>0</v>
      </c>
      <c r="C92">
        <f>'Borehole Logging'!D92</f>
        <v>0</v>
      </c>
      <c r="E92">
        <f>'Borehole Logging'!F92</f>
        <v>0</v>
      </c>
      <c r="F92" t="str">
        <f ca="1">'Borehole Logging'!AX92</f>
        <v/>
      </c>
      <c r="G92" t="str">
        <f ca="1">'Borehole Logging'!AY92</f>
        <v/>
      </c>
      <c r="H92" t="str">
        <f ca="1">'Borehole Logging'!AZ92</f>
        <v/>
      </c>
      <c r="I92" t="str">
        <f ca="1">'Borehole Logging'!BA92</f>
        <v/>
      </c>
      <c r="J92" t="str">
        <f ca="1">'Borehole Logging'!BB92</f>
        <v/>
      </c>
      <c r="K92" t="str">
        <f ca="1">'Borehole Logging'!BC92</f>
        <v/>
      </c>
    </row>
    <row r="93" spans="1:11" x14ac:dyDescent="0.25">
      <c r="A93">
        <f>'Borehole Logging'!A93</f>
        <v>0</v>
      </c>
      <c r="B93">
        <f>'Borehole Logging'!C93</f>
        <v>0</v>
      </c>
      <c r="C93">
        <f>'Borehole Logging'!D93</f>
        <v>0</v>
      </c>
      <c r="E93">
        <f>'Borehole Logging'!F93</f>
        <v>0</v>
      </c>
      <c r="F93" t="str">
        <f ca="1">'Borehole Logging'!AX93</f>
        <v/>
      </c>
      <c r="G93" t="str">
        <f ca="1">'Borehole Logging'!AY93</f>
        <v/>
      </c>
      <c r="H93" t="str">
        <f ca="1">'Borehole Logging'!AZ93</f>
        <v/>
      </c>
      <c r="I93" t="str">
        <f ca="1">'Borehole Logging'!BA93</f>
        <v/>
      </c>
      <c r="J93" t="str">
        <f ca="1">'Borehole Logging'!BB93</f>
        <v/>
      </c>
      <c r="K93" t="str">
        <f ca="1">'Borehole Logging'!BC93</f>
        <v/>
      </c>
    </row>
    <row r="94" spans="1:11" x14ac:dyDescent="0.25">
      <c r="A94">
        <f>'Borehole Logging'!A94</f>
        <v>0</v>
      </c>
      <c r="B94">
        <f>'Borehole Logging'!C94</f>
        <v>0</v>
      </c>
      <c r="C94">
        <f>'Borehole Logging'!D94</f>
        <v>0</v>
      </c>
      <c r="E94">
        <f>'Borehole Logging'!F94</f>
        <v>0</v>
      </c>
      <c r="F94" t="str">
        <f ca="1">'Borehole Logging'!AX94</f>
        <v/>
      </c>
      <c r="G94" t="str">
        <f ca="1">'Borehole Logging'!AY94</f>
        <v/>
      </c>
      <c r="H94" t="str">
        <f ca="1">'Borehole Logging'!AZ94</f>
        <v/>
      </c>
      <c r="I94" t="str">
        <f ca="1">'Borehole Logging'!BA94</f>
        <v/>
      </c>
      <c r="J94" t="str">
        <f ca="1">'Borehole Logging'!BB94</f>
        <v/>
      </c>
      <c r="K94" t="str">
        <f ca="1">'Borehole Logging'!BC94</f>
        <v/>
      </c>
    </row>
    <row r="95" spans="1:11" x14ac:dyDescent="0.25">
      <c r="A95">
        <f>'Borehole Logging'!A95</f>
        <v>0</v>
      </c>
      <c r="B95">
        <f>'Borehole Logging'!C95</f>
        <v>0</v>
      </c>
      <c r="C95">
        <f>'Borehole Logging'!D95</f>
        <v>0</v>
      </c>
      <c r="E95">
        <f>'Borehole Logging'!F95</f>
        <v>0</v>
      </c>
      <c r="F95" t="str">
        <f ca="1">'Borehole Logging'!AX95</f>
        <v/>
      </c>
      <c r="G95" t="str">
        <f ca="1">'Borehole Logging'!AY95</f>
        <v/>
      </c>
      <c r="H95" t="str">
        <f ca="1">'Borehole Logging'!AZ95</f>
        <v/>
      </c>
      <c r="I95" t="str">
        <f ca="1">'Borehole Logging'!BA95</f>
        <v/>
      </c>
      <c r="J95" t="str">
        <f ca="1">'Borehole Logging'!BB95</f>
        <v/>
      </c>
      <c r="K95" t="str">
        <f ca="1">'Borehole Logging'!BC95</f>
        <v/>
      </c>
    </row>
    <row r="96" spans="1:11" x14ac:dyDescent="0.25">
      <c r="A96">
        <f>'Borehole Logging'!A96</f>
        <v>0</v>
      </c>
      <c r="B96">
        <f>'Borehole Logging'!C96</f>
        <v>0</v>
      </c>
      <c r="C96">
        <f>'Borehole Logging'!D96</f>
        <v>0</v>
      </c>
      <c r="E96">
        <f>'Borehole Logging'!F96</f>
        <v>0</v>
      </c>
      <c r="F96" t="str">
        <f ca="1">'Borehole Logging'!AX96</f>
        <v/>
      </c>
      <c r="G96" t="str">
        <f ca="1">'Borehole Logging'!AY96</f>
        <v/>
      </c>
      <c r="H96" t="str">
        <f ca="1">'Borehole Logging'!AZ96</f>
        <v/>
      </c>
      <c r="I96" t="str">
        <f ca="1">'Borehole Logging'!BA96</f>
        <v/>
      </c>
      <c r="J96" t="str">
        <f ca="1">'Borehole Logging'!BB96</f>
        <v/>
      </c>
      <c r="K96" t="str">
        <f ca="1">'Borehole Logging'!BC96</f>
        <v/>
      </c>
    </row>
    <row r="97" spans="1:11" x14ac:dyDescent="0.25">
      <c r="A97">
        <f>'Borehole Logging'!A97</f>
        <v>0</v>
      </c>
      <c r="B97">
        <f>'Borehole Logging'!C97</f>
        <v>0</v>
      </c>
      <c r="C97">
        <f>'Borehole Logging'!D97</f>
        <v>0</v>
      </c>
      <c r="E97">
        <f>'Borehole Logging'!F97</f>
        <v>0</v>
      </c>
      <c r="F97" t="str">
        <f ca="1">'Borehole Logging'!AX97</f>
        <v/>
      </c>
      <c r="G97" t="str">
        <f ca="1">'Borehole Logging'!AY97</f>
        <v/>
      </c>
      <c r="H97" t="str">
        <f ca="1">'Borehole Logging'!AZ97</f>
        <v/>
      </c>
      <c r="I97" t="str">
        <f ca="1">'Borehole Logging'!BA97</f>
        <v/>
      </c>
      <c r="J97" t="str">
        <f ca="1">'Borehole Logging'!BB97</f>
        <v/>
      </c>
      <c r="K97" t="str">
        <f ca="1">'Borehole Logging'!BC97</f>
        <v/>
      </c>
    </row>
    <row r="98" spans="1:11" x14ac:dyDescent="0.25">
      <c r="A98">
        <f>'Borehole Logging'!A98</f>
        <v>0</v>
      </c>
      <c r="B98">
        <f>'Borehole Logging'!C98</f>
        <v>0</v>
      </c>
      <c r="C98">
        <f>'Borehole Logging'!D98</f>
        <v>0</v>
      </c>
      <c r="E98">
        <f>'Borehole Logging'!F98</f>
        <v>0</v>
      </c>
      <c r="F98" t="str">
        <f ca="1">'Borehole Logging'!AX98</f>
        <v/>
      </c>
      <c r="G98" t="str">
        <f ca="1">'Borehole Logging'!AY98</f>
        <v/>
      </c>
      <c r="H98" t="str">
        <f ca="1">'Borehole Logging'!AZ98</f>
        <v/>
      </c>
      <c r="I98" t="str">
        <f ca="1">'Borehole Logging'!BA98</f>
        <v/>
      </c>
      <c r="J98" t="str">
        <f ca="1">'Borehole Logging'!BB98</f>
        <v/>
      </c>
      <c r="K98" t="str">
        <f ca="1">'Borehole Logging'!BC98</f>
        <v/>
      </c>
    </row>
    <row r="99" spans="1:11" x14ac:dyDescent="0.25">
      <c r="A99">
        <f>'Borehole Logging'!A99</f>
        <v>0</v>
      </c>
      <c r="B99">
        <f>'Borehole Logging'!C99</f>
        <v>0</v>
      </c>
      <c r="C99">
        <f>'Borehole Logging'!D99</f>
        <v>0</v>
      </c>
      <c r="E99">
        <f>'Borehole Logging'!F99</f>
        <v>0</v>
      </c>
      <c r="F99" t="str">
        <f ca="1">'Borehole Logging'!AX99</f>
        <v/>
      </c>
      <c r="G99" t="str">
        <f ca="1">'Borehole Logging'!AY99</f>
        <v/>
      </c>
      <c r="H99" t="str">
        <f ca="1">'Borehole Logging'!AZ99</f>
        <v/>
      </c>
      <c r="I99" t="str">
        <f ca="1">'Borehole Logging'!BA99</f>
        <v/>
      </c>
      <c r="J99" t="str">
        <f ca="1">'Borehole Logging'!BB99</f>
        <v/>
      </c>
      <c r="K99" t="str">
        <f ca="1">'Borehole Logging'!BC99</f>
        <v/>
      </c>
    </row>
    <row r="100" spans="1:11" x14ac:dyDescent="0.25">
      <c r="A100">
        <f>'Borehole Logging'!A100</f>
        <v>0</v>
      </c>
      <c r="B100">
        <f>'Borehole Logging'!C100</f>
        <v>0</v>
      </c>
      <c r="C100">
        <f>'Borehole Logging'!D100</f>
        <v>0</v>
      </c>
      <c r="E100">
        <f>'Borehole Logging'!F100</f>
        <v>0</v>
      </c>
      <c r="F100" t="str">
        <f ca="1">'Borehole Logging'!AX100</f>
        <v/>
      </c>
      <c r="G100" t="str">
        <f ca="1">'Borehole Logging'!AY100</f>
        <v/>
      </c>
      <c r="H100" t="str">
        <f ca="1">'Borehole Logging'!AZ100</f>
        <v/>
      </c>
      <c r="I100" t="str">
        <f ca="1">'Borehole Logging'!BA100</f>
        <v/>
      </c>
      <c r="J100" t="str">
        <f ca="1">'Borehole Logging'!BB100</f>
        <v/>
      </c>
      <c r="K100" t="str">
        <f ca="1">'Borehole Logging'!BC100</f>
        <v/>
      </c>
    </row>
    <row r="101" spans="1:11" x14ac:dyDescent="0.25">
      <c r="A101">
        <f>'Borehole Logging'!A101</f>
        <v>0</v>
      </c>
      <c r="B101">
        <f>'Borehole Logging'!C101</f>
        <v>0</v>
      </c>
      <c r="C101">
        <f>'Borehole Logging'!D101</f>
        <v>0</v>
      </c>
      <c r="E101">
        <f>'Borehole Logging'!F101</f>
        <v>0</v>
      </c>
      <c r="F101" t="str">
        <f ca="1">'Borehole Logging'!AX101</f>
        <v/>
      </c>
      <c r="G101" t="str">
        <f ca="1">'Borehole Logging'!AY101</f>
        <v/>
      </c>
      <c r="H101" t="str">
        <f ca="1">'Borehole Logging'!AZ101</f>
        <v/>
      </c>
      <c r="I101" t="str">
        <f ca="1">'Borehole Logging'!BA101</f>
        <v/>
      </c>
      <c r="J101" t="str">
        <f ca="1">'Borehole Logging'!BB101</f>
        <v/>
      </c>
      <c r="K101" t="str">
        <f ca="1">'Borehole Logging'!BC101</f>
        <v/>
      </c>
    </row>
    <row r="102" spans="1:11" x14ac:dyDescent="0.25">
      <c r="A102">
        <f>'Borehole Logging'!A102</f>
        <v>0</v>
      </c>
      <c r="B102">
        <f>'Borehole Logging'!C102</f>
        <v>0</v>
      </c>
      <c r="C102">
        <f>'Borehole Logging'!D102</f>
        <v>0</v>
      </c>
      <c r="E102">
        <f>'Borehole Logging'!F102</f>
        <v>0</v>
      </c>
      <c r="F102" t="str">
        <f ca="1">'Borehole Logging'!AX102</f>
        <v/>
      </c>
      <c r="G102" t="str">
        <f ca="1">'Borehole Logging'!AY102</f>
        <v/>
      </c>
      <c r="H102" t="str">
        <f ca="1">'Borehole Logging'!AZ102</f>
        <v/>
      </c>
      <c r="I102" t="str">
        <f ca="1">'Borehole Logging'!BA102</f>
        <v/>
      </c>
      <c r="J102" t="str">
        <f ca="1">'Borehole Logging'!BB102</f>
        <v/>
      </c>
      <c r="K102" t="str">
        <f ca="1">'Borehole Logging'!BC102</f>
        <v/>
      </c>
    </row>
    <row r="103" spans="1:11" x14ac:dyDescent="0.25">
      <c r="A103">
        <f>'Borehole Logging'!A103</f>
        <v>0</v>
      </c>
      <c r="B103">
        <f>'Borehole Logging'!C103</f>
        <v>0</v>
      </c>
      <c r="C103">
        <f>'Borehole Logging'!D103</f>
        <v>0</v>
      </c>
      <c r="E103">
        <f>'Borehole Logging'!F103</f>
        <v>0</v>
      </c>
      <c r="F103" t="str">
        <f ca="1">'Borehole Logging'!AX103</f>
        <v/>
      </c>
      <c r="G103" t="str">
        <f ca="1">'Borehole Logging'!AY103</f>
        <v/>
      </c>
      <c r="H103" t="str">
        <f ca="1">'Borehole Logging'!AZ103</f>
        <v/>
      </c>
      <c r="I103" t="str">
        <f ca="1">'Borehole Logging'!BA103</f>
        <v/>
      </c>
      <c r="J103" t="str">
        <f ca="1">'Borehole Logging'!BB103</f>
        <v/>
      </c>
      <c r="K103" t="str">
        <f ca="1">'Borehole Logging'!BC103</f>
        <v/>
      </c>
    </row>
    <row r="104" spans="1:11" x14ac:dyDescent="0.25">
      <c r="A104">
        <f>'Borehole Logging'!A104</f>
        <v>0</v>
      </c>
      <c r="B104">
        <f>'Borehole Logging'!C104</f>
        <v>0</v>
      </c>
      <c r="C104">
        <f>'Borehole Logging'!D104</f>
        <v>0</v>
      </c>
      <c r="E104">
        <f>'Borehole Logging'!F104</f>
        <v>0</v>
      </c>
      <c r="F104" t="str">
        <f ca="1">'Borehole Logging'!AX104</f>
        <v/>
      </c>
      <c r="G104" t="str">
        <f ca="1">'Borehole Logging'!AY104</f>
        <v/>
      </c>
      <c r="H104" t="str">
        <f ca="1">'Borehole Logging'!AZ104</f>
        <v/>
      </c>
      <c r="I104" t="str">
        <f ca="1">'Borehole Logging'!BA104</f>
        <v/>
      </c>
      <c r="J104" t="str">
        <f ca="1">'Borehole Logging'!BB104</f>
        <v/>
      </c>
      <c r="K104" t="str">
        <f ca="1">'Borehole Logging'!BC104</f>
        <v/>
      </c>
    </row>
    <row r="105" spans="1:11" x14ac:dyDescent="0.25">
      <c r="A105">
        <f>'Borehole Logging'!A105</f>
        <v>0</v>
      </c>
      <c r="B105">
        <f>'Borehole Logging'!C105</f>
        <v>0</v>
      </c>
      <c r="C105">
        <f>'Borehole Logging'!D105</f>
        <v>0</v>
      </c>
      <c r="E105">
        <f>'Borehole Logging'!F105</f>
        <v>0</v>
      </c>
      <c r="F105" t="str">
        <f ca="1">'Borehole Logging'!AX105</f>
        <v/>
      </c>
      <c r="G105" t="str">
        <f ca="1">'Borehole Logging'!AY105</f>
        <v/>
      </c>
      <c r="H105" t="str">
        <f ca="1">'Borehole Logging'!AZ105</f>
        <v/>
      </c>
      <c r="I105" t="str">
        <f ca="1">'Borehole Logging'!BA105</f>
        <v/>
      </c>
      <c r="J105" t="str">
        <f ca="1">'Borehole Logging'!BB105</f>
        <v/>
      </c>
      <c r="K105" t="str">
        <f ca="1">'Borehole Logging'!BC105</f>
        <v/>
      </c>
    </row>
    <row r="106" spans="1:11" x14ac:dyDescent="0.25">
      <c r="A106">
        <f>'Borehole Logging'!A106</f>
        <v>0</v>
      </c>
      <c r="B106">
        <f>'Borehole Logging'!C106</f>
        <v>0</v>
      </c>
      <c r="C106">
        <f>'Borehole Logging'!D106</f>
        <v>0</v>
      </c>
      <c r="E106">
        <f>'Borehole Logging'!F106</f>
        <v>0</v>
      </c>
      <c r="F106" t="str">
        <f ca="1">'Borehole Logging'!AX106</f>
        <v/>
      </c>
      <c r="G106" t="str">
        <f ca="1">'Borehole Logging'!AY106</f>
        <v/>
      </c>
      <c r="H106" t="str">
        <f ca="1">'Borehole Logging'!AZ106</f>
        <v/>
      </c>
      <c r="I106" t="str">
        <f ca="1">'Borehole Logging'!BA106</f>
        <v/>
      </c>
      <c r="J106" t="str">
        <f ca="1">'Borehole Logging'!BB106</f>
        <v/>
      </c>
      <c r="K106" t="str">
        <f ca="1">'Borehole Logging'!BC106</f>
        <v/>
      </c>
    </row>
    <row r="107" spans="1:11" x14ac:dyDescent="0.25">
      <c r="A107">
        <f>'Borehole Logging'!A107</f>
        <v>0</v>
      </c>
      <c r="B107">
        <f>'Borehole Logging'!C107</f>
        <v>0</v>
      </c>
      <c r="C107">
        <f>'Borehole Logging'!D107</f>
        <v>0</v>
      </c>
      <c r="E107">
        <f>'Borehole Logging'!F107</f>
        <v>0</v>
      </c>
      <c r="F107" t="str">
        <f ca="1">'Borehole Logging'!AX107</f>
        <v/>
      </c>
      <c r="G107" t="str">
        <f ca="1">'Borehole Logging'!AY107</f>
        <v/>
      </c>
      <c r="H107" t="str">
        <f ca="1">'Borehole Logging'!AZ107</f>
        <v/>
      </c>
      <c r="I107" t="str">
        <f ca="1">'Borehole Logging'!BA107</f>
        <v/>
      </c>
      <c r="J107" t="str">
        <f ca="1">'Borehole Logging'!BB107</f>
        <v/>
      </c>
      <c r="K107" t="str">
        <f ca="1">'Borehole Logging'!BC107</f>
        <v/>
      </c>
    </row>
    <row r="108" spans="1:11" x14ac:dyDescent="0.25">
      <c r="A108">
        <f>'Borehole Logging'!A108</f>
        <v>0</v>
      </c>
      <c r="B108">
        <f>'Borehole Logging'!C108</f>
        <v>0</v>
      </c>
      <c r="C108">
        <f>'Borehole Logging'!D108</f>
        <v>0</v>
      </c>
      <c r="E108">
        <f>'Borehole Logging'!F108</f>
        <v>0</v>
      </c>
      <c r="F108" t="str">
        <f ca="1">'Borehole Logging'!AX108</f>
        <v/>
      </c>
      <c r="G108" t="str">
        <f ca="1">'Borehole Logging'!AY108</f>
        <v/>
      </c>
      <c r="H108" t="str">
        <f ca="1">'Borehole Logging'!AZ108</f>
        <v/>
      </c>
      <c r="I108" t="str">
        <f ca="1">'Borehole Logging'!BA108</f>
        <v/>
      </c>
      <c r="J108" t="str">
        <f ca="1">'Borehole Logging'!BB108</f>
        <v/>
      </c>
      <c r="K108" t="str">
        <f ca="1">'Borehole Logging'!BC108</f>
        <v/>
      </c>
    </row>
    <row r="109" spans="1:11" x14ac:dyDescent="0.25">
      <c r="A109">
        <f>'Borehole Logging'!A109</f>
        <v>0</v>
      </c>
      <c r="B109">
        <f>'Borehole Logging'!C109</f>
        <v>0</v>
      </c>
      <c r="C109">
        <f>'Borehole Logging'!D109</f>
        <v>0</v>
      </c>
      <c r="E109">
        <f>'Borehole Logging'!F109</f>
        <v>0</v>
      </c>
      <c r="F109" t="str">
        <f ca="1">'Borehole Logging'!AX109</f>
        <v/>
      </c>
      <c r="G109" t="str">
        <f ca="1">'Borehole Logging'!AY109</f>
        <v/>
      </c>
      <c r="H109" t="str">
        <f ca="1">'Borehole Logging'!AZ109</f>
        <v/>
      </c>
      <c r="I109" t="str">
        <f ca="1">'Borehole Logging'!BA109</f>
        <v/>
      </c>
      <c r="J109" t="str">
        <f ca="1">'Borehole Logging'!BB109</f>
        <v/>
      </c>
      <c r="K109" t="str">
        <f ca="1">'Borehole Logging'!BC109</f>
        <v/>
      </c>
    </row>
    <row r="110" spans="1:11" x14ac:dyDescent="0.25">
      <c r="A110">
        <f>'Borehole Logging'!A110</f>
        <v>0</v>
      </c>
      <c r="B110">
        <f>'Borehole Logging'!C110</f>
        <v>0</v>
      </c>
      <c r="C110">
        <f>'Borehole Logging'!D110</f>
        <v>0</v>
      </c>
      <c r="E110">
        <f>'Borehole Logging'!F110</f>
        <v>0</v>
      </c>
      <c r="F110" t="str">
        <f ca="1">'Borehole Logging'!AX110</f>
        <v/>
      </c>
      <c r="G110" t="str">
        <f ca="1">'Borehole Logging'!AY110</f>
        <v/>
      </c>
      <c r="H110" t="str">
        <f ca="1">'Borehole Logging'!AZ110</f>
        <v/>
      </c>
      <c r="I110" t="str">
        <f ca="1">'Borehole Logging'!BA110</f>
        <v/>
      </c>
      <c r="J110" t="str">
        <f ca="1">'Borehole Logging'!BB110</f>
        <v/>
      </c>
      <c r="K110" t="str">
        <f ca="1">'Borehole Logging'!BC110</f>
        <v/>
      </c>
    </row>
    <row r="111" spans="1:11" x14ac:dyDescent="0.25">
      <c r="A111">
        <f>'Borehole Logging'!A111</f>
        <v>0</v>
      </c>
      <c r="B111">
        <f>'Borehole Logging'!C111</f>
        <v>0</v>
      </c>
      <c r="C111">
        <f>'Borehole Logging'!D111</f>
        <v>0</v>
      </c>
      <c r="E111">
        <f>'Borehole Logging'!F111</f>
        <v>0</v>
      </c>
      <c r="F111" t="str">
        <f ca="1">'Borehole Logging'!AX111</f>
        <v/>
      </c>
      <c r="G111" t="str">
        <f ca="1">'Borehole Logging'!AY111</f>
        <v/>
      </c>
      <c r="H111" t="str">
        <f ca="1">'Borehole Logging'!AZ111</f>
        <v/>
      </c>
      <c r="I111" t="str">
        <f ca="1">'Borehole Logging'!BA111</f>
        <v/>
      </c>
      <c r="J111" t="str">
        <f ca="1">'Borehole Logging'!BB111</f>
        <v/>
      </c>
      <c r="K111" t="str">
        <f ca="1">'Borehole Logging'!BC111</f>
        <v/>
      </c>
    </row>
    <row r="112" spans="1:11" x14ac:dyDescent="0.25">
      <c r="A112">
        <f>'Borehole Logging'!A112</f>
        <v>0</v>
      </c>
      <c r="B112">
        <f>'Borehole Logging'!C112</f>
        <v>0</v>
      </c>
      <c r="C112">
        <f>'Borehole Logging'!D112</f>
        <v>0</v>
      </c>
      <c r="E112">
        <f>'Borehole Logging'!F112</f>
        <v>0</v>
      </c>
      <c r="F112" t="str">
        <f ca="1">'Borehole Logging'!AX112</f>
        <v/>
      </c>
      <c r="G112" t="str">
        <f ca="1">'Borehole Logging'!AY112</f>
        <v/>
      </c>
      <c r="H112" t="str">
        <f ca="1">'Borehole Logging'!AZ112</f>
        <v/>
      </c>
      <c r="I112" t="str">
        <f ca="1">'Borehole Logging'!BA112</f>
        <v/>
      </c>
      <c r="J112" t="str">
        <f ca="1">'Borehole Logging'!BB112</f>
        <v/>
      </c>
      <c r="K112" t="str">
        <f ca="1">'Borehole Logging'!BC112</f>
        <v/>
      </c>
    </row>
    <row r="113" spans="1:11" x14ac:dyDescent="0.25">
      <c r="A113">
        <f>'Borehole Logging'!A113</f>
        <v>0</v>
      </c>
      <c r="B113">
        <f>'Borehole Logging'!C113</f>
        <v>0</v>
      </c>
      <c r="C113">
        <f>'Borehole Logging'!D113</f>
        <v>0</v>
      </c>
      <c r="E113">
        <f>'Borehole Logging'!F113</f>
        <v>0</v>
      </c>
      <c r="F113" t="str">
        <f ca="1">'Borehole Logging'!AX113</f>
        <v/>
      </c>
      <c r="G113" t="str">
        <f ca="1">'Borehole Logging'!AY113</f>
        <v/>
      </c>
      <c r="H113" t="str">
        <f ca="1">'Borehole Logging'!AZ113</f>
        <v/>
      </c>
      <c r="I113" t="str">
        <f ca="1">'Borehole Logging'!BA113</f>
        <v/>
      </c>
      <c r="J113" t="str">
        <f ca="1">'Borehole Logging'!BB113</f>
        <v/>
      </c>
      <c r="K113" t="str">
        <f ca="1">'Borehole Logging'!BC113</f>
        <v/>
      </c>
    </row>
    <row r="114" spans="1:11" x14ac:dyDescent="0.25">
      <c r="A114">
        <f>'Borehole Logging'!A114</f>
        <v>0</v>
      </c>
      <c r="B114">
        <f>'Borehole Logging'!C114</f>
        <v>0</v>
      </c>
      <c r="C114">
        <f>'Borehole Logging'!D114</f>
        <v>0</v>
      </c>
      <c r="E114">
        <f>'Borehole Logging'!F114</f>
        <v>0</v>
      </c>
      <c r="F114" t="str">
        <f ca="1">'Borehole Logging'!AX114</f>
        <v/>
      </c>
      <c r="G114" t="str">
        <f ca="1">'Borehole Logging'!AY114</f>
        <v/>
      </c>
      <c r="H114" t="str">
        <f ca="1">'Borehole Logging'!AZ114</f>
        <v/>
      </c>
      <c r="I114" t="str">
        <f ca="1">'Borehole Logging'!BA114</f>
        <v/>
      </c>
      <c r="J114" t="str">
        <f ca="1">'Borehole Logging'!BB114</f>
        <v/>
      </c>
      <c r="K114" t="str">
        <f ca="1">'Borehole Logging'!BC114</f>
        <v/>
      </c>
    </row>
    <row r="115" spans="1:11" x14ac:dyDescent="0.25">
      <c r="A115">
        <f>'Borehole Logging'!A115</f>
        <v>0</v>
      </c>
      <c r="B115">
        <f>'Borehole Logging'!C115</f>
        <v>0</v>
      </c>
      <c r="C115">
        <f>'Borehole Logging'!D115</f>
        <v>0</v>
      </c>
      <c r="E115">
        <f>'Borehole Logging'!F115</f>
        <v>0</v>
      </c>
      <c r="F115" t="str">
        <f ca="1">'Borehole Logging'!AX115</f>
        <v/>
      </c>
      <c r="G115" t="str">
        <f ca="1">'Borehole Logging'!AY115</f>
        <v/>
      </c>
      <c r="H115" t="str">
        <f ca="1">'Borehole Logging'!AZ115</f>
        <v/>
      </c>
      <c r="I115" t="str">
        <f ca="1">'Borehole Logging'!BA115</f>
        <v/>
      </c>
      <c r="J115" t="str">
        <f ca="1">'Borehole Logging'!BB115</f>
        <v/>
      </c>
      <c r="K115" t="str">
        <f ca="1">'Borehole Logging'!BC115</f>
        <v/>
      </c>
    </row>
    <row r="116" spans="1:11" x14ac:dyDescent="0.25">
      <c r="A116">
        <f>'Borehole Logging'!A116</f>
        <v>0</v>
      </c>
      <c r="B116">
        <f>'Borehole Logging'!C116</f>
        <v>0</v>
      </c>
      <c r="C116">
        <f>'Borehole Logging'!D116</f>
        <v>0</v>
      </c>
      <c r="E116">
        <f>'Borehole Logging'!F116</f>
        <v>0</v>
      </c>
      <c r="F116" t="str">
        <f ca="1">'Borehole Logging'!AX116</f>
        <v/>
      </c>
      <c r="G116" t="str">
        <f ca="1">'Borehole Logging'!AY116</f>
        <v/>
      </c>
      <c r="H116" t="str">
        <f ca="1">'Borehole Logging'!AZ116</f>
        <v/>
      </c>
      <c r="I116" t="str">
        <f ca="1">'Borehole Logging'!BA116</f>
        <v/>
      </c>
      <c r="J116" t="str">
        <f ca="1">'Borehole Logging'!BB116</f>
        <v/>
      </c>
      <c r="K116" t="str">
        <f ca="1">'Borehole Logging'!BC116</f>
        <v/>
      </c>
    </row>
    <row r="117" spans="1:11" x14ac:dyDescent="0.25">
      <c r="A117">
        <f>'Borehole Logging'!A117</f>
        <v>0</v>
      </c>
      <c r="B117">
        <f>'Borehole Logging'!C117</f>
        <v>0</v>
      </c>
      <c r="C117">
        <f>'Borehole Logging'!D117</f>
        <v>0</v>
      </c>
      <c r="E117">
        <f>'Borehole Logging'!F117</f>
        <v>0</v>
      </c>
      <c r="F117" t="str">
        <f ca="1">'Borehole Logging'!AX117</f>
        <v/>
      </c>
      <c r="G117" t="str">
        <f ca="1">'Borehole Logging'!AY117</f>
        <v/>
      </c>
      <c r="H117" t="str">
        <f ca="1">'Borehole Logging'!AZ117</f>
        <v/>
      </c>
      <c r="I117" t="str">
        <f ca="1">'Borehole Logging'!BA117</f>
        <v/>
      </c>
      <c r="J117" t="str">
        <f ca="1">'Borehole Logging'!BB117</f>
        <v/>
      </c>
      <c r="K117" t="str">
        <f ca="1">'Borehole Logging'!BC117</f>
        <v/>
      </c>
    </row>
    <row r="118" spans="1:11" x14ac:dyDescent="0.25">
      <c r="A118">
        <f>'Borehole Logging'!A118</f>
        <v>0</v>
      </c>
      <c r="B118">
        <f>'Borehole Logging'!C118</f>
        <v>0</v>
      </c>
      <c r="C118">
        <f>'Borehole Logging'!D118</f>
        <v>0</v>
      </c>
      <c r="E118">
        <f>'Borehole Logging'!F118</f>
        <v>0</v>
      </c>
      <c r="F118" t="str">
        <f ca="1">'Borehole Logging'!AX118</f>
        <v/>
      </c>
      <c r="G118" t="str">
        <f ca="1">'Borehole Logging'!AY118</f>
        <v/>
      </c>
      <c r="H118" t="str">
        <f ca="1">'Borehole Logging'!AZ118</f>
        <v/>
      </c>
      <c r="I118" t="str">
        <f ca="1">'Borehole Logging'!BA118</f>
        <v/>
      </c>
      <c r="J118" t="str">
        <f ca="1">'Borehole Logging'!BB118</f>
        <v/>
      </c>
      <c r="K118" t="str">
        <f ca="1">'Borehole Logging'!BC118</f>
        <v/>
      </c>
    </row>
    <row r="119" spans="1:11" x14ac:dyDescent="0.25">
      <c r="A119">
        <f>'Borehole Logging'!A119</f>
        <v>0</v>
      </c>
      <c r="B119">
        <f>'Borehole Logging'!C119</f>
        <v>0</v>
      </c>
      <c r="C119">
        <f>'Borehole Logging'!D119</f>
        <v>0</v>
      </c>
      <c r="E119">
        <f>'Borehole Logging'!F119</f>
        <v>0</v>
      </c>
      <c r="F119" t="str">
        <f ca="1">'Borehole Logging'!AX119</f>
        <v/>
      </c>
      <c r="G119" t="str">
        <f ca="1">'Borehole Logging'!AY119</f>
        <v/>
      </c>
      <c r="H119" t="str">
        <f ca="1">'Borehole Logging'!AZ119</f>
        <v/>
      </c>
      <c r="I119" t="str">
        <f ca="1">'Borehole Logging'!BA119</f>
        <v/>
      </c>
      <c r="J119" t="str">
        <f ca="1">'Borehole Logging'!BB119</f>
        <v/>
      </c>
      <c r="K119" t="str">
        <f ca="1">'Borehole Logging'!BC119</f>
        <v/>
      </c>
    </row>
    <row r="120" spans="1:11" x14ac:dyDescent="0.25">
      <c r="A120">
        <f>'Borehole Logging'!A120</f>
        <v>0</v>
      </c>
      <c r="B120">
        <f>'Borehole Logging'!C120</f>
        <v>0</v>
      </c>
      <c r="C120">
        <f>'Borehole Logging'!D120</f>
        <v>0</v>
      </c>
      <c r="E120">
        <f>'Borehole Logging'!F120</f>
        <v>0</v>
      </c>
      <c r="F120" t="str">
        <f ca="1">'Borehole Logging'!AX120</f>
        <v/>
      </c>
      <c r="G120" t="str">
        <f ca="1">'Borehole Logging'!AY120</f>
        <v/>
      </c>
      <c r="H120" t="str">
        <f ca="1">'Borehole Logging'!AZ120</f>
        <v/>
      </c>
      <c r="I120" t="str">
        <f ca="1">'Borehole Logging'!BA120</f>
        <v/>
      </c>
      <c r="J120" t="str">
        <f ca="1">'Borehole Logging'!BB120</f>
        <v/>
      </c>
      <c r="K120" t="str">
        <f ca="1">'Borehole Logging'!BC120</f>
        <v/>
      </c>
    </row>
    <row r="121" spans="1:11" x14ac:dyDescent="0.25">
      <c r="A121">
        <f>'Borehole Logging'!A121</f>
        <v>0</v>
      </c>
      <c r="B121">
        <f>'Borehole Logging'!C121</f>
        <v>0</v>
      </c>
      <c r="C121">
        <f>'Borehole Logging'!D121</f>
        <v>0</v>
      </c>
      <c r="E121">
        <f>'Borehole Logging'!F121</f>
        <v>0</v>
      </c>
      <c r="F121" t="str">
        <f ca="1">'Borehole Logging'!AX121</f>
        <v/>
      </c>
      <c r="G121" t="str">
        <f ca="1">'Borehole Logging'!AY121</f>
        <v/>
      </c>
      <c r="H121" t="str">
        <f ca="1">'Borehole Logging'!AZ121</f>
        <v/>
      </c>
      <c r="I121" t="str">
        <f ca="1">'Borehole Logging'!BA121</f>
        <v/>
      </c>
      <c r="J121" t="str">
        <f ca="1">'Borehole Logging'!BB121</f>
        <v/>
      </c>
      <c r="K121" t="str">
        <f ca="1">'Borehole Logging'!BC121</f>
        <v/>
      </c>
    </row>
    <row r="122" spans="1:11" x14ac:dyDescent="0.25">
      <c r="A122">
        <f>'Borehole Logging'!A122</f>
        <v>0</v>
      </c>
      <c r="B122">
        <f>'Borehole Logging'!C122</f>
        <v>0</v>
      </c>
      <c r="C122">
        <f>'Borehole Logging'!D122</f>
        <v>0</v>
      </c>
      <c r="E122">
        <f>'Borehole Logging'!F122</f>
        <v>0</v>
      </c>
      <c r="F122" t="str">
        <f ca="1">'Borehole Logging'!AX122</f>
        <v/>
      </c>
      <c r="G122" t="str">
        <f ca="1">'Borehole Logging'!AY122</f>
        <v/>
      </c>
      <c r="H122" t="str">
        <f ca="1">'Borehole Logging'!AZ122</f>
        <v/>
      </c>
      <c r="I122" t="str">
        <f ca="1">'Borehole Logging'!BA122</f>
        <v/>
      </c>
      <c r="J122" t="str">
        <f ca="1">'Borehole Logging'!BB122</f>
        <v/>
      </c>
      <c r="K122" t="str">
        <f ca="1">'Borehole Logging'!BC122</f>
        <v/>
      </c>
    </row>
    <row r="123" spans="1:11" x14ac:dyDescent="0.25">
      <c r="A123">
        <f>'Borehole Logging'!A123</f>
        <v>0</v>
      </c>
      <c r="B123">
        <f>'Borehole Logging'!C123</f>
        <v>0</v>
      </c>
      <c r="C123">
        <f>'Borehole Logging'!D123</f>
        <v>0</v>
      </c>
      <c r="E123">
        <f>'Borehole Logging'!F123</f>
        <v>0</v>
      </c>
      <c r="F123" t="str">
        <f ca="1">'Borehole Logging'!AX123</f>
        <v/>
      </c>
      <c r="G123" t="str">
        <f ca="1">'Borehole Logging'!AY123</f>
        <v/>
      </c>
      <c r="H123" t="str">
        <f ca="1">'Borehole Logging'!AZ123</f>
        <v/>
      </c>
      <c r="I123" t="str">
        <f ca="1">'Borehole Logging'!BA123</f>
        <v/>
      </c>
      <c r="J123" t="str">
        <f ca="1">'Borehole Logging'!BB123</f>
        <v/>
      </c>
      <c r="K123" t="str">
        <f ca="1">'Borehole Logging'!BC123</f>
        <v/>
      </c>
    </row>
    <row r="124" spans="1:11" x14ac:dyDescent="0.25">
      <c r="A124">
        <f>'Borehole Logging'!A124</f>
        <v>0</v>
      </c>
      <c r="B124">
        <f>'Borehole Logging'!C124</f>
        <v>0</v>
      </c>
      <c r="C124">
        <f>'Borehole Logging'!D124</f>
        <v>0</v>
      </c>
      <c r="E124">
        <f>'Borehole Logging'!F124</f>
        <v>0</v>
      </c>
      <c r="F124" t="str">
        <f ca="1">'Borehole Logging'!AX124</f>
        <v/>
      </c>
      <c r="G124" t="str">
        <f ca="1">'Borehole Logging'!AY124</f>
        <v/>
      </c>
      <c r="H124" t="str">
        <f ca="1">'Borehole Logging'!AZ124</f>
        <v/>
      </c>
      <c r="I124" t="str">
        <f ca="1">'Borehole Logging'!BA124</f>
        <v/>
      </c>
      <c r="J124" t="str">
        <f ca="1">'Borehole Logging'!BB124</f>
        <v/>
      </c>
      <c r="K124" t="str">
        <f ca="1">'Borehole Logging'!BC124</f>
        <v/>
      </c>
    </row>
    <row r="125" spans="1:11" x14ac:dyDescent="0.25">
      <c r="A125">
        <f>'Borehole Logging'!A125</f>
        <v>0</v>
      </c>
      <c r="B125">
        <f>'Borehole Logging'!C125</f>
        <v>0</v>
      </c>
      <c r="C125">
        <f>'Borehole Logging'!D125</f>
        <v>0</v>
      </c>
      <c r="E125">
        <f>'Borehole Logging'!F125</f>
        <v>0</v>
      </c>
      <c r="F125" t="str">
        <f ca="1">'Borehole Logging'!AX125</f>
        <v/>
      </c>
      <c r="G125" t="str">
        <f ca="1">'Borehole Logging'!AY125</f>
        <v/>
      </c>
      <c r="H125" t="str">
        <f ca="1">'Borehole Logging'!AZ125</f>
        <v/>
      </c>
      <c r="I125" t="str">
        <f ca="1">'Borehole Logging'!BA125</f>
        <v/>
      </c>
      <c r="J125" t="str">
        <f ca="1">'Borehole Logging'!BB125</f>
        <v/>
      </c>
      <c r="K125" t="str">
        <f ca="1">'Borehole Logging'!BC125</f>
        <v/>
      </c>
    </row>
    <row r="126" spans="1:11" x14ac:dyDescent="0.25">
      <c r="A126">
        <f>'Borehole Logging'!A126</f>
        <v>0</v>
      </c>
      <c r="B126">
        <f>'Borehole Logging'!C126</f>
        <v>0</v>
      </c>
      <c r="C126">
        <f>'Borehole Logging'!D126</f>
        <v>0</v>
      </c>
      <c r="E126">
        <f>'Borehole Logging'!F126</f>
        <v>0</v>
      </c>
      <c r="F126" t="str">
        <f ca="1">'Borehole Logging'!AX126</f>
        <v/>
      </c>
      <c r="G126" t="str">
        <f ca="1">'Borehole Logging'!AY126</f>
        <v/>
      </c>
      <c r="H126" t="str">
        <f ca="1">'Borehole Logging'!AZ126</f>
        <v/>
      </c>
      <c r="I126" t="str">
        <f ca="1">'Borehole Logging'!BA126</f>
        <v/>
      </c>
      <c r="J126" t="str">
        <f ca="1">'Borehole Logging'!BB126</f>
        <v/>
      </c>
      <c r="K126" t="str">
        <f ca="1">'Borehole Logging'!BC126</f>
        <v/>
      </c>
    </row>
    <row r="127" spans="1:11" x14ac:dyDescent="0.25">
      <c r="A127">
        <f>'Borehole Logging'!A127</f>
        <v>0</v>
      </c>
      <c r="B127">
        <f>'Borehole Logging'!C127</f>
        <v>0</v>
      </c>
      <c r="C127">
        <f>'Borehole Logging'!D127</f>
        <v>0</v>
      </c>
      <c r="E127">
        <f>'Borehole Logging'!F127</f>
        <v>0</v>
      </c>
      <c r="F127" t="str">
        <f ca="1">'Borehole Logging'!AX127</f>
        <v/>
      </c>
      <c r="G127" t="str">
        <f ca="1">'Borehole Logging'!AY127</f>
        <v/>
      </c>
      <c r="H127" t="str">
        <f ca="1">'Borehole Logging'!AZ127</f>
        <v/>
      </c>
      <c r="I127" t="str">
        <f ca="1">'Borehole Logging'!BA127</f>
        <v/>
      </c>
      <c r="J127" t="str">
        <f ca="1">'Borehole Logging'!BB127</f>
        <v/>
      </c>
      <c r="K127" t="str">
        <f ca="1">'Borehole Logging'!BC127</f>
        <v/>
      </c>
    </row>
    <row r="128" spans="1:11" x14ac:dyDescent="0.25">
      <c r="A128">
        <f>'Borehole Logging'!A128</f>
        <v>0</v>
      </c>
      <c r="B128">
        <f>'Borehole Logging'!C128</f>
        <v>0</v>
      </c>
      <c r="C128">
        <f>'Borehole Logging'!D128</f>
        <v>0</v>
      </c>
      <c r="E128">
        <f>'Borehole Logging'!F128</f>
        <v>0</v>
      </c>
      <c r="F128" t="str">
        <f ca="1">'Borehole Logging'!AX128</f>
        <v/>
      </c>
      <c r="G128" t="str">
        <f ca="1">'Borehole Logging'!AY128</f>
        <v/>
      </c>
      <c r="H128" t="str">
        <f ca="1">'Borehole Logging'!AZ128</f>
        <v/>
      </c>
      <c r="I128" t="str">
        <f ca="1">'Borehole Logging'!BA128</f>
        <v/>
      </c>
      <c r="J128" t="str">
        <f ca="1">'Borehole Logging'!BB128</f>
        <v/>
      </c>
      <c r="K128" t="str">
        <f ca="1">'Borehole Logging'!BC128</f>
        <v/>
      </c>
    </row>
    <row r="129" spans="1:11" x14ac:dyDescent="0.25">
      <c r="A129">
        <f>'Borehole Logging'!A129</f>
        <v>0</v>
      </c>
      <c r="B129">
        <f>'Borehole Logging'!C129</f>
        <v>0</v>
      </c>
      <c r="C129">
        <f>'Borehole Logging'!D129</f>
        <v>0</v>
      </c>
      <c r="E129">
        <f>'Borehole Logging'!F129</f>
        <v>0</v>
      </c>
      <c r="F129" t="str">
        <f ca="1">'Borehole Logging'!AX129</f>
        <v/>
      </c>
      <c r="G129" t="str">
        <f ca="1">'Borehole Logging'!AY129</f>
        <v/>
      </c>
      <c r="H129" t="str">
        <f ca="1">'Borehole Logging'!AZ129</f>
        <v/>
      </c>
      <c r="I129" t="str">
        <f ca="1">'Borehole Logging'!BA129</f>
        <v/>
      </c>
      <c r="J129" t="str">
        <f ca="1">'Borehole Logging'!BB129</f>
        <v/>
      </c>
      <c r="K129" t="str">
        <f ca="1">'Borehole Logging'!BC129</f>
        <v/>
      </c>
    </row>
    <row r="130" spans="1:11" x14ac:dyDescent="0.25">
      <c r="A130">
        <f>'Borehole Logging'!A130</f>
        <v>0</v>
      </c>
      <c r="B130">
        <f>'Borehole Logging'!C130</f>
        <v>0</v>
      </c>
      <c r="C130">
        <f>'Borehole Logging'!D130</f>
        <v>0</v>
      </c>
      <c r="E130">
        <f>'Borehole Logging'!F130</f>
        <v>0</v>
      </c>
      <c r="F130" t="str">
        <f ca="1">'Borehole Logging'!AX130</f>
        <v/>
      </c>
      <c r="G130" t="str">
        <f ca="1">'Borehole Logging'!AY130</f>
        <v/>
      </c>
      <c r="H130" t="str">
        <f ca="1">'Borehole Logging'!AZ130</f>
        <v/>
      </c>
      <c r="I130" t="str">
        <f ca="1">'Borehole Logging'!BA130</f>
        <v/>
      </c>
      <c r="J130" t="str">
        <f ca="1">'Borehole Logging'!BB130</f>
        <v/>
      </c>
      <c r="K130" t="str">
        <f ca="1">'Borehole Logging'!BC130</f>
        <v/>
      </c>
    </row>
    <row r="131" spans="1:11" x14ac:dyDescent="0.25">
      <c r="A131">
        <f>'Borehole Logging'!A131</f>
        <v>0</v>
      </c>
      <c r="B131">
        <f>'Borehole Logging'!C131</f>
        <v>0</v>
      </c>
      <c r="C131">
        <f>'Borehole Logging'!D131</f>
        <v>0</v>
      </c>
      <c r="E131">
        <f>'Borehole Logging'!F131</f>
        <v>0</v>
      </c>
      <c r="F131" t="str">
        <f ca="1">'Borehole Logging'!AX131</f>
        <v/>
      </c>
      <c r="G131" t="str">
        <f ca="1">'Borehole Logging'!AY131</f>
        <v/>
      </c>
      <c r="H131" t="str">
        <f ca="1">'Borehole Logging'!AZ131</f>
        <v/>
      </c>
      <c r="I131" t="str">
        <f ca="1">'Borehole Logging'!BA131</f>
        <v/>
      </c>
      <c r="J131" t="str">
        <f ca="1">'Borehole Logging'!BB131</f>
        <v/>
      </c>
      <c r="K131" t="str">
        <f ca="1">'Borehole Logging'!BC131</f>
        <v/>
      </c>
    </row>
    <row r="132" spans="1:11" x14ac:dyDescent="0.25">
      <c r="A132">
        <f>'Borehole Logging'!A132</f>
        <v>0</v>
      </c>
      <c r="B132">
        <f>'Borehole Logging'!C132</f>
        <v>0</v>
      </c>
      <c r="C132">
        <f>'Borehole Logging'!D132</f>
        <v>0</v>
      </c>
      <c r="E132">
        <f>'Borehole Logging'!F132</f>
        <v>0</v>
      </c>
      <c r="F132" t="str">
        <f ca="1">'Borehole Logging'!AX132</f>
        <v/>
      </c>
      <c r="G132" t="str">
        <f ca="1">'Borehole Logging'!AY132</f>
        <v/>
      </c>
      <c r="H132" t="str">
        <f ca="1">'Borehole Logging'!AZ132</f>
        <v/>
      </c>
      <c r="I132" t="str">
        <f ca="1">'Borehole Logging'!BA132</f>
        <v/>
      </c>
      <c r="J132" t="str">
        <f ca="1">'Borehole Logging'!BB132</f>
        <v/>
      </c>
      <c r="K132" t="str">
        <f ca="1">'Borehole Logging'!BC132</f>
        <v/>
      </c>
    </row>
    <row r="133" spans="1:11" x14ac:dyDescent="0.25">
      <c r="A133">
        <f>'Borehole Logging'!A133</f>
        <v>0</v>
      </c>
      <c r="B133">
        <f>'Borehole Logging'!C133</f>
        <v>0</v>
      </c>
      <c r="C133">
        <f>'Borehole Logging'!D133</f>
        <v>0</v>
      </c>
      <c r="E133">
        <f>'Borehole Logging'!F133</f>
        <v>0</v>
      </c>
      <c r="F133" t="str">
        <f ca="1">'Borehole Logging'!AX133</f>
        <v/>
      </c>
      <c r="G133" t="str">
        <f ca="1">'Borehole Logging'!AY133</f>
        <v/>
      </c>
      <c r="H133" t="str">
        <f ca="1">'Borehole Logging'!AZ133</f>
        <v/>
      </c>
      <c r="I133" t="str">
        <f ca="1">'Borehole Logging'!BA133</f>
        <v/>
      </c>
      <c r="J133" t="str">
        <f ca="1">'Borehole Logging'!BB133</f>
        <v/>
      </c>
      <c r="K133" t="str">
        <f ca="1">'Borehole Logging'!BC133</f>
        <v/>
      </c>
    </row>
    <row r="134" spans="1:11" x14ac:dyDescent="0.25">
      <c r="A134">
        <f>'Borehole Logging'!A134</f>
        <v>0</v>
      </c>
      <c r="B134">
        <f>'Borehole Logging'!C134</f>
        <v>0</v>
      </c>
      <c r="C134">
        <f>'Borehole Logging'!D134</f>
        <v>0</v>
      </c>
      <c r="E134">
        <f>'Borehole Logging'!F134</f>
        <v>0</v>
      </c>
      <c r="F134" t="str">
        <f ca="1">'Borehole Logging'!AX134</f>
        <v/>
      </c>
      <c r="G134" t="str">
        <f ca="1">'Borehole Logging'!AY134</f>
        <v/>
      </c>
      <c r="H134" t="str">
        <f ca="1">'Borehole Logging'!AZ134</f>
        <v/>
      </c>
      <c r="I134" t="str">
        <f ca="1">'Borehole Logging'!BA134</f>
        <v/>
      </c>
      <c r="J134" t="str">
        <f ca="1">'Borehole Logging'!BB134</f>
        <v/>
      </c>
      <c r="K134" t="str">
        <f ca="1">'Borehole Logging'!BC134</f>
        <v/>
      </c>
    </row>
    <row r="135" spans="1:11" x14ac:dyDescent="0.25">
      <c r="A135">
        <f>'Borehole Logging'!A135</f>
        <v>0</v>
      </c>
      <c r="B135">
        <f>'Borehole Logging'!C135</f>
        <v>0</v>
      </c>
      <c r="C135">
        <f>'Borehole Logging'!D135</f>
        <v>0</v>
      </c>
      <c r="E135">
        <f>'Borehole Logging'!F135</f>
        <v>0</v>
      </c>
      <c r="F135" t="str">
        <f ca="1">'Borehole Logging'!AX135</f>
        <v/>
      </c>
      <c r="G135" t="str">
        <f ca="1">'Borehole Logging'!AY135</f>
        <v/>
      </c>
      <c r="H135" t="str">
        <f ca="1">'Borehole Logging'!AZ135</f>
        <v/>
      </c>
      <c r="I135" t="str">
        <f ca="1">'Borehole Logging'!BA135</f>
        <v/>
      </c>
      <c r="J135" t="str">
        <f ca="1">'Borehole Logging'!BB135</f>
        <v/>
      </c>
      <c r="K135" t="str">
        <f ca="1">'Borehole Logging'!BC135</f>
        <v/>
      </c>
    </row>
    <row r="136" spans="1:11" x14ac:dyDescent="0.25">
      <c r="A136">
        <f>'Borehole Logging'!A136</f>
        <v>0</v>
      </c>
      <c r="B136">
        <f>'Borehole Logging'!C136</f>
        <v>0</v>
      </c>
      <c r="C136">
        <f>'Borehole Logging'!D136</f>
        <v>0</v>
      </c>
      <c r="E136">
        <f>'Borehole Logging'!F136</f>
        <v>0</v>
      </c>
      <c r="F136" t="str">
        <f ca="1">'Borehole Logging'!AX136</f>
        <v/>
      </c>
      <c r="G136" t="str">
        <f ca="1">'Borehole Logging'!AY136</f>
        <v/>
      </c>
      <c r="H136" t="str">
        <f ca="1">'Borehole Logging'!AZ136</f>
        <v/>
      </c>
      <c r="I136" t="str">
        <f ca="1">'Borehole Logging'!BA136</f>
        <v/>
      </c>
      <c r="J136" t="str">
        <f ca="1">'Borehole Logging'!BB136</f>
        <v/>
      </c>
      <c r="K136" t="str">
        <f ca="1">'Borehole Logging'!BC136</f>
        <v/>
      </c>
    </row>
    <row r="137" spans="1:11" x14ac:dyDescent="0.25">
      <c r="A137">
        <f>'Borehole Logging'!A137</f>
        <v>0</v>
      </c>
      <c r="B137">
        <f>'Borehole Logging'!C137</f>
        <v>0</v>
      </c>
      <c r="C137">
        <f>'Borehole Logging'!D137</f>
        <v>0</v>
      </c>
      <c r="E137">
        <f>'Borehole Logging'!F137</f>
        <v>0</v>
      </c>
      <c r="F137" t="str">
        <f ca="1">'Borehole Logging'!AX137</f>
        <v/>
      </c>
      <c r="G137" t="str">
        <f ca="1">'Borehole Logging'!AY137</f>
        <v/>
      </c>
      <c r="H137" t="str">
        <f ca="1">'Borehole Logging'!AZ137</f>
        <v/>
      </c>
      <c r="I137" t="str">
        <f ca="1">'Borehole Logging'!BA137</f>
        <v/>
      </c>
      <c r="J137" t="str">
        <f ca="1">'Borehole Logging'!BB137</f>
        <v/>
      </c>
      <c r="K137" t="str">
        <f ca="1">'Borehole Logging'!BC137</f>
        <v/>
      </c>
    </row>
    <row r="138" spans="1:11" x14ac:dyDescent="0.25">
      <c r="A138">
        <f>'Borehole Logging'!A138</f>
        <v>0</v>
      </c>
      <c r="B138">
        <f>'Borehole Logging'!C138</f>
        <v>0</v>
      </c>
      <c r="C138">
        <f>'Borehole Logging'!D138</f>
        <v>0</v>
      </c>
      <c r="E138">
        <f>'Borehole Logging'!F138</f>
        <v>0</v>
      </c>
      <c r="F138" t="str">
        <f ca="1">'Borehole Logging'!AX138</f>
        <v/>
      </c>
      <c r="G138" t="str">
        <f ca="1">'Borehole Logging'!AY138</f>
        <v/>
      </c>
      <c r="H138" t="str">
        <f ca="1">'Borehole Logging'!AZ138</f>
        <v/>
      </c>
      <c r="I138" t="str">
        <f ca="1">'Borehole Logging'!BA138</f>
        <v/>
      </c>
      <c r="J138" t="str">
        <f ca="1">'Borehole Logging'!BB138</f>
        <v/>
      </c>
      <c r="K138" t="str">
        <f ca="1">'Borehole Logging'!BC138</f>
        <v/>
      </c>
    </row>
    <row r="139" spans="1:11" x14ac:dyDescent="0.25">
      <c r="A139">
        <f>'Borehole Logging'!A139</f>
        <v>0</v>
      </c>
      <c r="B139">
        <f>'Borehole Logging'!C139</f>
        <v>0</v>
      </c>
      <c r="C139">
        <f>'Borehole Logging'!D139</f>
        <v>0</v>
      </c>
      <c r="E139">
        <f>'Borehole Logging'!F139</f>
        <v>0</v>
      </c>
      <c r="F139" t="str">
        <f ca="1">'Borehole Logging'!AX139</f>
        <v/>
      </c>
      <c r="G139" t="str">
        <f ca="1">'Borehole Logging'!AY139</f>
        <v/>
      </c>
      <c r="H139" t="str">
        <f ca="1">'Borehole Logging'!AZ139</f>
        <v/>
      </c>
      <c r="I139" t="str">
        <f ca="1">'Borehole Logging'!BA139</f>
        <v/>
      </c>
      <c r="J139" t="str">
        <f ca="1">'Borehole Logging'!BB139</f>
        <v/>
      </c>
      <c r="K139" t="str">
        <f ca="1">'Borehole Logging'!BC139</f>
        <v/>
      </c>
    </row>
    <row r="140" spans="1:11" x14ac:dyDescent="0.25">
      <c r="A140">
        <f>'Borehole Logging'!A140</f>
        <v>0</v>
      </c>
      <c r="B140">
        <f>'Borehole Logging'!C140</f>
        <v>0</v>
      </c>
      <c r="C140">
        <f>'Borehole Logging'!D140</f>
        <v>0</v>
      </c>
      <c r="E140">
        <f>'Borehole Logging'!F140</f>
        <v>0</v>
      </c>
      <c r="F140" t="str">
        <f ca="1">'Borehole Logging'!AX140</f>
        <v/>
      </c>
      <c r="G140" t="str">
        <f ca="1">'Borehole Logging'!AY140</f>
        <v/>
      </c>
      <c r="H140" t="str">
        <f ca="1">'Borehole Logging'!AZ140</f>
        <v/>
      </c>
      <c r="I140" t="str">
        <f ca="1">'Borehole Logging'!BA140</f>
        <v/>
      </c>
      <c r="J140" t="str">
        <f ca="1">'Borehole Logging'!BB140</f>
        <v/>
      </c>
      <c r="K140" t="str">
        <f ca="1">'Borehole Logging'!BC140</f>
        <v/>
      </c>
    </row>
    <row r="141" spans="1:11" x14ac:dyDescent="0.25">
      <c r="A141">
        <f>'Borehole Logging'!A141</f>
        <v>0</v>
      </c>
      <c r="B141">
        <f>'Borehole Logging'!C141</f>
        <v>0</v>
      </c>
      <c r="C141">
        <f>'Borehole Logging'!D141</f>
        <v>0</v>
      </c>
      <c r="E141">
        <f>'Borehole Logging'!F141</f>
        <v>0</v>
      </c>
      <c r="F141" t="str">
        <f ca="1">'Borehole Logging'!AX141</f>
        <v/>
      </c>
      <c r="G141" t="str">
        <f ca="1">'Borehole Logging'!AY141</f>
        <v/>
      </c>
      <c r="H141" t="str">
        <f ca="1">'Borehole Logging'!AZ141</f>
        <v/>
      </c>
      <c r="I141" t="str">
        <f ca="1">'Borehole Logging'!BA141</f>
        <v/>
      </c>
      <c r="J141" t="str">
        <f ca="1">'Borehole Logging'!BB141</f>
        <v/>
      </c>
      <c r="K141" t="str">
        <f ca="1">'Borehole Logging'!BC141</f>
        <v/>
      </c>
    </row>
    <row r="142" spans="1:11" x14ac:dyDescent="0.25">
      <c r="A142">
        <f>'Borehole Logging'!A142</f>
        <v>0</v>
      </c>
      <c r="B142">
        <f>'Borehole Logging'!C142</f>
        <v>0</v>
      </c>
      <c r="C142">
        <f>'Borehole Logging'!D142</f>
        <v>0</v>
      </c>
      <c r="E142">
        <f>'Borehole Logging'!F142</f>
        <v>0</v>
      </c>
      <c r="F142" t="str">
        <f ca="1">'Borehole Logging'!AX142</f>
        <v/>
      </c>
      <c r="G142" t="str">
        <f ca="1">'Borehole Logging'!AY142</f>
        <v/>
      </c>
      <c r="H142" t="str">
        <f ca="1">'Borehole Logging'!AZ142</f>
        <v/>
      </c>
      <c r="I142" t="str">
        <f ca="1">'Borehole Logging'!BA142</f>
        <v/>
      </c>
      <c r="J142" t="str">
        <f ca="1">'Borehole Logging'!BB142</f>
        <v/>
      </c>
      <c r="K142" t="str">
        <f ca="1">'Borehole Logging'!BC142</f>
        <v/>
      </c>
    </row>
    <row r="143" spans="1:11" x14ac:dyDescent="0.25">
      <c r="A143">
        <f>'Borehole Logging'!A143</f>
        <v>0</v>
      </c>
      <c r="B143">
        <f>'Borehole Logging'!C143</f>
        <v>0</v>
      </c>
      <c r="C143">
        <f>'Borehole Logging'!D143</f>
        <v>0</v>
      </c>
      <c r="E143">
        <f>'Borehole Logging'!F143</f>
        <v>0</v>
      </c>
      <c r="F143" t="str">
        <f ca="1">'Borehole Logging'!AX143</f>
        <v/>
      </c>
      <c r="G143" t="str">
        <f ca="1">'Borehole Logging'!AY143</f>
        <v/>
      </c>
      <c r="H143" t="str">
        <f ca="1">'Borehole Logging'!AZ143</f>
        <v/>
      </c>
      <c r="I143" t="str">
        <f ca="1">'Borehole Logging'!BA143</f>
        <v/>
      </c>
      <c r="J143" t="str">
        <f ca="1">'Borehole Logging'!BB143</f>
        <v/>
      </c>
      <c r="K143" t="str">
        <f ca="1">'Borehole Logging'!BC143</f>
        <v/>
      </c>
    </row>
    <row r="144" spans="1:11" x14ac:dyDescent="0.25">
      <c r="A144">
        <f>'Borehole Logging'!A144</f>
        <v>0</v>
      </c>
      <c r="B144">
        <f>'Borehole Logging'!C144</f>
        <v>0</v>
      </c>
      <c r="C144">
        <f>'Borehole Logging'!D144</f>
        <v>0</v>
      </c>
      <c r="E144">
        <f>'Borehole Logging'!F144</f>
        <v>0</v>
      </c>
      <c r="F144" t="str">
        <f ca="1">'Borehole Logging'!AX144</f>
        <v/>
      </c>
      <c r="G144" t="str">
        <f ca="1">'Borehole Logging'!AY144</f>
        <v/>
      </c>
      <c r="H144" t="str">
        <f ca="1">'Borehole Logging'!AZ144</f>
        <v/>
      </c>
      <c r="I144" t="str">
        <f ca="1">'Borehole Logging'!BA144</f>
        <v/>
      </c>
      <c r="J144" t="str">
        <f ca="1">'Borehole Logging'!BB144</f>
        <v/>
      </c>
      <c r="K144" t="str">
        <f ca="1">'Borehole Logging'!BC144</f>
        <v/>
      </c>
    </row>
    <row r="145" spans="1:11" x14ac:dyDescent="0.25">
      <c r="A145">
        <f>'Borehole Logging'!A145</f>
        <v>0</v>
      </c>
      <c r="B145">
        <f>'Borehole Logging'!C145</f>
        <v>0</v>
      </c>
      <c r="C145">
        <f>'Borehole Logging'!D145</f>
        <v>0</v>
      </c>
      <c r="E145">
        <f>'Borehole Logging'!F145</f>
        <v>0</v>
      </c>
      <c r="F145" t="str">
        <f ca="1">'Borehole Logging'!AX145</f>
        <v/>
      </c>
      <c r="G145" t="str">
        <f ca="1">'Borehole Logging'!AY145</f>
        <v/>
      </c>
      <c r="H145" t="str">
        <f ca="1">'Borehole Logging'!AZ145</f>
        <v/>
      </c>
      <c r="I145" t="str">
        <f ca="1">'Borehole Logging'!BA145</f>
        <v/>
      </c>
      <c r="J145" t="str">
        <f ca="1">'Borehole Logging'!BB145</f>
        <v/>
      </c>
      <c r="K145" t="str">
        <f ca="1">'Borehole Logging'!BC145</f>
        <v/>
      </c>
    </row>
    <row r="146" spans="1:11" x14ac:dyDescent="0.25">
      <c r="A146">
        <f>'Borehole Logging'!A146</f>
        <v>0</v>
      </c>
      <c r="B146">
        <f>'Borehole Logging'!C146</f>
        <v>0</v>
      </c>
      <c r="C146">
        <f>'Borehole Logging'!D146</f>
        <v>0</v>
      </c>
      <c r="E146">
        <f>'Borehole Logging'!F146</f>
        <v>0</v>
      </c>
      <c r="F146" t="str">
        <f ca="1">'Borehole Logging'!AX146</f>
        <v/>
      </c>
      <c r="G146" t="str">
        <f ca="1">'Borehole Logging'!AY146</f>
        <v/>
      </c>
      <c r="H146" t="str">
        <f ca="1">'Borehole Logging'!AZ146</f>
        <v/>
      </c>
      <c r="I146" t="str">
        <f ca="1">'Borehole Logging'!BA146</f>
        <v/>
      </c>
      <c r="J146" t="str">
        <f ca="1">'Borehole Logging'!BB146</f>
        <v/>
      </c>
      <c r="K146" t="str">
        <f ca="1">'Borehole Logging'!BC146</f>
        <v/>
      </c>
    </row>
    <row r="147" spans="1:11" x14ac:dyDescent="0.25">
      <c r="A147">
        <f>'Borehole Logging'!A147</f>
        <v>0</v>
      </c>
      <c r="B147">
        <f>'Borehole Logging'!C147</f>
        <v>0</v>
      </c>
      <c r="C147">
        <f>'Borehole Logging'!D147</f>
        <v>0</v>
      </c>
      <c r="E147">
        <f>'Borehole Logging'!F147</f>
        <v>0</v>
      </c>
      <c r="F147" t="str">
        <f ca="1">'Borehole Logging'!AX147</f>
        <v/>
      </c>
      <c r="G147" t="str">
        <f ca="1">'Borehole Logging'!AY147</f>
        <v/>
      </c>
      <c r="H147" t="str">
        <f ca="1">'Borehole Logging'!AZ147</f>
        <v/>
      </c>
      <c r="I147" t="str">
        <f ca="1">'Borehole Logging'!BA147</f>
        <v/>
      </c>
      <c r="J147" t="str">
        <f ca="1">'Borehole Logging'!BB147</f>
        <v/>
      </c>
      <c r="K147" t="str">
        <f ca="1">'Borehole Logging'!BC147</f>
        <v/>
      </c>
    </row>
    <row r="148" spans="1:11" x14ac:dyDescent="0.25">
      <c r="A148">
        <f>'Borehole Logging'!A148</f>
        <v>0</v>
      </c>
      <c r="B148">
        <f>'Borehole Logging'!C148</f>
        <v>0</v>
      </c>
      <c r="C148">
        <f>'Borehole Logging'!D148</f>
        <v>0</v>
      </c>
      <c r="E148">
        <f>'Borehole Logging'!F148</f>
        <v>0</v>
      </c>
      <c r="F148" t="str">
        <f ca="1">'Borehole Logging'!AX148</f>
        <v/>
      </c>
      <c r="G148" t="str">
        <f ca="1">'Borehole Logging'!AY148</f>
        <v/>
      </c>
      <c r="H148" t="str">
        <f ca="1">'Borehole Logging'!AZ148</f>
        <v/>
      </c>
      <c r="I148" t="str">
        <f ca="1">'Borehole Logging'!BA148</f>
        <v/>
      </c>
      <c r="J148" t="str">
        <f ca="1">'Borehole Logging'!BB148</f>
        <v/>
      </c>
      <c r="K148" t="str">
        <f ca="1">'Borehole Logging'!BC148</f>
        <v/>
      </c>
    </row>
    <row r="149" spans="1:11" x14ac:dyDescent="0.25">
      <c r="A149">
        <f>'Borehole Logging'!A149</f>
        <v>0</v>
      </c>
      <c r="B149">
        <f>'Borehole Logging'!C149</f>
        <v>0</v>
      </c>
      <c r="C149">
        <f>'Borehole Logging'!D149</f>
        <v>0</v>
      </c>
      <c r="E149">
        <f>'Borehole Logging'!F149</f>
        <v>0</v>
      </c>
      <c r="F149" t="str">
        <f ca="1">'Borehole Logging'!AX149</f>
        <v/>
      </c>
      <c r="G149" t="str">
        <f ca="1">'Borehole Logging'!AY149</f>
        <v/>
      </c>
      <c r="H149" t="str">
        <f ca="1">'Borehole Logging'!AZ149</f>
        <v/>
      </c>
      <c r="I149" t="str">
        <f ca="1">'Borehole Logging'!BA149</f>
        <v/>
      </c>
      <c r="J149" t="str">
        <f ca="1">'Borehole Logging'!BB149</f>
        <v/>
      </c>
      <c r="K149" t="str">
        <f ca="1">'Borehole Logging'!BC149</f>
        <v/>
      </c>
    </row>
    <row r="150" spans="1:11" x14ac:dyDescent="0.25">
      <c r="A150">
        <f>'Borehole Logging'!A150</f>
        <v>0</v>
      </c>
      <c r="B150">
        <f>'Borehole Logging'!C150</f>
        <v>0</v>
      </c>
      <c r="C150">
        <f>'Borehole Logging'!D150</f>
        <v>0</v>
      </c>
      <c r="E150">
        <f>'Borehole Logging'!F150</f>
        <v>0</v>
      </c>
      <c r="F150" t="str">
        <f ca="1">'Borehole Logging'!AX150</f>
        <v/>
      </c>
      <c r="G150" t="str">
        <f ca="1">'Borehole Logging'!AY150</f>
        <v/>
      </c>
      <c r="H150" t="str">
        <f ca="1">'Borehole Logging'!AZ150</f>
        <v/>
      </c>
      <c r="I150" t="str">
        <f ca="1">'Borehole Logging'!BA150</f>
        <v/>
      </c>
      <c r="J150" t="str">
        <f ca="1">'Borehole Logging'!BB150</f>
        <v/>
      </c>
      <c r="K150" t="str">
        <f ca="1">'Borehole Logging'!BC150</f>
        <v/>
      </c>
    </row>
    <row r="151" spans="1:11" x14ac:dyDescent="0.25">
      <c r="A151">
        <f>'Borehole Logging'!A151</f>
        <v>0</v>
      </c>
      <c r="B151">
        <f>'Borehole Logging'!C151</f>
        <v>0</v>
      </c>
      <c r="C151">
        <f>'Borehole Logging'!D151</f>
        <v>0</v>
      </c>
      <c r="E151">
        <f>'Borehole Logging'!F151</f>
        <v>0</v>
      </c>
      <c r="F151" t="str">
        <f ca="1">'Borehole Logging'!AX151</f>
        <v/>
      </c>
      <c r="G151" t="str">
        <f ca="1">'Borehole Logging'!AY151</f>
        <v/>
      </c>
      <c r="H151" t="str">
        <f ca="1">'Borehole Logging'!AZ151</f>
        <v/>
      </c>
      <c r="I151" t="str">
        <f ca="1">'Borehole Logging'!BA151</f>
        <v/>
      </c>
      <c r="J151" t="str">
        <f ca="1">'Borehole Logging'!BB151</f>
        <v/>
      </c>
      <c r="K151" t="str">
        <f ca="1">'Borehole Logging'!BC151</f>
        <v/>
      </c>
    </row>
    <row r="152" spans="1:11" x14ac:dyDescent="0.25">
      <c r="A152">
        <f>'Borehole Logging'!A152</f>
        <v>0</v>
      </c>
      <c r="B152">
        <f>'Borehole Logging'!C152</f>
        <v>0</v>
      </c>
      <c r="C152">
        <f>'Borehole Logging'!D152</f>
        <v>0</v>
      </c>
      <c r="E152">
        <f>'Borehole Logging'!F152</f>
        <v>0</v>
      </c>
      <c r="F152" t="str">
        <f ca="1">'Borehole Logging'!AX152</f>
        <v/>
      </c>
      <c r="G152" t="str">
        <f ca="1">'Borehole Logging'!AY152</f>
        <v/>
      </c>
      <c r="H152" t="str">
        <f ca="1">'Borehole Logging'!AZ152</f>
        <v/>
      </c>
      <c r="I152" t="str">
        <f ca="1">'Borehole Logging'!BA152</f>
        <v/>
      </c>
      <c r="J152" t="str">
        <f ca="1">'Borehole Logging'!BB152</f>
        <v/>
      </c>
      <c r="K152" t="str">
        <f ca="1">'Borehole Logging'!BC152</f>
        <v/>
      </c>
    </row>
    <row r="153" spans="1:11" x14ac:dyDescent="0.25">
      <c r="A153">
        <f>'Borehole Logging'!A153</f>
        <v>0</v>
      </c>
      <c r="B153">
        <f>'Borehole Logging'!C153</f>
        <v>0</v>
      </c>
      <c r="C153">
        <f>'Borehole Logging'!D153</f>
        <v>0</v>
      </c>
      <c r="E153">
        <f>'Borehole Logging'!F153</f>
        <v>0</v>
      </c>
      <c r="F153" t="str">
        <f ca="1">'Borehole Logging'!AX153</f>
        <v/>
      </c>
      <c r="G153" t="str">
        <f ca="1">'Borehole Logging'!AY153</f>
        <v/>
      </c>
      <c r="H153" t="str">
        <f ca="1">'Borehole Logging'!AZ153</f>
        <v/>
      </c>
      <c r="I153" t="str">
        <f ca="1">'Borehole Logging'!BA153</f>
        <v/>
      </c>
      <c r="J153" t="str">
        <f ca="1">'Borehole Logging'!BB153</f>
        <v/>
      </c>
      <c r="K153" t="str">
        <f ca="1">'Borehole Logging'!BC153</f>
        <v/>
      </c>
    </row>
    <row r="154" spans="1:11" x14ac:dyDescent="0.25">
      <c r="A154">
        <f>'Borehole Logging'!A154</f>
        <v>0</v>
      </c>
      <c r="B154">
        <f>'Borehole Logging'!C154</f>
        <v>0</v>
      </c>
      <c r="C154">
        <f>'Borehole Logging'!D154</f>
        <v>0</v>
      </c>
      <c r="E154">
        <f>'Borehole Logging'!F154</f>
        <v>0</v>
      </c>
      <c r="F154" t="str">
        <f ca="1">'Borehole Logging'!AX154</f>
        <v/>
      </c>
      <c r="G154" t="str">
        <f ca="1">'Borehole Logging'!AY154</f>
        <v/>
      </c>
      <c r="H154" t="str">
        <f ca="1">'Borehole Logging'!AZ154</f>
        <v/>
      </c>
      <c r="I154" t="str">
        <f ca="1">'Borehole Logging'!BA154</f>
        <v/>
      </c>
      <c r="J154" t="str">
        <f ca="1">'Borehole Logging'!BB154</f>
        <v/>
      </c>
      <c r="K154" t="str">
        <f ca="1">'Borehole Logging'!BC154</f>
        <v/>
      </c>
    </row>
    <row r="155" spans="1:11" x14ac:dyDescent="0.25">
      <c r="A155">
        <f>'Borehole Logging'!A155</f>
        <v>0</v>
      </c>
      <c r="B155">
        <f>'Borehole Logging'!C155</f>
        <v>0</v>
      </c>
      <c r="C155">
        <f>'Borehole Logging'!D155</f>
        <v>0</v>
      </c>
      <c r="E155">
        <f>'Borehole Logging'!F155</f>
        <v>0</v>
      </c>
      <c r="F155" t="str">
        <f ca="1">'Borehole Logging'!AX155</f>
        <v/>
      </c>
      <c r="G155" t="str">
        <f ca="1">'Borehole Logging'!AY155</f>
        <v/>
      </c>
      <c r="H155" t="str">
        <f ca="1">'Borehole Logging'!AZ155</f>
        <v/>
      </c>
      <c r="I155" t="str">
        <f ca="1">'Borehole Logging'!BA155</f>
        <v/>
      </c>
      <c r="J155" t="str">
        <f ca="1">'Borehole Logging'!BB155</f>
        <v/>
      </c>
      <c r="K155" t="str">
        <f ca="1">'Borehole Logging'!BC155</f>
        <v/>
      </c>
    </row>
    <row r="156" spans="1:11" x14ac:dyDescent="0.25">
      <c r="A156">
        <f>'Borehole Logging'!A156</f>
        <v>0</v>
      </c>
      <c r="B156">
        <f>'Borehole Logging'!C156</f>
        <v>0</v>
      </c>
      <c r="C156">
        <f>'Borehole Logging'!D156</f>
        <v>0</v>
      </c>
      <c r="E156">
        <f>'Borehole Logging'!F156</f>
        <v>0</v>
      </c>
      <c r="F156" t="str">
        <f ca="1">'Borehole Logging'!AX156</f>
        <v/>
      </c>
      <c r="G156" t="str">
        <f ca="1">'Borehole Logging'!AY156</f>
        <v/>
      </c>
      <c r="H156" t="str">
        <f ca="1">'Borehole Logging'!AZ156</f>
        <v/>
      </c>
      <c r="I156" t="str">
        <f ca="1">'Borehole Logging'!BA156</f>
        <v/>
      </c>
      <c r="J156" t="str">
        <f ca="1">'Borehole Logging'!BB156</f>
        <v/>
      </c>
      <c r="K156" t="str">
        <f ca="1">'Borehole Logging'!BC156</f>
        <v/>
      </c>
    </row>
    <row r="157" spans="1:11" x14ac:dyDescent="0.25">
      <c r="A157">
        <f>'Borehole Logging'!A157</f>
        <v>0</v>
      </c>
      <c r="B157">
        <f>'Borehole Logging'!C157</f>
        <v>0</v>
      </c>
      <c r="C157">
        <f>'Borehole Logging'!D157</f>
        <v>0</v>
      </c>
      <c r="E157">
        <f>'Borehole Logging'!F157</f>
        <v>0</v>
      </c>
      <c r="F157" t="str">
        <f ca="1">'Borehole Logging'!AX157</f>
        <v/>
      </c>
      <c r="G157" t="str">
        <f ca="1">'Borehole Logging'!AY157</f>
        <v/>
      </c>
      <c r="H157" t="str">
        <f ca="1">'Borehole Logging'!AZ157</f>
        <v/>
      </c>
      <c r="I157" t="str">
        <f ca="1">'Borehole Logging'!BA157</f>
        <v/>
      </c>
      <c r="J157" t="str">
        <f ca="1">'Borehole Logging'!BB157</f>
        <v/>
      </c>
      <c r="K157" t="str">
        <f ca="1">'Borehole Logging'!BC157</f>
        <v/>
      </c>
    </row>
    <row r="158" spans="1:11" x14ac:dyDescent="0.25">
      <c r="A158">
        <f>'Borehole Logging'!A158</f>
        <v>0</v>
      </c>
      <c r="B158">
        <f>'Borehole Logging'!C158</f>
        <v>0</v>
      </c>
      <c r="C158">
        <f>'Borehole Logging'!D158</f>
        <v>0</v>
      </c>
      <c r="E158">
        <f>'Borehole Logging'!F158</f>
        <v>0</v>
      </c>
      <c r="F158" t="str">
        <f ca="1">'Borehole Logging'!AX158</f>
        <v/>
      </c>
      <c r="G158" t="str">
        <f ca="1">'Borehole Logging'!AY158</f>
        <v/>
      </c>
      <c r="H158" t="str">
        <f ca="1">'Borehole Logging'!AZ158</f>
        <v/>
      </c>
      <c r="I158" t="str">
        <f ca="1">'Borehole Logging'!BA158</f>
        <v/>
      </c>
      <c r="J158" t="str">
        <f ca="1">'Borehole Logging'!BB158</f>
        <v/>
      </c>
      <c r="K158" t="str">
        <f ca="1">'Borehole Logging'!BC158</f>
        <v/>
      </c>
    </row>
    <row r="159" spans="1:11" x14ac:dyDescent="0.25">
      <c r="A159">
        <f>'Borehole Logging'!A159</f>
        <v>0</v>
      </c>
      <c r="B159">
        <f>'Borehole Logging'!C159</f>
        <v>0</v>
      </c>
      <c r="C159">
        <f>'Borehole Logging'!D159</f>
        <v>0</v>
      </c>
      <c r="E159">
        <f>'Borehole Logging'!F159</f>
        <v>0</v>
      </c>
      <c r="F159" t="str">
        <f ca="1">'Borehole Logging'!AX159</f>
        <v/>
      </c>
      <c r="G159" t="str">
        <f ca="1">'Borehole Logging'!AY159</f>
        <v/>
      </c>
      <c r="H159" t="str">
        <f ca="1">'Borehole Logging'!AZ159</f>
        <v/>
      </c>
      <c r="I159" t="str">
        <f ca="1">'Borehole Logging'!BA159</f>
        <v/>
      </c>
      <c r="J159" t="str">
        <f ca="1">'Borehole Logging'!BB159</f>
        <v/>
      </c>
      <c r="K159" t="str">
        <f ca="1">'Borehole Logging'!BC159</f>
        <v/>
      </c>
    </row>
    <row r="160" spans="1:11" x14ac:dyDescent="0.25">
      <c r="A160">
        <f>'Borehole Logging'!A160</f>
        <v>0</v>
      </c>
      <c r="B160">
        <f>'Borehole Logging'!C160</f>
        <v>0</v>
      </c>
      <c r="C160">
        <f>'Borehole Logging'!D160</f>
        <v>0</v>
      </c>
      <c r="E160">
        <f>'Borehole Logging'!F160</f>
        <v>0</v>
      </c>
      <c r="F160" t="str">
        <f ca="1">'Borehole Logging'!AX160</f>
        <v/>
      </c>
      <c r="G160" t="str">
        <f ca="1">'Borehole Logging'!AY160</f>
        <v/>
      </c>
      <c r="H160" t="str">
        <f ca="1">'Borehole Logging'!AZ160</f>
        <v/>
      </c>
      <c r="I160" t="str">
        <f ca="1">'Borehole Logging'!BA160</f>
        <v/>
      </c>
      <c r="J160" t="str">
        <f ca="1">'Borehole Logging'!BB160</f>
        <v/>
      </c>
      <c r="K160" t="str">
        <f ca="1">'Borehole Logging'!BC160</f>
        <v/>
      </c>
    </row>
    <row r="161" spans="1:11" x14ac:dyDescent="0.25">
      <c r="A161">
        <f>'Borehole Logging'!A161</f>
        <v>0</v>
      </c>
      <c r="B161">
        <f>'Borehole Logging'!C161</f>
        <v>0</v>
      </c>
      <c r="C161">
        <f>'Borehole Logging'!D161</f>
        <v>0</v>
      </c>
      <c r="E161">
        <f>'Borehole Logging'!F161</f>
        <v>0</v>
      </c>
      <c r="F161" t="str">
        <f ca="1">'Borehole Logging'!AX161</f>
        <v/>
      </c>
      <c r="G161" t="str">
        <f ca="1">'Borehole Logging'!AY161</f>
        <v/>
      </c>
      <c r="H161" t="str">
        <f ca="1">'Borehole Logging'!AZ161</f>
        <v/>
      </c>
      <c r="I161" t="str">
        <f ca="1">'Borehole Logging'!BA161</f>
        <v/>
      </c>
      <c r="J161" t="str">
        <f ca="1">'Borehole Logging'!BB161</f>
        <v/>
      </c>
      <c r="K161" t="str">
        <f ca="1">'Borehole Logging'!BC161</f>
        <v/>
      </c>
    </row>
    <row r="162" spans="1:11" x14ac:dyDescent="0.25">
      <c r="A162">
        <f>'Borehole Logging'!A162</f>
        <v>0</v>
      </c>
      <c r="B162">
        <f>'Borehole Logging'!C162</f>
        <v>0</v>
      </c>
      <c r="C162">
        <f>'Borehole Logging'!D162</f>
        <v>0</v>
      </c>
      <c r="E162">
        <f>'Borehole Logging'!F162</f>
        <v>0</v>
      </c>
      <c r="F162" t="str">
        <f ca="1">'Borehole Logging'!AX162</f>
        <v/>
      </c>
      <c r="G162" t="str">
        <f ca="1">'Borehole Logging'!AY162</f>
        <v/>
      </c>
      <c r="H162" t="str">
        <f ca="1">'Borehole Logging'!AZ162</f>
        <v/>
      </c>
      <c r="I162" t="str">
        <f ca="1">'Borehole Logging'!BA162</f>
        <v/>
      </c>
      <c r="J162" t="str">
        <f ca="1">'Borehole Logging'!BB162</f>
        <v/>
      </c>
      <c r="K162" t="str">
        <f ca="1">'Borehole Logging'!BC162</f>
        <v/>
      </c>
    </row>
    <row r="163" spans="1:11" x14ac:dyDescent="0.25">
      <c r="A163">
        <f>'Borehole Logging'!A163</f>
        <v>0</v>
      </c>
      <c r="B163">
        <f>'Borehole Logging'!C163</f>
        <v>0</v>
      </c>
      <c r="C163">
        <f>'Borehole Logging'!D163</f>
        <v>0</v>
      </c>
      <c r="E163">
        <f>'Borehole Logging'!F163</f>
        <v>0</v>
      </c>
      <c r="F163" t="str">
        <f ca="1">'Borehole Logging'!AX163</f>
        <v/>
      </c>
      <c r="G163" t="str">
        <f ca="1">'Borehole Logging'!AY163</f>
        <v/>
      </c>
      <c r="H163" t="str">
        <f ca="1">'Borehole Logging'!AZ163</f>
        <v/>
      </c>
      <c r="I163" t="str">
        <f ca="1">'Borehole Logging'!BA163</f>
        <v/>
      </c>
      <c r="J163" t="str">
        <f ca="1">'Borehole Logging'!BB163</f>
        <v/>
      </c>
      <c r="K163" t="str">
        <f ca="1">'Borehole Logging'!BC163</f>
        <v/>
      </c>
    </row>
    <row r="164" spans="1:11" x14ac:dyDescent="0.25">
      <c r="A164">
        <f>'Borehole Logging'!A164</f>
        <v>0</v>
      </c>
      <c r="B164">
        <f>'Borehole Logging'!C164</f>
        <v>0</v>
      </c>
      <c r="C164">
        <f>'Borehole Logging'!D164</f>
        <v>0</v>
      </c>
      <c r="E164">
        <f>'Borehole Logging'!F164</f>
        <v>0</v>
      </c>
      <c r="F164" t="str">
        <f ca="1">'Borehole Logging'!AX164</f>
        <v/>
      </c>
      <c r="G164" t="str">
        <f ca="1">'Borehole Logging'!AY164</f>
        <v/>
      </c>
      <c r="H164" t="str">
        <f ca="1">'Borehole Logging'!AZ164</f>
        <v/>
      </c>
      <c r="I164" t="str">
        <f ca="1">'Borehole Logging'!BA164</f>
        <v/>
      </c>
      <c r="J164" t="str">
        <f ca="1">'Borehole Logging'!BB164</f>
        <v/>
      </c>
      <c r="K164" t="str">
        <f ca="1">'Borehole Logging'!BC164</f>
        <v/>
      </c>
    </row>
    <row r="165" spans="1:11" x14ac:dyDescent="0.25">
      <c r="A165">
        <f>'Borehole Logging'!A165</f>
        <v>0</v>
      </c>
      <c r="B165">
        <f>'Borehole Logging'!C165</f>
        <v>0</v>
      </c>
      <c r="C165">
        <f>'Borehole Logging'!D165</f>
        <v>0</v>
      </c>
      <c r="E165">
        <f>'Borehole Logging'!F165</f>
        <v>0</v>
      </c>
      <c r="F165" t="str">
        <f ca="1">'Borehole Logging'!AX165</f>
        <v/>
      </c>
      <c r="G165" t="str">
        <f ca="1">'Borehole Logging'!AY165</f>
        <v/>
      </c>
      <c r="H165" t="str">
        <f ca="1">'Borehole Logging'!AZ165</f>
        <v/>
      </c>
      <c r="I165" t="str">
        <f ca="1">'Borehole Logging'!BA165</f>
        <v/>
      </c>
      <c r="J165" t="str">
        <f ca="1">'Borehole Logging'!BB165</f>
        <v/>
      </c>
      <c r="K165" t="str">
        <f ca="1">'Borehole Logging'!BC165</f>
        <v/>
      </c>
    </row>
    <row r="166" spans="1:11" x14ac:dyDescent="0.25">
      <c r="A166">
        <f>'Borehole Logging'!A166</f>
        <v>0</v>
      </c>
      <c r="B166">
        <f>'Borehole Logging'!C166</f>
        <v>0</v>
      </c>
      <c r="C166">
        <f>'Borehole Logging'!D166</f>
        <v>0</v>
      </c>
      <c r="E166">
        <f>'Borehole Logging'!F166</f>
        <v>0</v>
      </c>
      <c r="F166" t="str">
        <f ca="1">'Borehole Logging'!AX166</f>
        <v/>
      </c>
      <c r="G166" t="str">
        <f ca="1">'Borehole Logging'!AY166</f>
        <v/>
      </c>
      <c r="H166" t="str">
        <f ca="1">'Borehole Logging'!AZ166</f>
        <v/>
      </c>
      <c r="I166" t="str">
        <f ca="1">'Borehole Logging'!BA166</f>
        <v/>
      </c>
      <c r="J166" t="str">
        <f ca="1">'Borehole Logging'!BB166</f>
        <v/>
      </c>
      <c r="K166" t="str">
        <f ca="1">'Borehole Logging'!BC166</f>
        <v/>
      </c>
    </row>
    <row r="167" spans="1:11" x14ac:dyDescent="0.25">
      <c r="A167">
        <f>'Borehole Logging'!A167</f>
        <v>0</v>
      </c>
      <c r="B167">
        <f>'Borehole Logging'!C167</f>
        <v>0</v>
      </c>
      <c r="C167">
        <f>'Borehole Logging'!D167</f>
        <v>0</v>
      </c>
      <c r="E167">
        <f>'Borehole Logging'!F167</f>
        <v>0</v>
      </c>
      <c r="F167" t="str">
        <f ca="1">'Borehole Logging'!AX167</f>
        <v/>
      </c>
      <c r="G167" t="str">
        <f ca="1">'Borehole Logging'!AY167</f>
        <v/>
      </c>
      <c r="H167" t="str">
        <f ca="1">'Borehole Logging'!AZ167</f>
        <v/>
      </c>
      <c r="I167" t="str">
        <f ca="1">'Borehole Logging'!BA167</f>
        <v/>
      </c>
      <c r="J167" t="str">
        <f ca="1">'Borehole Logging'!BB167</f>
        <v/>
      </c>
      <c r="K167" t="str">
        <f ca="1">'Borehole Logging'!BC167</f>
        <v/>
      </c>
    </row>
    <row r="168" spans="1:11" x14ac:dyDescent="0.25">
      <c r="A168">
        <f>'Borehole Logging'!A168</f>
        <v>0</v>
      </c>
      <c r="B168">
        <f>'Borehole Logging'!C168</f>
        <v>0</v>
      </c>
      <c r="C168">
        <f>'Borehole Logging'!D168</f>
        <v>0</v>
      </c>
      <c r="E168">
        <f>'Borehole Logging'!F168</f>
        <v>0</v>
      </c>
      <c r="F168" t="str">
        <f ca="1">'Borehole Logging'!AX168</f>
        <v/>
      </c>
      <c r="G168" t="str">
        <f ca="1">'Borehole Logging'!AY168</f>
        <v/>
      </c>
      <c r="H168" t="str">
        <f ca="1">'Borehole Logging'!AZ168</f>
        <v/>
      </c>
      <c r="I168" t="str">
        <f ca="1">'Borehole Logging'!BA168</f>
        <v/>
      </c>
      <c r="J168" t="str">
        <f ca="1">'Borehole Logging'!BB168</f>
        <v/>
      </c>
      <c r="K168" t="str">
        <f ca="1">'Borehole Logging'!BC168</f>
        <v/>
      </c>
    </row>
    <row r="169" spans="1:11" x14ac:dyDescent="0.25">
      <c r="A169">
        <f>'Borehole Logging'!A169</f>
        <v>0</v>
      </c>
      <c r="B169">
        <f>'Borehole Logging'!C169</f>
        <v>0</v>
      </c>
      <c r="C169">
        <f>'Borehole Logging'!D169</f>
        <v>0</v>
      </c>
      <c r="E169">
        <f>'Borehole Logging'!F169</f>
        <v>0</v>
      </c>
      <c r="F169" t="str">
        <f ca="1">'Borehole Logging'!AX169</f>
        <v/>
      </c>
      <c r="G169" t="str">
        <f ca="1">'Borehole Logging'!AY169</f>
        <v/>
      </c>
      <c r="H169" t="str">
        <f ca="1">'Borehole Logging'!AZ169</f>
        <v/>
      </c>
      <c r="I169" t="str">
        <f ca="1">'Borehole Logging'!BA169</f>
        <v/>
      </c>
      <c r="J169" t="str">
        <f ca="1">'Borehole Logging'!BB169</f>
        <v/>
      </c>
      <c r="K169" t="str">
        <f ca="1">'Borehole Logging'!BC169</f>
        <v/>
      </c>
    </row>
    <row r="170" spans="1:11" x14ac:dyDescent="0.25">
      <c r="A170">
        <f>'Borehole Logging'!A170</f>
        <v>0</v>
      </c>
      <c r="B170">
        <f>'Borehole Logging'!C170</f>
        <v>0</v>
      </c>
      <c r="C170">
        <f>'Borehole Logging'!D170</f>
        <v>0</v>
      </c>
      <c r="E170">
        <f>'Borehole Logging'!F170</f>
        <v>0</v>
      </c>
      <c r="F170" t="str">
        <f ca="1">'Borehole Logging'!AX170</f>
        <v/>
      </c>
      <c r="G170" t="str">
        <f ca="1">'Borehole Logging'!AY170</f>
        <v/>
      </c>
      <c r="H170" t="str">
        <f ca="1">'Borehole Logging'!AZ170</f>
        <v/>
      </c>
      <c r="I170" t="str">
        <f ca="1">'Borehole Logging'!BA170</f>
        <v/>
      </c>
      <c r="J170" t="str">
        <f ca="1">'Borehole Logging'!BB170</f>
        <v/>
      </c>
      <c r="K170" t="str">
        <f ca="1">'Borehole Logging'!BC170</f>
        <v/>
      </c>
    </row>
    <row r="171" spans="1:11" x14ac:dyDescent="0.25">
      <c r="A171">
        <f>'Borehole Logging'!A171</f>
        <v>0</v>
      </c>
      <c r="B171">
        <f>'Borehole Logging'!C171</f>
        <v>0</v>
      </c>
      <c r="C171">
        <f>'Borehole Logging'!D171</f>
        <v>0</v>
      </c>
      <c r="E171">
        <f>'Borehole Logging'!F171</f>
        <v>0</v>
      </c>
      <c r="F171" t="str">
        <f ca="1">'Borehole Logging'!AX171</f>
        <v/>
      </c>
      <c r="G171" t="str">
        <f ca="1">'Borehole Logging'!AY171</f>
        <v/>
      </c>
      <c r="H171" t="str">
        <f ca="1">'Borehole Logging'!AZ171</f>
        <v/>
      </c>
      <c r="I171" t="str">
        <f ca="1">'Borehole Logging'!BA171</f>
        <v/>
      </c>
      <c r="J171" t="str">
        <f ca="1">'Borehole Logging'!BB171</f>
        <v/>
      </c>
      <c r="K171" t="str">
        <f ca="1">'Borehole Logging'!BC171</f>
        <v/>
      </c>
    </row>
    <row r="172" spans="1:11" x14ac:dyDescent="0.25">
      <c r="A172">
        <f>'Borehole Logging'!A172</f>
        <v>0</v>
      </c>
      <c r="B172">
        <f>'Borehole Logging'!C172</f>
        <v>0</v>
      </c>
      <c r="C172">
        <f>'Borehole Logging'!D172</f>
        <v>0</v>
      </c>
      <c r="E172">
        <f>'Borehole Logging'!F172</f>
        <v>0</v>
      </c>
      <c r="F172" t="str">
        <f ca="1">'Borehole Logging'!AX172</f>
        <v/>
      </c>
      <c r="G172" t="str">
        <f ca="1">'Borehole Logging'!AY172</f>
        <v/>
      </c>
      <c r="H172" t="str">
        <f ca="1">'Borehole Logging'!AZ172</f>
        <v/>
      </c>
      <c r="I172" t="str">
        <f ca="1">'Borehole Logging'!BA172</f>
        <v/>
      </c>
      <c r="J172" t="str">
        <f ca="1">'Borehole Logging'!BB172</f>
        <v/>
      </c>
      <c r="K172" t="str">
        <f ca="1">'Borehole Logging'!BC172</f>
        <v/>
      </c>
    </row>
    <row r="173" spans="1:11" x14ac:dyDescent="0.25">
      <c r="A173">
        <f>'Borehole Logging'!A173</f>
        <v>0</v>
      </c>
      <c r="B173">
        <f>'Borehole Logging'!C173</f>
        <v>0</v>
      </c>
      <c r="C173">
        <f>'Borehole Logging'!D173</f>
        <v>0</v>
      </c>
      <c r="E173">
        <f>'Borehole Logging'!F173</f>
        <v>0</v>
      </c>
      <c r="F173" t="str">
        <f ca="1">'Borehole Logging'!AX173</f>
        <v/>
      </c>
      <c r="G173" t="str">
        <f ca="1">'Borehole Logging'!AY173</f>
        <v/>
      </c>
      <c r="H173" t="str">
        <f ca="1">'Borehole Logging'!AZ173</f>
        <v/>
      </c>
      <c r="I173" t="str">
        <f ca="1">'Borehole Logging'!BA173</f>
        <v/>
      </c>
      <c r="J173" t="str">
        <f ca="1">'Borehole Logging'!BB173</f>
        <v/>
      </c>
      <c r="K173" t="str">
        <f ca="1">'Borehole Logging'!BC173</f>
        <v/>
      </c>
    </row>
    <row r="174" spans="1:11" x14ac:dyDescent="0.25">
      <c r="A174">
        <f>'Borehole Logging'!A174</f>
        <v>0</v>
      </c>
      <c r="B174">
        <f>'Borehole Logging'!C174</f>
        <v>0</v>
      </c>
      <c r="C174">
        <f>'Borehole Logging'!D174</f>
        <v>0</v>
      </c>
      <c r="E174">
        <f>'Borehole Logging'!F174</f>
        <v>0</v>
      </c>
      <c r="F174" t="str">
        <f ca="1">'Borehole Logging'!AX174</f>
        <v/>
      </c>
      <c r="G174" t="str">
        <f ca="1">'Borehole Logging'!AY174</f>
        <v/>
      </c>
      <c r="H174" t="str">
        <f ca="1">'Borehole Logging'!AZ174</f>
        <v/>
      </c>
      <c r="I174" t="str">
        <f ca="1">'Borehole Logging'!BA174</f>
        <v/>
      </c>
      <c r="J174" t="str">
        <f ca="1">'Borehole Logging'!BB174</f>
        <v/>
      </c>
      <c r="K174" t="str">
        <f ca="1">'Borehole Logging'!BC174</f>
        <v/>
      </c>
    </row>
    <row r="175" spans="1:11" x14ac:dyDescent="0.25">
      <c r="A175">
        <f>'Borehole Logging'!A175</f>
        <v>0</v>
      </c>
      <c r="B175">
        <f>'Borehole Logging'!C175</f>
        <v>0</v>
      </c>
      <c r="C175">
        <f>'Borehole Logging'!D175</f>
        <v>0</v>
      </c>
      <c r="E175">
        <f>'Borehole Logging'!F175</f>
        <v>0</v>
      </c>
      <c r="F175" t="str">
        <f ca="1">'Borehole Logging'!AX175</f>
        <v/>
      </c>
      <c r="G175" t="str">
        <f ca="1">'Borehole Logging'!AY175</f>
        <v/>
      </c>
      <c r="H175" t="str">
        <f ca="1">'Borehole Logging'!AZ175</f>
        <v/>
      </c>
      <c r="I175" t="str">
        <f ca="1">'Borehole Logging'!BA175</f>
        <v/>
      </c>
      <c r="J175" t="str">
        <f ca="1">'Borehole Logging'!BB175</f>
        <v/>
      </c>
      <c r="K175" t="str">
        <f ca="1">'Borehole Logging'!BC175</f>
        <v/>
      </c>
    </row>
    <row r="176" spans="1:11" x14ac:dyDescent="0.25">
      <c r="A176">
        <f>'Borehole Logging'!A176</f>
        <v>0</v>
      </c>
      <c r="B176">
        <f>'Borehole Logging'!C176</f>
        <v>0</v>
      </c>
      <c r="C176">
        <f>'Borehole Logging'!D176</f>
        <v>0</v>
      </c>
      <c r="E176">
        <f>'Borehole Logging'!F176</f>
        <v>0</v>
      </c>
      <c r="F176" t="str">
        <f ca="1">'Borehole Logging'!AX176</f>
        <v/>
      </c>
      <c r="G176" t="str">
        <f ca="1">'Borehole Logging'!AY176</f>
        <v/>
      </c>
      <c r="H176" t="str">
        <f ca="1">'Borehole Logging'!AZ176</f>
        <v/>
      </c>
      <c r="I176" t="str">
        <f ca="1">'Borehole Logging'!BA176</f>
        <v/>
      </c>
      <c r="J176" t="str">
        <f ca="1">'Borehole Logging'!BB176</f>
        <v/>
      </c>
      <c r="K176" t="str">
        <f ca="1">'Borehole Logging'!BC176</f>
        <v/>
      </c>
    </row>
    <row r="177" spans="1:11" x14ac:dyDescent="0.25">
      <c r="A177">
        <f>'Borehole Logging'!A177</f>
        <v>0</v>
      </c>
      <c r="B177">
        <f>'Borehole Logging'!C177</f>
        <v>0</v>
      </c>
      <c r="C177">
        <f>'Borehole Logging'!D177</f>
        <v>0</v>
      </c>
      <c r="E177">
        <f>'Borehole Logging'!F177</f>
        <v>0</v>
      </c>
      <c r="F177" t="str">
        <f ca="1">'Borehole Logging'!AX177</f>
        <v/>
      </c>
      <c r="G177" t="str">
        <f ca="1">'Borehole Logging'!AY177</f>
        <v/>
      </c>
      <c r="H177" t="str">
        <f ca="1">'Borehole Logging'!AZ177</f>
        <v/>
      </c>
      <c r="I177" t="str">
        <f ca="1">'Borehole Logging'!BA177</f>
        <v/>
      </c>
      <c r="J177" t="str">
        <f ca="1">'Borehole Logging'!BB177</f>
        <v/>
      </c>
      <c r="K177" t="str">
        <f ca="1">'Borehole Logging'!BC177</f>
        <v/>
      </c>
    </row>
    <row r="178" spans="1:11" x14ac:dyDescent="0.25">
      <c r="A178">
        <f>'Borehole Logging'!A178</f>
        <v>0</v>
      </c>
      <c r="B178">
        <f>'Borehole Logging'!C178</f>
        <v>0</v>
      </c>
      <c r="C178">
        <f>'Borehole Logging'!D178</f>
        <v>0</v>
      </c>
      <c r="E178">
        <f>'Borehole Logging'!F178</f>
        <v>0</v>
      </c>
      <c r="F178" t="str">
        <f ca="1">'Borehole Logging'!AX178</f>
        <v/>
      </c>
      <c r="G178" t="str">
        <f ca="1">'Borehole Logging'!AY178</f>
        <v/>
      </c>
      <c r="H178" t="str">
        <f ca="1">'Borehole Logging'!AZ178</f>
        <v/>
      </c>
      <c r="I178" t="str">
        <f ca="1">'Borehole Logging'!BA178</f>
        <v/>
      </c>
      <c r="J178" t="str">
        <f ca="1">'Borehole Logging'!BB178</f>
        <v/>
      </c>
      <c r="K178" t="str">
        <f ca="1">'Borehole Logging'!BC178</f>
        <v/>
      </c>
    </row>
    <row r="179" spans="1:11" x14ac:dyDescent="0.25">
      <c r="A179">
        <f>'Borehole Logging'!A179</f>
        <v>0</v>
      </c>
      <c r="B179">
        <f>'Borehole Logging'!C179</f>
        <v>0</v>
      </c>
      <c r="C179">
        <f>'Borehole Logging'!D179</f>
        <v>0</v>
      </c>
      <c r="E179">
        <f>'Borehole Logging'!F179</f>
        <v>0</v>
      </c>
      <c r="F179" t="str">
        <f ca="1">'Borehole Logging'!AX179</f>
        <v/>
      </c>
      <c r="G179" t="str">
        <f ca="1">'Borehole Logging'!AY179</f>
        <v/>
      </c>
      <c r="H179" t="str">
        <f ca="1">'Borehole Logging'!AZ179</f>
        <v/>
      </c>
      <c r="I179" t="str">
        <f ca="1">'Borehole Logging'!BA179</f>
        <v/>
      </c>
      <c r="J179" t="str">
        <f ca="1">'Borehole Logging'!BB179</f>
        <v/>
      </c>
      <c r="K179" t="str">
        <f ca="1">'Borehole Logging'!BC179</f>
        <v/>
      </c>
    </row>
    <row r="180" spans="1:11" x14ac:dyDescent="0.25">
      <c r="A180">
        <f>'Borehole Logging'!A180</f>
        <v>0</v>
      </c>
      <c r="B180">
        <f>'Borehole Logging'!C180</f>
        <v>0</v>
      </c>
      <c r="C180">
        <f>'Borehole Logging'!D180</f>
        <v>0</v>
      </c>
      <c r="E180">
        <f>'Borehole Logging'!F180</f>
        <v>0</v>
      </c>
      <c r="F180" t="str">
        <f ca="1">'Borehole Logging'!AX180</f>
        <v/>
      </c>
      <c r="G180" t="str">
        <f ca="1">'Borehole Logging'!AY180</f>
        <v/>
      </c>
      <c r="H180" t="str">
        <f ca="1">'Borehole Logging'!AZ180</f>
        <v/>
      </c>
      <c r="I180" t="str">
        <f ca="1">'Borehole Logging'!BA180</f>
        <v/>
      </c>
      <c r="J180" t="str">
        <f ca="1">'Borehole Logging'!BB180</f>
        <v/>
      </c>
      <c r="K180" t="str">
        <f ca="1">'Borehole Logging'!BC180</f>
        <v/>
      </c>
    </row>
    <row r="181" spans="1:11" x14ac:dyDescent="0.25">
      <c r="A181">
        <f>'Borehole Logging'!A181</f>
        <v>0</v>
      </c>
      <c r="B181">
        <f>'Borehole Logging'!C181</f>
        <v>0</v>
      </c>
      <c r="C181">
        <f>'Borehole Logging'!D181</f>
        <v>0</v>
      </c>
      <c r="E181">
        <f>'Borehole Logging'!F181</f>
        <v>0</v>
      </c>
      <c r="F181" t="str">
        <f ca="1">'Borehole Logging'!AX181</f>
        <v/>
      </c>
      <c r="G181" t="str">
        <f ca="1">'Borehole Logging'!AY181</f>
        <v/>
      </c>
      <c r="H181" t="str">
        <f ca="1">'Borehole Logging'!AZ181</f>
        <v/>
      </c>
      <c r="I181" t="str">
        <f ca="1">'Borehole Logging'!BA181</f>
        <v/>
      </c>
      <c r="J181" t="str">
        <f ca="1">'Borehole Logging'!BB181</f>
        <v/>
      </c>
      <c r="K181" t="str">
        <f ca="1">'Borehole Logging'!BC181</f>
        <v/>
      </c>
    </row>
    <row r="182" spans="1:11" x14ac:dyDescent="0.25">
      <c r="A182">
        <f>'Borehole Logging'!A182</f>
        <v>0</v>
      </c>
      <c r="B182">
        <f>'Borehole Logging'!C182</f>
        <v>0</v>
      </c>
      <c r="C182">
        <f>'Borehole Logging'!D182</f>
        <v>0</v>
      </c>
      <c r="E182">
        <f>'Borehole Logging'!F182</f>
        <v>0</v>
      </c>
      <c r="F182" t="str">
        <f ca="1">'Borehole Logging'!AX182</f>
        <v/>
      </c>
      <c r="G182" t="str">
        <f ca="1">'Borehole Logging'!AY182</f>
        <v/>
      </c>
      <c r="H182" t="str">
        <f ca="1">'Borehole Logging'!AZ182</f>
        <v/>
      </c>
      <c r="I182" t="str">
        <f ca="1">'Borehole Logging'!BA182</f>
        <v/>
      </c>
      <c r="J182" t="str">
        <f ca="1">'Borehole Logging'!BB182</f>
        <v/>
      </c>
      <c r="K182" t="str">
        <f ca="1">'Borehole Logging'!BC182</f>
        <v/>
      </c>
    </row>
    <row r="183" spans="1:11" x14ac:dyDescent="0.25">
      <c r="A183">
        <f>'Borehole Logging'!A183</f>
        <v>0</v>
      </c>
      <c r="B183">
        <f>'Borehole Logging'!C183</f>
        <v>0</v>
      </c>
      <c r="C183">
        <f>'Borehole Logging'!D183</f>
        <v>0</v>
      </c>
      <c r="E183">
        <f>'Borehole Logging'!F183</f>
        <v>0</v>
      </c>
      <c r="F183" t="str">
        <f ca="1">'Borehole Logging'!AX183</f>
        <v/>
      </c>
      <c r="G183" t="str">
        <f ca="1">'Borehole Logging'!AY183</f>
        <v/>
      </c>
      <c r="H183" t="str">
        <f ca="1">'Borehole Logging'!AZ183</f>
        <v/>
      </c>
      <c r="I183" t="str">
        <f ca="1">'Borehole Logging'!BA183</f>
        <v/>
      </c>
      <c r="J183" t="str">
        <f ca="1">'Borehole Logging'!BB183</f>
        <v/>
      </c>
      <c r="K183" t="str">
        <f ca="1">'Borehole Logging'!BC183</f>
        <v/>
      </c>
    </row>
    <row r="184" spans="1:11" x14ac:dyDescent="0.25">
      <c r="A184">
        <f>'Borehole Logging'!A184</f>
        <v>0</v>
      </c>
      <c r="B184">
        <f>'Borehole Logging'!C184</f>
        <v>0</v>
      </c>
      <c r="C184">
        <f>'Borehole Logging'!D184</f>
        <v>0</v>
      </c>
      <c r="E184">
        <f>'Borehole Logging'!F184</f>
        <v>0</v>
      </c>
      <c r="F184" t="str">
        <f ca="1">'Borehole Logging'!AX184</f>
        <v/>
      </c>
      <c r="G184" t="str">
        <f ca="1">'Borehole Logging'!AY184</f>
        <v/>
      </c>
      <c r="H184" t="str">
        <f ca="1">'Borehole Logging'!AZ184</f>
        <v/>
      </c>
      <c r="I184" t="str">
        <f ca="1">'Borehole Logging'!BA184</f>
        <v/>
      </c>
      <c r="J184" t="str">
        <f ca="1">'Borehole Logging'!BB184</f>
        <v/>
      </c>
      <c r="K184" t="str">
        <f ca="1">'Borehole Logging'!BC184</f>
        <v/>
      </c>
    </row>
    <row r="185" spans="1:11" x14ac:dyDescent="0.25">
      <c r="A185">
        <f>'Borehole Logging'!A185</f>
        <v>0</v>
      </c>
      <c r="B185">
        <f>'Borehole Logging'!C185</f>
        <v>0</v>
      </c>
      <c r="C185">
        <f>'Borehole Logging'!D185</f>
        <v>0</v>
      </c>
      <c r="E185">
        <f>'Borehole Logging'!F185</f>
        <v>0</v>
      </c>
      <c r="F185" t="str">
        <f ca="1">'Borehole Logging'!AX185</f>
        <v/>
      </c>
      <c r="G185" t="str">
        <f ca="1">'Borehole Logging'!AY185</f>
        <v/>
      </c>
      <c r="H185" t="str">
        <f ca="1">'Borehole Logging'!AZ185</f>
        <v/>
      </c>
      <c r="I185" t="str">
        <f ca="1">'Borehole Logging'!BA185</f>
        <v/>
      </c>
      <c r="J185" t="str">
        <f ca="1">'Borehole Logging'!BB185</f>
        <v/>
      </c>
      <c r="K185" t="str">
        <f ca="1">'Borehole Logging'!BC185</f>
        <v/>
      </c>
    </row>
    <row r="186" spans="1:11" x14ac:dyDescent="0.25">
      <c r="A186">
        <f>'Borehole Logging'!A186</f>
        <v>0</v>
      </c>
      <c r="B186">
        <f>'Borehole Logging'!C186</f>
        <v>0</v>
      </c>
      <c r="C186">
        <f>'Borehole Logging'!D186</f>
        <v>0</v>
      </c>
      <c r="E186">
        <f>'Borehole Logging'!F186</f>
        <v>0</v>
      </c>
      <c r="F186" t="str">
        <f ca="1">'Borehole Logging'!AX186</f>
        <v/>
      </c>
      <c r="G186" t="str">
        <f ca="1">'Borehole Logging'!AY186</f>
        <v/>
      </c>
      <c r="H186" t="str">
        <f ca="1">'Borehole Logging'!AZ186</f>
        <v/>
      </c>
      <c r="I186" t="str">
        <f ca="1">'Borehole Logging'!BA186</f>
        <v/>
      </c>
      <c r="J186" t="str">
        <f ca="1">'Borehole Logging'!BB186</f>
        <v/>
      </c>
      <c r="K186" t="str">
        <f ca="1">'Borehole Logging'!BC186</f>
        <v/>
      </c>
    </row>
    <row r="187" spans="1:11" x14ac:dyDescent="0.25">
      <c r="A187">
        <f>'Borehole Logging'!A187</f>
        <v>0</v>
      </c>
      <c r="B187">
        <f>'Borehole Logging'!C187</f>
        <v>0</v>
      </c>
      <c r="C187">
        <f>'Borehole Logging'!D187</f>
        <v>0</v>
      </c>
      <c r="E187">
        <f>'Borehole Logging'!F187</f>
        <v>0</v>
      </c>
      <c r="F187" t="str">
        <f ca="1">'Borehole Logging'!AX187</f>
        <v/>
      </c>
      <c r="G187" t="str">
        <f ca="1">'Borehole Logging'!AY187</f>
        <v/>
      </c>
      <c r="H187" t="str">
        <f ca="1">'Borehole Logging'!AZ187</f>
        <v/>
      </c>
      <c r="I187" t="str">
        <f ca="1">'Borehole Logging'!BA187</f>
        <v/>
      </c>
      <c r="J187" t="str">
        <f ca="1">'Borehole Logging'!BB187</f>
        <v/>
      </c>
      <c r="K187" t="str">
        <f ca="1">'Borehole Logging'!BC187</f>
        <v/>
      </c>
    </row>
    <row r="188" spans="1:11" x14ac:dyDescent="0.25">
      <c r="A188">
        <f>'Borehole Logging'!A188</f>
        <v>0</v>
      </c>
      <c r="B188">
        <f>'Borehole Logging'!C188</f>
        <v>0</v>
      </c>
      <c r="C188">
        <f>'Borehole Logging'!D188</f>
        <v>0</v>
      </c>
      <c r="E188">
        <f>'Borehole Logging'!F188</f>
        <v>0</v>
      </c>
      <c r="F188" t="str">
        <f ca="1">'Borehole Logging'!AX188</f>
        <v/>
      </c>
      <c r="G188" t="str">
        <f ca="1">'Borehole Logging'!AY188</f>
        <v/>
      </c>
      <c r="H188" t="str">
        <f ca="1">'Borehole Logging'!AZ188</f>
        <v/>
      </c>
      <c r="I188" t="str">
        <f ca="1">'Borehole Logging'!BA188</f>
        <v/>
      </c>
      <c r="J188" t="str">
        <f ca="1">'Borehole Logging'!BB188</f>
        <v/>
      </c>
      <c r="K188" t="str">
        <f ca="1">'Borehole Logging'!BC188</f>
        <v/>
      </c>
    </row>
    <row r="189" spans="1:11" x14ac:dyDescent="0.25">
      <c r="A189">
        <f>'Borehole Logging'!A189</f>
        <v>0</v>
      </c>
      <c r="B189">
        <f>'Borehole Logging'!C189</f>
        <v>0</v>
      </c>
      <c r="C189">
        <f>'Borehole Logging'!D189</f>
        <v>0</v>
      </c>
      <c r="E189">
        <f>'Borehole Logging'!F189</f>
        <v>0</v>
      </c>
      <c r="F189" t="str">
        <f ca="1">'Borehole Logging'!AX189</f>
        <v/>
      </c>
      <c r="G189" t="str">
        <f ca="1">'Borehole Logging'!AY189</f>
        <v/>
      </c>
      <c r="H189" t="str">
        <f ca="1">'Borehole Logging'!AZ189</f>
        <v/>
      </c>
      <c r="I189" t="str">
        <f ca="1">'Borehole Logging'!BA189</f>
        <v/>
      </c>
      <c r="J189" t="str">
        <f ca="1">'Borehole Logging'!BB189</f>
        <v/>
      </c>
      <c r="K189" t="str">
        <f ca="1">'Borehole Logging'!BC189</f>
        <v/>
      </c>
    </row>
    <row r="190" spans="1:11" x14ac:dyDescent="0.25">
      <c r="A190">
        <f>'Borehole Logging'!A190</f>
        <v>0</v>
      </c>
      <c r="B190">
        <f>'Borehole Logging'!C190</f>
        <v>0</v>
      </c>
      <c r="C190">
        <f>'Borehole Logging'!D190</f>
        <v>0</v>
      </c>
      <c r="E190">
        <f>'Borehole Logging'!F190</f>
        <v>0</v>
      </c>
      <c r="F190" t="str">
        <f ca="1">'Borehole Logging'!AX190</f>
        <v/>
      </c>
      <c r="G190" t="str">
        <f ca="1">'Borehole Logging'!AY190</f>
        <v/>
      </c>
      <c r="H190" t="str">
        <f ca="1">'Borehole Logging'!AZ190</f>
        <v/>
      </c>
      <c r="I190" t="str">
        <f ca="1">'Borehole Logging'!BA190</f>
        <v/>
      </c>
      <c r="J190" t="str">
        <f ca="1">'Borehole Logging'!BB190</f>
        <v/>
      </c>
      <c r="K190" t="str">
        <f ca="1">'Borehole Logging'!BC190</f>
        <v/>
      </c>
    </row>
    <row r="191" spans="1:11" x14ac:dyDescent="0.25">
      <c r="A191">
        <f>'Borehole Logging'!A191</f>
        <v>0</v>
      </c>
      <c r="B191">
        <f>'Borehole Logging'!C191</f>
        <v>0</v>
      </c>
      <c r="C191">
        <f>'Borehole Logging'!D191</f>
        <v>0</v>
      </c>
      <c r="E191">
        <f>'Borehole Logging'!F191</f>
        <v>0</v>
      </c>
      <c r="F191" t="str">
        <f ca="1">'Borehole Logging'!AX191</f>
        <v/>
      </c>
      <c r="G191" t="str">
        <f ca="1">'Borehole Logging'!AY191</f>
        <v/>
      </c>
      <c r="H191" t="str">
        <f ca="1">'Borehole Logging'!AZ191</f>
        <v/>
      </c>
      <c r="I191" t="str">
        <f ca="1">'Borehole Logging'!BA191</f>
        <v/>
      </c>
      <c r="J191" t="str">
        <f ca="1">'Borehole Logging'!BB191</f>
        <v/>
      </c>
      <c r="K191" t="str">
        <f ca="1">'Borehole Logging'!BC191</f>
        <v/>
      </c>
    </row>
    <row r="192" spans="1:11" x14ac:dyDescent="0.25">
      <c r="A192">
        <f>'Borehole Logging'!A192</f>
        <v>0</v>
      </c>
      <c r="B192">
        <f>'Borehole Logging'!C192</f>
        <v>0</v>
      </c>
      <c r="C192">
        <f>'Borehole Logging'!D192</f>
        <v>0</v>
      </c>
      <c r="E192">
        <f>'Borehole Logging'!F192</f>
        <v>0</v>
      </c>
      <c r="F192" t="str">
        <f ca="1">'Borehole Logging'!AX192</f>
        <v/>
      </c>
      <c r="G192" t="str">
        <f ca="1">'Borehole Logging'!AY192</f>
        <v/>
      </c>
      <c r="H192" t="str">
        <f ca="1">'Borehole Logging'!AZ192</f>
        <v/>
      </c>
      <c r="I192" t="str">
        <f ca="1">'Borehole Logging'!BA192</f>
        <v/>
      </c>
      <c r="J192" t="str">
        <f ca="1">'Borehole Logging'!BB192</f>
        <v/>
      </c>
      <c r="K192" t="str">
        <f ca="1">'Borehole Logging'!BC192</f>
        <v/>
      </c>
    </row>
    <row r="193" spans="1:11" x14ac:dyDescent="0.25">
      <c r="A193">
        <f>'Borehole Logging'!A193</f>
        <v>0</v>
      </c>
      <c r="B193">
        <f>'Borehole Logging'!C193</f>
        <v>0</v>
      </c>
      <c r="C193">
        <f>'Borehole Logging'!D193</f>
        <v>0</v>
      </c>
      <c r="E193">
        <f>'Borehole Logging'!F193</f>
        <v>0</v>
      </c>
      <c r="F193" t="str">
        <f ca="1">'Borehole Logging'!AX193</f>
        <v/>
      </c>
      <c r="G193" t="str">
        <f ca="1">'Borehole Logging'!AY193</f>
        <v/>
      </c>
      <c r="H193" t="str">
        <f ca="1">'Borehole Logging'!AZ193</f>
        <v/>
      </c>
      <c r="I193" t="str">
        <f ca="1">'Borehole Logging'!BA193</f>
        <v/>
      </c>
      <c r="J193" t="str">
        <f ca="1">'Borehole Logging'!BB193</f>
        <v/>
      </c>
      <c r="K193" t="str">
        <f ca="1">'Borehole Logging'!BC193</f>
        <v/>
      </c>
    </row>
    <row r="194" spans="1:11" x14ac:dyDescent="0.25">
      <c r="A194">
        <f>'Borehole Logging'!A194</f>
        <v>0</v>
      </c>
      <c r="B194">
        <f>'Borehole Logging'!C194</f>
        <v>0</v>
      </c>
      <c r="C194">
        <f>'Borehole Logging'!D194</f>
        <v>0</v>
      </c>
      <c r="E194">
        <f>'Borehole Logging'!F194</f>
        <v>0</v>
      </c>
      <c r="F194" t="str">
        <f ca="1">'Borehole Logging'!AX194</f>
        <v/>
      </c>
      <c r="G194" t="str">
        <f ca="1">'Borehole Logging'!AY194</f>
        <v/>
      </c>
      <c r="H194" t="str">
        <f ca="1">'Borehole Logging'!AZ194</f>
        <v/>
      </c>
      <c r="I194" t="str">
        <f ca="1">'Borehole Logging'!BA194</f>
        <v/>
      </c>
      <c r="J194" t="str">
        <f ca="1">'Borehole Logging'!BB194</f>
        <v/>
      </c>
      <c r="K194" t="str">
        <f ca="1">'Borehole Logging'!BC194</f>
        <v/>
      </c>
    </row>
    <row r="195" spans="1:11" x14ac:dyDescent="0.25">
      <c r="A195">
        <f>'Borehole Logging'!A195</f>
        <v>0</v>
      </c>
      <c r="B195">
        <f>'Borehole Logging'!C195</f>
        <v>0</v>
      </c>
      <c r="C195">
        <f>'Borehole Logging'!D195</f>
        <v>0</v>
      </c>
      <c r="E195">
        <f>'Borehole Logging'!F195</f>
        <v>0</v>
      </c>
      <c r="F195" t="str">
        <f ca="1">'Borehole Logging'!AX195</f>
        <v/>
      </c>
      <c r="G195" t="str">
        <f ca="1">'Borehole Logging'!AY195</f>
        <v/>
      </c>
      <c r="H195" t="str">
        <f ca="1">'Borehole Logging'!AZ195</f>
        <v/>
      </c>
      <c r="I195" t="str">
        <f ca="1">'Borehole Logging'!BA195</f>
        <v/>
      </c>
      <c r="J195" t="str">
        <f ca="1">'Borehole Logging'!BB195</f>
        <v/>
      </c>
      <c r="K195" t="str">
        <f ca="1">'Borehole Logging'!BC195</f>
        <v/>
      </c>
    </row>
    <row r="196" spans="1:11" x14ac:dyDescent="0.25">
      <c r="A196">
        <f>'Borehole Logging'!A196</f>
        <v>0</v>
      </c>
      <c r="B196">
        <f>'Borehole Logging'!C196</f>
        <v>0</v>
      </c>
      <c r="C196">
        <f>'Borehole Logging'!D196</f>
        <v>0</v>
      </c>
      <c r="E196">
        <f>'Borehole Logging'!F196</f>
        <v>0</v>
      </c>
      <c r="F196" t="str">
        <f ca="1">'Borehole Logging'!AX196</f>
        <v/>
      </c>
      <c r="G196" t="str">
        <f ca="1">'Borehole Logging'!AY196</f>
        <v/>
      </c>
      <c r="H196" t="str">
        <f ca="1">'Borehole Logging'!AZ196</f>
        <v/>
      </c>
      <c r="I196" t="str">
        <f ca="1">'Borehole Logging'!BA196</f>
        <v/>
      </c>
      <c r="J196" t="str">
        <f ca="1">'Borehole Logging'!BB196</f>
        <v/>
      </c>
      <c r="K196" t="str">
        <f ca="1">'Borehole Logging'!BC196</f>
        <v/>
      </c>
    </row>
    <row r="197" spans="1:11" x14ac:dyDescent="0.25">
      <c r="A197">
        <f>'Borehole Logging'!A197</f>
        <v>0</v>
      </c>
      <c r="B197">
        <f>'Borehole Logging'!C197</f>
        <v>0</v>
      </c>
      <c r="C197">
        <f>'Borehole Logging'!D197</f>
        <v>0</v>
      </c>
      <c r="E197">
        <f>'Borehole Logging'!F197</f>
        <v>0</v>
      </c>
      <c r="F197" t="str">
        <f ca="1">'Borehole Logging'!AX197</f>
        <v/>
      </c>
      <c r="G197" t="str">
        <f ca="1">'Borehole Logging'!AY197</f>
        <v/>
      </c>
      <c r="H197" t="str">
        <f ca="1">'Borehole Logging'!AZ197</f>
        <v/>
      </c>
      <c r="I197" t="str">
        <f ca="1">'Borehole Logging'!BA197</f>
        <v/>
      </c>
      <c r="J197" t="str">
        <f ca="1">'Borehole Logging'!BB197</f>
        <v/>
      </c>
      <c r="K197" t="str">
        <f ca="1">'Borehole Logging'!BC197</f>
        <v/>
      </c>
    </row>
    <row r="198" spans="1:11" x14ac:dyDescent="0.25">
      <c r="A198">
        <f>'Borehole Logging'!A198</f>
        <v>0</v>
      </c>
      <c r="B198">
        <f>'Borehole Logging'!C198</f>
        <v>0</v>
      </c>
      <c r="C198">
        <f>'Borehole Logging'!D198</f>
        <v>0</v>
      </c>
      <c r="E198">
        <f>'Borehole Logging'!F198</f>
        <v>0</v>
      </c>
      <c r="F198" t="str">
        <f ca="1">'Borehole Logging'!AX198</f>
        <v/>
      </c>
      <c r="G198" t="str">
        <f ca="1">'Borehole Logging'!AY198</f>
        <v/>
      </c>
      <c r="H198" t="str">
        <f ca="1">'Borehole Logging'!AZ198</f>
        <v/>
      </c>
      <c r="I198" t="str">
        <f ca="1">'Borehole Logging'!BA198</f>
        <v/>
      </c>
      <c r="J198" t="str">
        <f ca="1">'Borehole Logging'!BB198</f>
        <v/>
      </c>
      <c r="K198" t="str">
        <f ca="1">'Borehole Logging'!BC198</f>
        <v/>
      </c>
    </row>
    <row r="199" spans="1:11" x14ac:dyDescent="0.25">
      <c r="A199">
        <f>'Borehole Logging'!A199</f>
        <v>0</v>
      </c>
      <c r="B199">
        <f>'Borehole Logging'!C199</f>
        <v>0</v>
      </c>
      <c r="C199">
        <f>'Borehole Logging'!D199</f>
        <v>0</v>
      </c>
      <c r="E199">
        <f>'Borehole Logging'!F199</f>
        <v>0</v>
      </c>
      <c r="F199" t="str">
        <f ca="1">'Borehole Logging'!AX199</f>
        <v/>
      </c>
      <c r="G199" t="str">
        <f ca="1">'Borehole Logging'!AY199</f>
        <v/>
      </c>
      <c r="H199" t="str">
        <f ca="1">'Borehole Logging'!AZ199</f>
        <v/>
      </c>
      <c r="I199" t="str">
        <f ca="1">'Borehole Logging'!BA199</f>
        <v/>
      </c>
      <c r="J199" t="str">
        <f ca="1">'Borehole Logging'!BB199</f>
        <v/>
      </c>
      <c r="K199" t="str">
        <f ca="1">'Borehole Logging'!BC199</f>
        <v/>
      </c>
    </row>
    <row r="200" spans="1:11" x14ac:dyDescent="0.25">
      <c r="A200">
        <f>'Borehole Logging'!A200</f>
        <v>0</v>
      </c>
      <c r="B200">
        <f>'Borehole Logging'!C200</f>
        <v>0</v>
      </c>
      <c r="C200">
        <f>'Borehole Logging'!D200</f>
        <v>0</v>
      </c>
      <c r="E200">
        <f>'Borehole Logging'!F200</f>
        <v>0</v>
      </c>
      <c r="F200" t="str">
        <f ca="1">'Borehole Logging'!AX200</f>
        <v/>
      </c>
      <c r="G200" t="str">
        <f ca="1">'Borehole Logging'!AY200</f>
        <v/>
      </c>
      <c r="H200" t="str">
        <f ca="1">'Borehole Logging'!AZ200</f>
        <v/>
      </c>
      <c r="I200" t="str">
        <f ca="1">'Borehole Logging'!BA200</f>
        <v/>
      </c>
      <c r="J200" t="str">
        <f ca="1">'Borehole Logging'!BB200</f>
        <v/>
      </c>
      <c r="K200" t="str">
        <f ca="1">'Borehole Logging'!BC200</f>
        <v/>
      </c>
    </row>
    <row r="201" spans="1:11" x14ac:dyDescent="0.25">
      <c r="A201">
        <f>'Borehole Logging'!A201</f>
        <v>0</v>
      </c>
      <c r="B201">
        <f>'Borehole Logging'!C201</f>
        <v>0</v>
      </c>
      <c r="C201">
        <f>'Borehole Logging'!D201</f>
        <v>0</v>
      </c>
      <c r="E201">
        <f>'Borehole Logging'!F201</f>
        <v>0</v>
      </c>
      <c r="F201" t="str">
        <f ca="1">'Borehole Logging'!AX201</f>
        <v/>
      </c>
      <c r="G201" t="str">
        <f ca="1">'Borehole Logging'!AY201</f>
        <v/>
      </c>
      <c r="H201" t="str">
        <f ca="1">'Borehole Logging'!AZ201</f>
        <v/>
      </c>
      <c r="I201" t="str">
        <f ca="1">'Borehole Logging'!BA201</f>
        <v/>
      </c>
      <c r="J201" t="str">
        <f ca="1">'Borehole Logging'!BB201</f>
        <v/>
      </c>
      <c r="K201" t="str">
        <f ca="1">'Borehole Logging'!BC201</f>
        <v/>
      </c>
    </row>
    <row r="202" spans="1:11" x14ac:dyDescent="0.25">
      <c r="A202">
        <f>'Borehole Logging'!A202</f>
        <v>0</v>
      </c>
      <c r="B202">
        <f>'Borehole Logging'!C202</f>
        <v>0</v>
      </c>
      <c r="C202">
        <f>'Borehole Logging'!D202</f>
        <v>0</v>
      </c>
      <c r="E202">
        <f>'Borehole Logging'!F202</f>
        <v>0</v>
      </c>
      <c r="F202" t="str">
        <f ca="1">'Borehole Logging'!AX202</f>
        <v/>
      </c>
      <c r="G202" t="str">
        <f ca="1">'Borehole Logging'!AY202</f>
        <v/>
      </c>
      <c r="H202" t="str">
        <f ca="1">'Borehole Logging'!AZ202</f>
        <v/>
      </c>
      <c r="I202" t="str">
        <f ca="1">'Borehole Logging'!BA202</f>
        <v/>
      </c>
      <c r="J202" t="str">
        <f ca="1">'Borehole Logging'!BB202</f>
        <v/>
      </c>
      <c r="K202" t="str">
        <f ca="1">'Borehole Logging'!BC202</f>
        <v/>
      </c>
    </row>
    <row r="203" spans="1:11" x14ac:dyDescent="0.25">
      <c r="A203">
        <f>'Borehole Logging'!A203</f>
        <v>0</v>
      </c>
      <c r="B203">
        <f>'Borehole Logging'!C203</f>
        <v>0</v>
      </c>
      <c r="C203">
        <f>'Borehole Logging'!D203</f>
        <v>0</v>
      </c>
      <c r="E203">
        <f>'Borehole Logging'!F203</f>
        <v>0</v>
      </c>
      <c r="F203" t="str">
        <f ca="1">'Borehole Logging'!AX203</f>
        <v/>
      </c>
      <c r="G203" t="str">
        <f ca="1">'Borehole Logging'!AY203</f>
        <v/>
      </c>
      <c r="H203" t="str">
        <f ca="1">'Borehole Logging'!AZ203</f>
        <v/>
      </c>
      <c r="I203" t="str">
        <f ca="1">'Borehole Logging'!BA203</f>
        <v/>
      </c>
      <c r="J203" t="str">
        <f ca="1">'Borehole Logging'!BB203</f>
        <v/>
      </c>
      <c r="K203" t="str">
        <f ca="1">'Borehole Logging'!BC203</f>
        <v/>
      </c>
    </row>
    <row r="204" spans="1:11" x14ac:dyDescent="0.25">
      <c r="A204">
        <f>'Borehole Logging'!A204</f>
        <v>0</v>
      </c>
      <c r="B204">
        <f>'Borehole Logging'!C204</f>
        <v>0</v>
      </c>
      <c r="C204">
        <f>'Borehole Logging'!D204</f>
        <v>0</v>
      </c>
      <c r="E204">
        <f>'Borehole Logging'!F204</f>
        <v>0</v>
      </c>
      <c r="F204" t="str">
        <f ca="1">'Borehole Logging'!AX204</f>
        <v/>
      </c>
      <c r="G204" t="str">
        <f ca="1">'Borehole Logging'!AY204</f>
        <v/>
      </c>
      <c r="H204" t="str">
        <f ca="1">'Borehole Logging'!AZ204</f>
        <v/>
      </c>
      <c r="I204" t="str">
        <f ca="1">'Borehole Logging'!BA204</f>
        <v/>
      </c>
      <c r="J204" t="str">
        <f ca="1">'Borehole Logging'!BB204</f>
        <v/>
      </c>
      <c r="K204" t="str">
        <f ca="1">'Borehole Logging'!BC204</f>
        <v/>
      </c>
    </row>
    <row r="205" spans="1:11" x14ac:dyDescent="0.25">
      <c r="A205">
        <f>'Borehole Logging'!A205</f>
        <v>0</v>
      </c>
      <c r="B205">
        <f>'Borehole Logging'!C205</f>
        <v>0</v>
      </c>
      <c r="C205">
        <f>'Borehole Logging'!D205</f>
        <v>0</v>
      </c>
      <c r="E205">
        <f>'Borehole Logging'!F205</f>
        <v>0</v>
      </c>
      <c r="F205" t="str">
        <f ca="1">'Borehole Logging'!AX205</f>
        <v/>
      </c>
      <c r="G205" t="str">
        <f ca="1">'Borehole Logging'!AY205</f>
        <v/>
      </c>
      <c r="H205" t="str">
        <f ca="1">'Borehole Logging'!AZ205</f>
        <v/>
      </c>
      <c r="I205" t="str">
        <f ca="1">'Borehole Logging'!BA205</f>
        <v/>
      </c>
      <c r="J205" t="str">
        <f ca="1">'Borehole Logging'!BB205</f>
        <v/>
      </c>
      <c r="K205" t="str">
        <f ca="1">'Borehole Logging'!BC205</f>
        <v/>
      </c>
    </row>
    <row r="206" spans="1:11" x14ac:dyDescent="0.25">
      <c r="A206">
        <f>'Borehole Logging'!A206</f>
        <v>0</v>
      </c>
      <c r="B206">
        <f>'Borehole Logging'!C206</f>
        <v>0</v>
      </c>
      <c r="C206">
        <f>'Borehole Logging'!D206</f>
        <v>0</v>
      </c>
      <c r="E206">
        <f>'Borehole Logging'!F206</f>
        <v>0</v>
      </c>
      <c r="F206" t="str">
        <f ca="1">'Borehole Logging'!AX206</f>
        <v/>
      </c>
      <c r="G206" t="str">
        <f ca="1">'Borehole Logging'!AY206</f>
        <v/>
      </c>
      <c r="H206" t="str">
        <f ca="1">'Borehole Logging'!AZ206</f>
        <v/>
      </c>
      <c r="I206" t="str">
        <f ca="1">'Borehole Logging'!BA206</f>
        <v/>
      </c>
      <c r="J206" t="str">
        <f ca="1">'Borehole Logging'!BB206</f>
        <v/>
      </c>
      <c r="K206" t="str">
        <f ca="1">'Borehole Logging'!BC206</f>
        <v/>
      </c>
    </row>
    <row r="207" spans="1:11" x14ac:dyDescent="0.25">
      <c r="A207">
        <f>'Borehole Logging'!A207</f>
        <v>0</v>
      </c>
      <c r="B207">
        <f>'Borehole Logging'!C207</f>
        <v>0</v>
      </c>
      <c r="C207">
        <f>'Borehole Logging'!D207</f>
        <v>0</v>
      </c>
      <c r="E207">
        <f>'Borehole Logging'!F207</f>
        <v>0</v>
      </c>
      <c r="F207" t="str">
        <f ca="1">'Borehole Logging'!AX207</f>
        <v/>
      </c>
      <c r="G207" t="str">
        <f ca="1">'Borehole Logging'!AY207</f>
        <v/>
      </c>
      <c r="H207" t="str">
        <f ca="1">'Borehole Logging'!AZ207</f>
        <v/>
      </c>
      <c r="I207" t="str">
        <f ca="1">'Borehole Logging'!BA207</f>
        <v/>
      </c>
      <c r="J207" t="str">
        <f ca="1">'Borehole Logging'!BB207</f>
        <v/>
      </c>
      <c r="K207" t="str">
        <f ca="1">'Borehole Logging'!BC207</f>
        <v/>
      </c>
    </row>
    <row r="208" spans="1:11" x14ac:dyDescent="0.25">
      <c r="A208">
        <f>'Borehole Logging'!A208</f>
        <v>0</v>
      </c>
      <c r="B208">
        <f>'Borehole Logging'!C208</f>
        <v>0</v>
      </c>
      <c r="C208">
        <f>'Borehole Logging'!D208</f>
        <v>0</v>
      </c>
      <c r="E208">
        <f>'Borehole Logging'!F208</f>
        <v>0</v>
      </c>
      <c r="F208" t="str">
        <f ca="1">'Borehole Logging'!AX208</f>
        <v/>
      </c>
      <c r="G208" t="str">
        <f ca="1">'Borehole Logging'!AY208</f>
        <v/>
      </c>
      <c r="H208" t="str">
        <f ca="1">'Borehole Logging'!AZ208</f>
        <v/>
      </c>
      <c r="I208" t="str">
        <f ca="1">'Borehole Logging'!BA208</f>
        <v/>
      </c>
      <c r="J208" t="str">
        <f ca="1">'Borehole Logging'!BB208</f>
        <v/>
      </c>
      <c r="K208" t="str">
        <f ca="1">'Borehole Logging'!BC208</f>
        <v/>
      </c>
    </row>
    <row r="209" spans="1:11" x14ac:dyDescent="0.25">
      <c r="A209">
        <f>'Borehole Logging'!A209</f>
        <v>0</v>
      </c>
      <c r="B209">
        <f>'Borehole Logging'!C209</f>
        <v>0</v>
      </c>
      <c r="C209">
        <f>'Borehole Logging'!D209</f>
        <v>0</v>
      </c>
      <c r="E209">
        <f>'Borehole Logging'!F209</f>
        <v>0</v>
      </c>
      <c r="F209" t="str">
        <f ca="1">'Borehole Logging'!AX209</f>
        <v/>
      </c>
      <c r="G209" t="str">
        <f ca="1">'Borehole Logging'!AY209</f>
        <v/>
      </c>
      <c r="H209" t="str">
        <f ca="1">'Borehole Logging'!AZ209</f>
        <v/>
      </c>
      <c r="I209" t="str">
        <f ca="1">'Borehole Logging'!BA209</f>
        <v/>
      </c>
      <c r="J209" t="str">
        <f ca="1">'Borehole Logging'!BB209</f>
        <v/>
      </c>
      <c r="K209" t="str">
        <f ca="1">'Borehole Logging'!BC209</f>
        <v/>
      </c>
    </row>
    <row r="210" spans="1:11" x14ac:dyDescent="0.25">
      <c r="A210">
        <f>'Borehole Logging'!A210</f>
        <v>0</v>
      </c>
      <c r="B210">
        <f>'Borehole Logging'!C210</f>
        <v>0</v>
      </c>
      <c r="C210">
        <f>'Borehole Logging'!D210</f>
        <v>0</v>
      </c>
      <c r="E210">
        <f>'Borehole Logging'!F210</f>
        <v>0</v>
      </c>
      <c r="F210" t="str">
        <f ca="1">'Borehole Logging'!AX210</f>
        <v/>
      </c>
      <c r="G210" t="str">
        <f ca="1">'Borehole Logging'!AY210</f>
        <v/>
      </c>
      <c r="H210" t="str">
        <f ca="1">'Borehole Logging'!AZ210</f>
        <v/>
      </c>
      <c r="I210" t="str">
        <f ca="1">'Borehole Logging'!BA210</f>
        <v/>
      </c>
      <c r="J210" t="str">
        <f ca="1">'Borehole Logging'!BB210</f>
        <v/>
      </c>
      <c r="K210" t="str">
        <f ca="1">'Borehole Logging'!BC210</f>
        <v/>
      </c>
    </row>
    <row r="211" spans="1:11" x14ac:dyDescent="0.25">
      <c r="A211">
        <f>'Borehole Logging'!A211</f>
        <v>0</v>
      </c>
      <c r="B211">
        <f>'Borehole Logging'!C211</f>
        <v>0</v>
      </c>
      <c r="C211">
        <f>'Borehole Logging'!D211</f>
        <v>0</v>
      </c>
      <c r="E211">
        <f>'Borehole Logging'!F211</f>
        <v>0</v>
      </c>
      <c r="F211" t="str">
        <f ca="1">'Borehole Logging'!AX211</f>
        <v/>
      </c>
      <c r="G211" t="str">
        <f ca="1">'Borehole Logging'!AY211</f>
        <v/>
      </c>
      <c r="H211" t="str">
        <f ca="1">'Borehole Logging'!AZ211</f>
        <v/>
      </c>
      <c r="I211" t="str">
        <f ca="1">'Borehole Logging'!BA211</f>
        <v/>
      </c>
      <c r="J211" t="str">
        <f ca="1">'Borehole Logging'!BB211</f>
        <v/>
      </c>
      <c r="K211" t="str">
        <f ca="1">'Borehole Logging'!BC211</f>
        <v/>
      </c>
    </row>
    <row r="212" spans="1:11" x14ac:dyDescent="0.25">
      <c r="A212">
        <f>'Borehole Logging'!A212</f>
        <v>0</v>
      </c>
      <c r="B212">
        <f>'Borehole Logging'!C212</f>
        <v>0</v>
      </c>
      <c r="C212">
        <f>'Borehole Logging'!D212</f>
        <v>0</v>
      </c>
      <c r="E212">
        <f>'Borehole Logging'!F212</f>
        <v>0</v>
      </c>
      <c r="F212" t="str">
        <f ca="1">'Borehole Logging'!AX212</f>
        <v/>
      </c>
      <c r="G212" t="str">
        <f ca="1">'Borehole Logging'!AY212</f>
        <v/>
      </c>
      <c r="H212" t="str">
        <f ca="1">'Borehole Logging'!AZ212</f>
        <v/>
      </c>
      <c r="I212" t="str">
        <f ca="1">'Borehole Logging'!BA212</f>
        <v/>
      </c>
      <c r="J212" t="str">
        <f ca="1">'Borehole Logging'!BB212</f>
        <v/>
      </c>
      <c r="K212" t="str">
        <f ca="1">'Borehole Logging'!BC212</f>
        <v/>
      </c>
    </row>
    <row r="213" spans="1:11" x14ac:dyDescent="0.25">
      <c r="A213">
        <f>'Borehole Logging'!A213</f>
        <v>0</v>
      </c>
      <c r="B213">
        <f>'Borehole Logging'!C213</f>
        <v>0</v>
      </c>
      <c r="C213">
        <f>'Borehole Logging'!D213</f>
        <v>0</v>
      </c>
      <c r="E213">
        <f>'Borehole Logging'!F213</f>
        <v>0</v>
      </c>
      <c r="F213" t="str">
        <f ca="1">'Borehole Logging'!AX213</f>
        <v/>
      </c>
      <c r="G213" t="str">
        <f ca="1">'Borehole Logging'!AY213</f>
        <v/>
      </c>
      <c r="H213" t="str">
        <f ca="1">'Borehole Logging'!AZ213</f>
        <v/>
      </c>
      <c r="I213" t="str">
        <f ca="1">'Borehole Logging'!BA213</f>
        <v/>
      </c>
      <c r="J213" t="str">
        <f ca="1">'Borehole Logging'!BB213</f>
        <v/>
      </c>
      <c r="K213" t="str">
        <f ca="1">'Borehole Logging'!BC213</f>
        <v/>
      </c>
    </row>
    <row r="214" spans="1:11" x14ac:dyDescent="0.25">
      <c r="A214">
        <f>'Borehole Logging'!A214</f>
        <v>0</v>
      </c>
      <c r="B214">
        <f>'Borehole Logging'!C214</f>
        <v>0</v>
      </c>
      <c r="C214">
        <f>'Borehole Logging'!D214</f>
        <v>0</v>
      </c>
      <c r="E214">
        <f>'Borehole Logging'!F214</f>
        <v>0</v>
      </c>
      <c r="F214" t="str">
        <f ca="1">'Borehole Logging'!AX214</f>
        <v/>
      </c>
      <c r="G214" t="str">
        <f ca="1">'Borehole Logging'!AY214</f>
        <v/>
      </c>
      <c r="H214" t="str">
        <f ca="1">'Borehole Logging'!AZ214</f>
        <v/>
      </c>
      <c r="I214" t="str">
        <f ca="1">'Borehole Logging'!BA214</f>
        <v/>
      </c>
      <c r="J214" t="str">
        <f ca="1">'Borehole Logging'!BB214</f>
        <v/>
      </c>
      <c r="K214" t="str">
        <f ca="1">'Borehole Logging'!BC214</f>
        <v/>
      </c>
    </row>
    <row r="215" spans="1:11" x14ac:dyDescent="0.25">
      <c r="A215">
        <f>'Borehole Logging'!A215</f>
        <v>0</v>
      </c>
      <c r="B215">
        <f>'Borehole Logging'!C215</f>
        <v>0</v>
      </c>
      <c r="C215">
        <f>'Borehole Logging'!D215</f>
        <v>0</v>
      </c>
      <c r="E215">
        <f>'Borehole Logging'!F215</f>
        <v>0</v>
      </c>
      <c r="F215" t="str">
        <f ca="1">'Borehole Logging'!AX215</f>
        <v/>
      </c>
      <c r="G215" t="str">
        <f ca="1">'Borehole Logging'!AY215</f>
        <v/>
      </c>
      <c r="H215" t="str">
        <f ca="1">'Borehole Logging'!AZ215</f>
        <v/>
      </c>
      <c r="I215" t="str">
        <f ca="1">'Borehole Logging'!BA215</f>
        <v/>
      </c>
      <c r="J215" t="str">
        <f ca="1">'Borehole Logging'!BB215</f>
        <v/>
      </c>
      <c r="K215" t="str">
        <f ca="1">'Borehole Logging'!BC215</f>
        <v/>
      </c>
    </row>
    <row r="216" spans="1:11" x14ac:dyDescent="0.25">
      <c r="A216">
        <f>'Borehole Logging'!A216</f>
        <v>0</v>
      </c>
      <c r="B216">
        <f>'Borehole Logging'!C216</f>
        <v>0</v>
      </c>
      <c r="C216">
        <f>'Borehole Logging'!D216</f>
        <v>0</v>
      </c>
      <c r="E216">
        <f>'Borehole Logging'!F216</f>
        <v>0</v>
      </c>
      <c r="F216" t="str">
        <f ca="1">'Borehole Logging'!AX216</f>
        <v/>
      </c>
      <c r="G216" t="str">
        <f ca="1">'Borehole Logging'!AY216</f>
        <v/>
      </c>
      <c r="H216" t="str">
        <f ca="1">'Borehole Logging'!AZ216</f>
        <v/>
      </c>
      <c r="I216" t="str">
        <f ca="1">'Borehole Logging'!BA216</f>
        <v/>
      </c>
      <c r="J216" t="str">
        <f ca="1">'Borehole Logging'!BB216</f>
        <v/>
      </c>
      <c r="K216" t="str">
        <f ca="1">'Borehole Logging'!BC216</f>
        <v/>
      </c>
    </row>
    <row r="217" spans="1:11" x14ac:dyDescent="0.25">
      <c r="A217">
        <f>'Borehole Logging'!A217</f>
        <v>0</v>
      </c>
      <c r="B217">
        <f>'Borehole Logging'!C217</f>
        <v>0</v>
      </c>
      <c r="C217">
        <f>'Borehole Logging'!D217</f>
        <v>0</v>
      </c>
      <c r="E217">
        <f>'Borehole Logging'!F217</f>
        <v>0</v>
      </c>
      <c r="F217" t="str">
        <f ca="1">'Borehole Logging'!AX217</f>
        <v/>
      </c>
      <c r="G217" t="str">
        <f ca="1">'Borehole Logging'!AY217</f>
        <v/>
      </c>
      <c r="H217" t="str">
        <f ca="1">'Borehole Logging'!AZ217</f>
        <v/>
      </c>
      <c r="I217" t="str">
        <f ca="1">'Borehole Logging'!BA217</f>
        <v/>
      </c>
      <c r="J217" t="str">
        <f ca="1">'Borehole Logging'!BB217</f>
        <v/>
      </c>
      <c r="K217" t="str">
        <f ca="1">'Borehole Logging'!BC217</f>
        <v/>
      </c>
    </row>
    <row r="218" spans="1:11" x14ac:dyDescent="0.25">
      <c r="A218">
        <f>'Borehole Logging'!A218</f>
        <v>0</v>
      </c>
      <c r="B218">
        <f>'Borehole Logging'!C218</f>
        <v>0</v>
      </c>
      <c r="C218">
        <f>'Borehole Logging'!D218</f>
        <v>0</v>
      </c>
      <c r="E218">
        <f>'Borehole Logging'!F218</f>
        <v>0</v>
      </c>
      <c r="F218" t="str">
        <f ca="1">'Borehole Logging'!AX218</f>
        <v/>
      </c>
      <c r="G218" t="str">
        <f ca="1">'Borehole Logging'!AY218</f>
        <v/>
      </c>
      <c r="H218" t="str">
        <f ca="1">'Borehole Logging'!AZ218</f>
        <v/>
      </c>
      <c r="I218" t="str">
        <f ca="1">'Borehole Logging'!BA218</f>
        <v/>
      </c>
      <c r="J218" t="str">
        <f ca="1">'Borehole Logging'!BB218</f>
        <v/>
      </c>
      <c r="K218" t="str">
        <f ca="1">'Borehole Logging'!BC218</f>
        <v/>
      </c>
    </row>
    <row r="219" spans="1:11" x14ac:dyDescent="0.25">
      <c r="A219">
        <f>'Borehole Logging'!A219</f>
        <v>0</v>
      </c>
      <c r="B219">
        <f>'Borehole Logging'!C219</f>
        <v>0</v>
      </c>
      <c r="C219">
        <f>'Borehole Logging'!D219</f>
        <v>0</v>
      </c>
      <c r="E219">
        <f>'Borehole Logging'!F219</f>
        <v>0</v>
      </c>
      <c r="F219" t="str">
        <f ca="1">'Borehole Logging'!AX219</f>
        <v/>
      </c>
      <c r="G219" t="str">
        <f ca="1">'Borehole Logging'!AY219</f>
        <v/>
      </c>
      <c r="H219" t="str">
        <f ca="1">'Borehole Logging'!AZ219</f>
        <v/>
      </c>
      <c r="I219" t="str">
        <f ca="1">'Borehole Logging'!BA219</f>
        <v/>
      </c>
      <c r="J219" t="str">
        <f ca="1">'Borehole Logging'!BB219</f>
        <v/>
      </c>
      <c r="K219" t="str">
        <f ca="1">'Borehole Logging'!BC219</f>
        <v/>
      </c>
    </row>
    <row r="220" spans="1:11" x14ac:dyDescent="0.25">
      <c r="A220">
        <f>'Borehole Logging'!A220</f>
        <v>0</v>
      </c>
      <c r="B220">
        <f>'Borehole Logging'!C220</f>
        <v>0</v>
      </c>
      <c r="C220">
        <f>'Borehole Logging'!D220</f>
        <v>0</v>
      </c>
      <c r="E220">
        <f>'Borehole Logging'!F220</f>
        <v>0</v>
      </c>
      <c r="F220" t="str">
        <f ca="1">'Borehole Logging'!AX220</f>
        <v/>
      </c>
      <c r="G220" t="str">
        <f ca="1">'Borehole Logging'!AY220</f>
        <v/>
      </c>
      <c r="H220" t="str">
        <f ca="1">'Borehole Logging'!AZ220</f>
        <v/>
      </c>
      <c r="I220" t="str">
        <f ca="1">'Borehole Logging'!BA220</f>
        <v/>
      </c>
      <c r="J220" t="str">
        <f ca="1">'Borehole Logging'!BB220</f>
        <v/>
      </c>
      <c r="K220" t="str">
        <f ca="1">'Borehole Logging'!BC220</f>
        <v/>
      </c>
    </row>
    <row r="221" spans="1:11" x14ac:dyDescent="0.25">
      <c r="A221">
        <f>'Borehole Logging'!A221</f>
        <v>0</v>
      </c>
      <c r="B221">
        <f>'Borehole Logging'!C221</f>
        <v>0</v>
      </c>
      <c r="C221">
        <f>'Borehole Logging'!D221</f>
        <v>0</v>
      </c>
      <c r="E221">
        <f>'Borehole Logging'!F221</f>
        <v>0</v>
      </c>
      <c r="F221" t="str">
        <f ca="1">'Borehole Logging'!AX221</f>
        <v/>
      </c>
      <c r="G221" t="str">
        <f ca="1">'Borehole Logging'!AY221</f>
        <v/>
      </c>
      <c r="H221" t="str">
        <f ca="1">'Borehole Logging'!AZ221</f>
        <v/>
      </c>
      <c r="I221" t="str">
        <f ca="1">'Borehole Logging'!BA221</f>
        <v/>
      </c>
      <c r="J221" t="str">
        <f ca="1">'Borehole Logging'!BB221</f>
        <v/>
      </c>
      <c r="K221" t="str">
        <f ca="1">'Borehole Logging'!BC221</f>
        <v/>
      </c>
    </row>
    <row r="222" spans="1:11" x14ac:dyDescent="0.25">
      <c r="A222">
        <f>'Borehole Logging'!A222</f>
        <v>0</v>
      </c>
      <c r="B222">
        <f>'Borehole Logging'!C222</f>
        <v>0</v>
      </c>
      <c r="C222">
        <f>'Borehole Logging'!D222</f>
        <v>0</v>
      </c>
      <c r="E222">
        <f>'Borehole Logging'!F222</f>
        <v>0</v>
      </c>
      <c r="F222" t="str">
        <f ca="1">'Borehole Logging'!AX222</f>
        <v/>
      </c>
      <c r="G222" t="str">
        <f ca="1">'Borehole Logging'!AY222</f>
        <v/>
      </c>
      <c r="H222" t="str">
        <f ca="1">'Borehole Logging'!AZ222</f>
        <v/>
      </c>
      <c r="I222" t="str">
        <f ca="1">'Borehole Logging'!BA222</f>
        <v/>
      </c>
      <c r="J222" t="str">
        <f ca="1">'Borehole Logging'!BB222</f>
        <v/>
      </c>
      <c r="K222" t="str">
        <f ca="1">'Borehole Logging'!BC222</f>
        <v/>
      </c>
    </row>
    <row r="223" spans="1:11" x14ac:dyDescent="0.25">
      <c r="A223">
        <f>'Borehole Logging'!A223</f>
        <v>0</v>
      </c>
      <c r="B223">
        <f>'Borehole Logging'!C223</f>
        <v>0</v>
      </c>
      <c r="C223">
        <f>'Borehole Logging'!D223</f>
        <v>0</v>
      </c>
      <c r="E223">
        <f>'Borehole Logging'!F223</f>
        <v>0</v>
      </c>
      <c r="F223" t="str">
        <f ca="1">'Borehole Logging'!AX223</f>
        <v/>
      </c>
      <c r="G223" t="str">
        <f ca="1">'Borehole Logging'!AY223</f>
        <v/>
      </c>
      <c r="H223" t="str">
        <f ca="1">'Borehole Logging'!AZ223</f>
        <v/>
      </c>
      <c r="I223" t="str">
        <f ca="1">'Borehole Logging'!BA223</f>
        <v/>
      </c>
      <c r="J223" t="str">
        <f ca="1">'Borehole Logging'!BB223</f>
        <v/>
      </c>
      <c r="K223" t="str">
        <f ca="1">'Borehole Logging'!BC223</f>
        <v/>
      </c>
    </row>
    <row r="224" spans="1:11" x14ac:dyDescent="0.25">
      <c r="A224">
        <f>'Borehole Logging'!A224</f>
        <v>0</v>
      </c>
      <c r="B224">
        <f>'Borehole Logging'!C224</f>
        <v>0</v>
      </c>
      <c r="C224">
        <f>'Borehole Logging'!D224</f>
        <v>0</v>
      </c>
      <c r="E224">
        <f>'Borehole Logging'!F224</f>
        <v>0</v>
      </c>
      <c r="F224" t="str">
        <f ca="1">'Borehole Logging'!AX224</f>
        <v/>
      </c>
      <c r="G224" t="str">
        <f ca="1">'Borehole Logging'!AY224</f>
        <v/>
      </c>
      <c r="H224" t="str">
        <f ca="1">'Borehole Logging'!AZ224</f>
        <v/>
      </c>
      <c r="I224" t="str">
        <f ca="1">'Borehole Logging'!BA224</f>
        <v/>
      </c>
      <c r="J224" t="str">
        <f ca="1">'Borehole Logging'!BB224</f>
        <v/>
      </c>
      <c r="K224" t="str">
        <f ca="1">'Borehole Logging'!BC224</f>
        <v/>
      </c>
    </row>
    <row r="225" spans="1:11" x14ac:dyDescent="0.25">
      <c r="A225">
        <f>'Borehole Logging'!A225</f>
        <v>0</v>
      </c>
      <c r="B225">
        <f>'Borehole Logging'!C225</f>
        <v>0</v>
      </c>
      <c r="C225">
        <f>'Borehole Logging'!D225</f>
        <v>0</v>
      </c>
      <c r="E225">
        <f>'Borehole Logging'!F225</f>
        <v>0</v>
      </c>
      <c r="F225" t="str">
        <f ca="1">'Borehole Logging'!AX225</f>
        <v/>
      </c>
      <c r="G225" t="str">
        <f ca="1">'Borehole Logging'!AY225</f>
        <v/>
      </c>
      <c r="H225" t="str">
        <f ca="1">'Borehole Logging'!AZ225</f>
        <v/>
      </c>
      <c r="I225" t="str">
        <f ca="1">'Borehole Logging'!BA225</f>
        <v/>
      </c>
      <c r="J225" t="str">
        <f ca="1">'Borehole Logging'!BB225</f>
        <v/>
      </c>
      <c r="K225" t="str">
        <f ca="1">'Borehole Logging'!BC225</f>
        <v/>
      </c>
    </row>
    <row r="226" spans="1:11" x14ac:dyDescent="0.25">
      <c r="A226">
        <f>'Borehole Logging'!A226</f>
        <v>0</v>
      </c>
      <c r="B226">
        <f>'Borehole Logging'!C226</f>
        <v>0</v>
      </c>
      <c r="C226">
        <f>'Borehole Logging'!D226</f>
        <v>0</v>
      </c>
      <c r="E226">
        <f>'Borehole Logging'!F226</f>
        <v>0</v>
      </c>
      <c r="F226" t="str">
        <f ca="1">'Borehole Logging'!AX226</f>
        <v/>
      </c>
      <c r="G226" t="str">
        <f ca="1">'Borehole Logging'!AY226</f>
        <v/>
      </c>
      <c r="H226" t="str">
        <f ca="1">'Borehole Logging'!AZ226</f>
        <v/>
      </c>
      <c r="I226" t="str">
        <f ca="1">'Borehole Logging'!BA226</f>
        <v/>
      </c>
      <c r="J226" t="str">
        <f ca="1">'Borehole Logging'!BB226</f>
        <v/>
      </c>
      <c r="K226" t="str">
        <f ca="1">'Borehole Logging'!BC226</f>
        <v/>
      </c>
    </row>
    <row r="227" spans="1:11" x14ac:dyDescent="0.25">
      <c r="A227">
        <f>'Borehole Logging'!A227</f>
        <v>0</v>
      </c>
      <c r="B227">
        <f>'Borehole Logging'!C227</f>
        <v>0</v>
      </c>
      <c r="C227">
        <f>'Borehole Logging'!D227</f>
        <v>0</v>
      </c>
      <c r="E227">
        <f>'Borehole Logging'!F227</f>
        <v>0</v>
      </c>
      <c r="F227" t="str">
        <f ca="1">'Borehole Logging'!AX227</f>
        <v/>
      </c>
      <c r="G227" t="str">
        <f ca="1">'Borehole Logging'!AY227</f>
        <v/>
      </c>
      <c r="H227" t="str">
        <f ca="1">'Borehole Logging'!AZ227</f>
        <v/>
      </c>
      <c r="I227" t="str">
        <f ca="1">'Borehole Logging'!BA227</f>
        <v/>
      </c>
      <c r="J227" t="str">
        <f ca="1">'Borehole Logging'!BB227</f>
        <v/>
      </c>
      <c r="K227" t="str">
        <f ca="1">'Borehole Logging'!BC227</f>
        <v/>
      </c>
    </row>
    <row r="228" spans="1:11" x14ac:dyDescent="0.25">
      <c r="A228">
        <f>'Borehole Logging'!A228</f>
        <v>0</v>
      </c>
      <c r="B228">
        <f>'Borehole Logging'!C228</f>
        <v>0</v>
      </c>
      <c r="C228">
        <f>'Borehole Logging'!D228</f>
        <v>0</v>
      </c>
      <c r="E228">
        <f>'Borehole Logging'!F228</f>
        <v>0</v>
      </c>
      <c r="F228" t="str">
        <f ca="1">'Borehole Logging'!AX228</f>
        <v/>
      </c>
      <c r="G228" t="str">
        <f ca="1">'Borehole Logging'!AY228</f>
        <v/>
      </c>
      <c r="H228" t="str">
        <f ca="1">'Borehole Logging'!AZ228</f>
        <v/>
      </c>
      <c r="I228" t="str">
        <f ca="1">'Borehole Logging'!BA228</f>
        <v/>
      </c>
      <c r="J228" t="str">
        <f ca="1">'Borehole Logging'!BB228</f>
        <v/>
      </c>
      <c r="K228" t="str">
        <f ca="1">'Borehole Logging'!BC228</f>
        <v/>
      </c>
    </row>
    <row r="229" spans="1:11" x14ac:dyDescent="0.25">
      <c r="A229">
        <f>'Borehole Logging'!A229</f>
        <v>0</v>
      </c>
      <c r="B229">
        <f>'Borehole Logging'!C229</f>
        <v>0</v>
      </c>
      <c r="C229">
        <f>'Borehole Logging'!D229</f>
        <v>0</v>
      </c>
      <c r="E229">
        <f>'Borehole Logging'!F229</f>
        <v>0</v>
      </c>
      <c r="F229" t="str">
        <f ca="1">'Borehole Logging'!AX229</f>
        <v/>
      </c>
      <c r="G229" t="str">
        <f ca="1">'Borehole Logging'!AY229</f>
        <v/>
      </c>
      <c r="H229" t="str">
        <f ca="1">'Borehole Logging'!AZ229</f>
        <v/>
      </c>
      <c r="I229" t="str">
        <f ca="1">'Borehole Logging'!BA229</f>
        <v/>
      </c>
      <c r="J229" t="str">
        <f ca="1">'Borehole Logging'!BB229</f>
        <v/>
      </c>
      <c r="K229" t="str">
        <f ca="1">'Borehole Logging'!BC229</f>
        <v/>
      </c>
    </row>
    <row r="230" spans="1:11" x14ac:dyDescent="0.25">
      <c r="A230">
        <f>'Borehole Logging'!A230</f>
        <v>0</v>
      </c>
      <c r="B230">
        <f>'Borehole Logging'!C230</f>
        <v>0</v>
      </c>
      <c r="C230">
        <f>'Borehole Logging'!D230</f>
        <v>0</v>
      </c>
      <c r="E230">
        <f>'Borehole Logging'!F230</f>
        <v>0</v>
      </c>
      <c r="F230" t="str">
        <f ca="1">'Borehole Logging'!AX230</f>
        <v/>
      </c>
      <c r="G230" t="str">
        <f ca="1">'Borehole Logging'!AY230</f>
        <v/>
      </c>
      <c r="H230" t="str">
        <f ca="1">'Borehole Logging'!AZ230</f>
        <v/>
      </c>
      <c r="I230" t="str">
        <f ca="1">'Borehole Logging'!BA230</f>
        <v/>
      </c>
      <c r="J230" t="str">
        <f ca="1">'Borehole Logging'!BB230</f>
        <v/>
      </c>
      <c r="K230" t="str">
        <f ca="1">'Borehole Logging'!BC230</f>
        <v/>
      </c>
    </row>
    <row r="231" spans="1:11" x14ac:dyDescent="0.25">
      <c r="A231">
        <f>'Borehole Logging'!A231</f>
        <v>0</v>
      </c>
      <c r="B231">
        <f>'Borehole Logging'!C231</f>
        <v>0</v>
      </c>
      <c r="C231">
        <f>'Borehole Logging'!D231</f>
        <v>0</v>
      </c>
      <c r="E231">
        <f>'Borehole Logging'!F231</f>
        <v>0</v>
      </c>
      <c r="F231" t="str">
        <f ca="1">'Borehole Logging'!AX231</f>
        <v/>
      </c>
      <c r="G231" t="str">
        <f ca="1">'Borehole Logging'!AY231</f>
        <v/>
      </c>
      <c r="H231" t="str">
        <f ca="1">'Borehole Logging'!AZ231</f>
        <v/>
      </c>
      <c r="I231" t="str">
        <f ca="1">'Borehole Logging'!BA231</f>
        <v/>
      </c>
      <c r="J231" t="str">
        <f ca="1">'Borehole Logging'!BB231</f>
        <v/>
      </c>
      <c r="K231" t="str">
        <f ca="1">'Borehole Logging'!BC231</f>
        <v/>
      </c>
    </row>
    <row r="232" spans="1:11" x14ac:dyDescent="0.25">
      <c r="A232">
        <f>'Borehole Logging'!A232</f>
        <v>0</v>
      </c>
      <c r="B232">
        <f>'Borehole Logging'!C232</f>
        <v>0</v>
      </c>
      <c r="C232">
        <f>'Borehole Logging'!D232</f>
        <v>0</v>
      </c>
      <c r="E232">
        <f>'Borehole Logging'!F232</f>
        <v>0</v>
      </c>
      <c r="F232" t="str">
        <f ca="1">'Borehole Logging'!AX232</f>
        <v/>
      </c>
      <c r="G232" t="str">
        <f ca="1">'Borehole Logging'!AY232</f>
        <v/>
      </c>
      <c r="H232" t="str">
        <f ca="1">'Borehole Logging'!AZ232</f>
        <v/>
      </c>
      <c r="I232" t="str">
        <f ca="1">'Borehole Logging'!BA232</f>
        <v/>
      </c>
      <c r="J232" t="str">
        <f ca="1">'Borehole Logging'!BB232</f>
        <v/>
      </c>
      <c r="K232" t="str">
        <f ca="1">'Borehole Logging'!BC232</f>
        <v/>
      </c>
    </row>
    <row r="233" spans="1:11" x14ac:dyDescent="0.25">
      <c r="A233">
        <f>'Borehole Logging'!A233</f>
        <v>0</v>
      </c>
      <c r="B233">
        <f>'Borehole Logging'!C233</f>
        <v>0</v>
      </c>
      <c r="C233">
        <f>'Borehole Logging'!D233</f>
        <v>0</v>
      </c>
      <c r="E233">
        <f>'Borehole Logging'!F233</f>
        <v>0</v>
      </c>
      <c r="F233" t="str">
        <f ca="1">'Borehole Logging'!AX233</f>
        <v/>
      </c>
      <c r="G233" t="str">
        <f ca="1">'Borehole Logging'!AY233</f>
        <v/>
      </c>
      <c r="H233" t="str">
        <f ca="1">'Borehole Logging'!AZ233</f>
        <v/>
      </c>
      <c r="I233" t="str">
        <f ca="1">'Borehole Logging'!BA233</f>
        <v/>
      </c>
      <c r="J233" t="str">
        <f ca="1">'Borehole Logging'!BB233</f>
        <v/>
      </c>
      <c r="K233" t="str">
        <f ca="1">'Borehole Logging'!BC233</f>
        <v/>
      </c>
    </row>
    <row r="234" spans="1:11" x14ac:dyDescent="0.25">
      <c r="A234">
        <f>'Borehole Logging'!A234</f>
        <v>0</v>
      </c>
      <c r="B234">
        <f>'Borehole Logging'!C234</f>
        <v>0</v>
      </c>
      <c r="C234">
        <f>'Borehole Logging'!D234</f>
        <v>0</v>
      </c>
      <c r="E234">
        <f>'Borehole Logging'!F234</f>
        <v>0</v>
      </c>
      <c r="F234" t="str">
        <f ca="1">'Borehole Logging'!AX234</f>
        <v/>
      </c>
      <c r="G234" t="str">
        <f ca="1">'Borehole Logging'!AY234</f>
        <v/>
      </c>
      <c r="H234" t="str">
        <f ca="1">'Borehole Logging'!AZ234</f>
        <v/>
      </c>
      <c r="I234" t="str">
        <f ca="1">'Borehole Logging'!BA234</f>
        <v/>
      </c>
      <c r="J234" t="str">
        <f ca="1">'Borehole Logging'!BB234</f>
        <v/>
      </c>
      <c r="K234" t="str">
        <f ca="1">'Borehole Logging'!BC234</f>
        <v/>
      </c>
    </row>
    <row r="235" spans="1:11" x14ac:dyDescent="0.25">
      <c r="A235">
        <f>'Borehole Logging'!A235</f>
        <v>0</v>
      </c>
      <c r="B235">
        <f>'Borehole Logging'!C235</f>
        <v>0</v>
      </c>
      <c r="C235">
        <f>'Borehole Logging'!D235</f>
        <v>0</v>
      </c>
      <c r="E235">
        <f>'Borehole Logging'!F235</f>
        <v>0</v>
      </c>
      <c r="F235" t="str">
        <f ca="1">'Borehole Logging'!AX235</f>
        <v/>
      </c>
      <c r="G235" t="str">
        <f ca="1">'Borehole Logging'!AY235</f>
        <v/>
      </c>
      <c r="H235" t="str">
        <f ca="1">'Borehole Logging'!AZ235</f>
        <v/>
      </c>
      <c r="I235" t="str">
        <f ca="1">'Borehole Logging'!BA235</f>
        <v/>
      </c>
      <c r="J235" t="str">
        <f ca="1">'Borehole Logging'!BB235</f>
        <v/>
      </c>
      <c r="K235" t="str">
        <f ca="1">'Borehole Logging'!BC235</f>
        <v/>
      </c>
    </row>
    <row r="236" spans="1:11" x14ac:dyDescent="0.25">
      <c r="A236">
        <f>'Borehole Logging'!A236</f>
        <v>0</v>
      </c>
      <c r="B236">
        <f>'Borehole Logging'!C236</f>
        <v>0</v>
      </c>
      <c r="C236">
        <f>'Borehole Logging'!D236</f>
        <v>0</v>
      </c>
      <c r="E236">
        <f>'Borehole Logging'!F236</f>
        <v>0</v>
      </c>
      <c r="F236" t="str">
        <f ca="1">'Borehole Logging'!AX236</f>
        <v/>
      </c>
      <c r="G236" t="str">
        <f ca="1">'Borehole Logging'!AY236</f>
        <v/>
      </c>
      <c r="H236" t="str">
        <f ca="1">'Borehole Logging'!AZ236</f>
        <v/>
      </c>
      <c r="I236" t="str">
        <f ca="1">'Borehole Logging'!BA236</f>
        <v/>
      </c>
      <c r="J236" t="str">
        <f ca="1">'Borehole Logging'!BB236</f>
        <v/>
      </c>
      <c r="K236" t="str">
        <f ca="1">'Borehole Logging'!BC236</f>
        <v/>
      </c>
    </row>
    <row r="237" spans="1:11" x14ac:dyDescent="0.25">
      <c r="A237">
        <f>'Borehole Logging'!A237</f>
        <v>0</v>
      </c>
      <c r="B237">
        <f>'Borehole Logging'!C237</f>
        <v>0</v>
      </c>
      <c r="C237">
        <f>'Borehole Logging'!D237</f>
        <v>0</v>
      </c>
      <c r="E237">
        <f>'Borehole Logging'!F237</f>
        <v>0</v>
      </c>
      <c r="F237" t="str">
        <f ca="1">'Borehole Logging'!AX237</f>
        <v/>
      </c>
      <c r="G237" t="str">
        <f ca="1">'Borehole Logging'!AY237</f>
        <v/>
      </c>
      <c r="H237" t="str">
        <f ca="1">'Borehole Logging'!AZ237</f>
        <v/>
      </c>
      <c r="I237" t="str">
        <f ca="1">'Borehole Logging'!BA237</f>
        <v/>
      </c>
      <c r="J237" t="str">
        <f ca="1">'Borehole Logging'!BB237</f>
        <v/>
      </c>
      <c r="K237" t="str">
        <f ca="1">'Borehole Logging'!BC237</f>
        <v/>
      </c>
    </row>
    <row r="238" spans="1:11" x14ac:dyDescent="0.25">
      <c r="A238">
        <f>'Borehole Logging'!A238</f>
        <v>0</v>
      </c>
      <c r="B238">
        <f>'Borehole Logging'!C238</f>
        <v>0</v>
      </c>
      <c r="C238">
        <f>'Borehole Logging'!D238</f>
        <v>0</v>
      </c>
      <c r="E238">
        <f>'Borehole Logging'!F238</f>
        <v>0</v>
      </c>
      <c r="F238" t="str">
        <f ca="1">'Borehole Logging'!AX238</f>
        <v/>
      </c>
      <c r="G238" t="str">
        <f ca="1">'Borehole Logging'!AY238</f>
        <v/>
      </c>
      <c r="H238" t="str">
        <f ca="1">'Borehole Logging'!AZ238</f>
        <v/>
      </c>
      <c r="I238" t="str">
        <f ca="1">'Borehole Logging'!BA238</f>
        <v/>
      </c>
      <c r="J238" t="str">
        <f ca="1">'Borehole Logging'!BB238</f>
        <v/>
      </c>
      <c r="K238" t="str">
        <f ca="1">'Borehole Logging'!BC238</f>
        <v/>
      </c>
    </row>
    <row r="239" spans="1:11" x14ac:dyDescent="0.25">
      <c r="A239">
        <f>'Borehole Logging'!A239</f>
        <v>0</v>
      </c>
      <c r="B239">
        <f>'Borehole Logging'!C239</f>
        <v>0</v>
      </c>
      <c r="C239">
        <f>'Borehole Logging'!D239</f>
        <v>0</v>
      </c>
      <c r="E239">
        <f>'Borehole Logging'!F239</f>
        <v>0</v>
      </c>
      <c r="F239" t="str">
        <f ca="1">'Borehole Logging'!AX239</f>
        <v/>
      </c>
      <c r="G239" t="str">
        <f ca="1">'Borehole Logging'!AY239</f>
        <v/>
      </c>
      <c r="H239" t="str">
        <f ca="1">'Borehole Logging'!AZ239</f>
        <v/>
      </c>
      <c r="I239" t="str">
        <f ca="1">'Borehole Logging'!BA239</f>
        <v/>
      </c>
      <c r="J239" t="str">
        <f ca="1">'Borehole Logging'!BB239</f>
        <v/>
      </c>
      <c r="K239" t="str">
        <f ca="1">'Borehole Logging'!BC239</f>
        <v/>
      </c>
    </row>
    <row r="240" spans="1:11" x14ac:dyDescent="0.25">
      <c r="A240">
        <f>'Borehole Logging'!A240</f>
        <v>0</v>
      </c>
      <c r="B240">
        <f>'Borehole Logging'!C240</f>
        <v>0</v>
      </c>
      <c r="C240">
        <f>'Borehole Logging'!D240</f>
        <v>0</v>
      </c>
      <c r="E240">
        <f>'Borehole Logging'!F240</f>
        <v>0</v>
      </c>
      <c r="F240" t="str">
        <f ca="1">'Borehole Logging'!AX240</f>
        <v/>
      </c>
      <c r="G240" t="str">
        <f ca="1">'Borehole Logging'!AY240</f>
        <v/>
      </c>
      <c r="H240" t="str">
        <f ca="1">'Borehole Logging'!AZ240</f>
        <v/>
      </c>
      <c r="I240" t="str">
        <f ca="1">'Borehole Logging'!BA240</f>
        <v/>
      </c>
      <c r="J240" t="str">
        <f ca="1">'Borehole Logging'!BB240</f>
        <v/>
      </c>
      <c r="K240" t="str">
        <f ca="1">'Borehole Logging'!BC240</f>
        <v/>
      </c>
    </row>
    <row r="241" spans="1:11" x14ac:dyDescent="0.25">
      <c r="A241">
        <f>'Borehole Logging'!A241</f>
        <v>0</v>
      </c>
      <c r="B241">
        <f>'Borehole Logging'!C241</f>
        <v>0</v>
      </c>
      <c r="C241">
        <f>'Borehole Logging'!D241</f>
        <v>0</v>
      </c>
      <c r="E241">
        <f>'Borehole Logging'!F241</f>
        <v>0</v>
      </c>
      <c r="F241" t="str">
        <f ca="1">'Borehole Logging'!AX241</f>
        <v/>
      </c>
      <c r="G241" t="str">
        <f ca="1">'Borehole Logging'!AY241</f>
        <v/>
      </c>
      <c r="H241" t="str">
        <f ca="1">'Borehole Logging'!AZ241</f>
        <v/>
      </c>
      <c r="I241" t="str">
        <f ca="1">'Borehole Logging'!BA241</f>
        <v/>
      </c>
      <c r="J241" t="str">
        <f ca="1">'Borehole Logging'!BB241</f>
        <v/>
      </c>
      <c r="K241" t="str">
        <f ca="1">'Borehole Logging'!BC241</f>
        <v/>
      </c>
    </row>
    <row r="242" spans="1:11" x14ac:dyDescent="0.25">
      <c r="A242">
        <f>'Borehole Logging'!A242</f>
        <v>0</v>
      </c>
      <c r="B242">
        <f>'Borehole Logging'!C242</f>
        <v>0</v>
      </c>
      <c r="C242">
        <f>'Borehole Logging'!D242</f>
        <v>0</v>
      </c>
      <c r="E242">
        <f>'Borehole Logging'!F242</f>
        <v>0</v>
      </c>
      <c r="F242" t="str">
        <f ca="1">'Borehole Logging'!AX242</f>
        <v/>
      </c>
      <c r="G242" t="str">
        <f ca="1">'Borehole Logging'!AY242</f>
        <v/>
      </c>
      <c r="H242" t="str">
        <f ca="1">'Borehole Logging'!AZ242</f>
        <v/>
      </c>
      <c r="I242" t="str">
        <f ca="1">'Borehole Logging'!BA242</f>
        <v/>
      </c>
      <c r="J242" t="str">
        <f ca="1">'Borehole Logging'!BB242</f>
        <v/>
      </c>
      <c r="K242" t="str">
        <f ca="1">'Borehole Logging'!BC242</f>
        <v/>
      </c>
    </row>
    <row r="243" spans="1:11" x14ac:dyDescent="0.25">
      <c r="A243">
        <f>'Borehole Logging'!A243</f>
        <v>0</v>
      </c>
      <c r="B243">
        <f>'Borehole Logging'!C243</f>
        <v>0</v>
      </c>
      <c r="C243">
        <f>'Borehole Logging'!D243</f>
        <v>0</v>
      </c>
      <c r="E243">
        <f>'Borehole Logging'!F243</f>
        <v>0</v>
      </c>
      <c r="F243" t="str">
        <f ca="1">'Borehole Logging'!AX243</f>
        <v/>
      </c>
      <c r="G243" t="str">
        <f ca="1">'Borehole Logging'!AY243</f>
        <v/>
      </c>
      <c r="H243" t="str">
        <f ca="1">'Borehole Logging'!AZ243</f>
        <v/>
      </c>
      <c r="I243" t="str">
        <f ca="1">'Borehole Logging'!BA243</f>
        <v/>
      </c>
      <c r="J243" t="str">
        <f ca="1">'Borehole Logging'!BB243</f>
        <v/>
      </c>
      <c r="K243" t="str">
        <f ca="1">'Borehole Logging'!BC243</f>
        <v/>
      </c>
    </row>
    <row r="244" spans="1:11" x14ac:dyDescent="0.25">
      <c r="A244">
        <f>'Borehole Logging'!A244</f>
        <v>0</v>
      </c>
      <c r="B244">
        <f>'Borehole Logging'!C244</f>
        <v>0</v>
      </c>
      <c r="C244">
        <f>'Borehole Logging'!D244</f>
        <v>0</v>
      </c>
      <c r="E244">
        <f>'Borehole Logging'!F244</f>
        <v>0</v>
      </c>
      <c r="F244" t="str">
        <f ca="1">'Borehole Logging'!AX244</f>
        <v/>
      </c>
      <c r="G244" t="str">
        <f ca="1">'Borehole Logging'!AY244</f>
        <v/>
      </c>
      <c r="H244" t="str">
        <f ca="1">'Borehole Logging'!AZ244</f>
        <v/>
      </c>
      <c r="I244" t="str">
        <f ca="1">'Borehole Logging'!BA244</f>
        <v/>
      </c>
      <c r="J244" t="str">
        <f ca="1">'Borehole Logging'!BB244</f>
        <v/>
      </c>
      <c r="K244" t="str">
        <f ca="1">'Borehole Logging'!BC244</f>
        <v/>
      </c>
    </row>
    <row r="245" spans="1:11" x14ac:dyDescent="0.25">
      <c r="A245">
        <f>'Borehole Logging'!A245</f>
        <v>0</v>
      </c>
      <c r="B245">
        <f>'Borehole Logging'!C245</f>
        <v>0</v>
      </c>
      <c r="C245">
        <f>'Borehole Logging'!D245</f>
        <v>0</v>
      </c>
      <c r="E245">
        <f>'Borehole Logging'!F245</f>
        <v>0</v>
      </c>
      <c r="F245" t="str">
        <f ca="1">'Borehole Logging'!AX245</f>
        <v/>
      </c>
      <c r="G245" t="str">
        <f ca="1">'Borehole Logging'!AY245</f>
        <v/>
      </c>
      <c r="H245" t="str">
        <f ca="1">'Borehole Logging'!AZ245</f>
        <v/>
      </c>
      <c r="I245" t="str">
        <f ca="1">'Borehole Logging'!BA245</f>
        <v/>
      </c>
      <c r="J245" t="str">
        <f ca="1">'Borehole Logging'!BB245</f>
        <v/>
      </c>
      <c r="K245" t="str">
        <f ca="1">'Borehole Logging'!BC245</f>
        <v/>
      </c>
    </row>
    <row r="246" spans="1:11" x14ac:dyDescent="0.25">
      <c r="A246">
        <f>'Borehole Logging'!A246</f>
        <v>0</v>
      </c>
      <c r="B246">
        <f>'Borehole Logging'!C246</f>
        <v>0</v>
      </c>
      <c r="C246">
        <f>'Borehole Logging'!D246</f>
        <v>0</v>
      </c>
      <c r="E246">
        <f>'Borehole Logging'!F246</f>
        <v>0</v>
      </c>
      <c r="F246" t="str">
        <f ca="1">'Borehole Logging'!AX246</f>
        <v/>
      </c>
      <c r="G246" t="str">
        <f ca="1">'Borehole Logging'!AY246</f>
        <v/>
      </c>
      <c r="H246" t="str">
        <f ca="1">'Borehole Logging'!AZ246</f>
        <v/>
      </c>
      <c r="I246" t="str">
        <f ca="1">'Borehole Logging'!BA246</f>
        <v/>
      </c>
      <c r="J246" t="str">
        <f ca="1">'Borehole Logging'!BB246</f>
        <v/>
      </c>
      <c r="K246" t="str">
        <f ca="1">'Borehole Logging'!BC246</f>
        <v/>
      </c>
    </row>
    <row r="247" spans="1:11" x14ac:dyDescent="0.25">
      <c r="A247">
        <f>'Borehole Logging'!A247</f>
        <v>0</v>
      </c>
      <c r="B247">
        <f>'Borehole Logging'!C247</f>
        <v>0</v>
      </c>
      <c r="C247">
        <f>'Borehole Logging'!D247</f>
        <v>0</v>
      </c>
      <c r="E247">
        <f>'Borehole Logging'!F247</f>
        <v>0</v>
      </c>
      <c r="F247" t="str">
        <f ca="1">'Borehole Logging'!AX247</f>
        <v/>
      </c>
      <c r="G247" t="str">
        <f ca="1">'Borehole Logging'!AY247</f>
        <v/>
      </c>
      <c r="H247" t="str">
        <f ca="1">'Borehole Logging'!AZ247</f>
        <v/>
      </c>
      <c r="I247" t="str">
        <f ca="1">'Borehole Logging'!BA247</f>
        <v/>
      </c>
      <c r="J247" t="str">
        <f ca="1">'Borehole Logging'!BB247</f>
        <v/>
      </c>
      <c r="K247" t="str">
        <f ca="1">'Borehole Logging'!BC247</f>
        <v/>
      </c>
    </row>
    <row r="248" spans="1:11" x14ac:dyDescent="0.25">
      <c r="A248">
        <f>'Borehole Logging'!A248</f>
        <v>0</v>
      </c>
      <c r="B248">
        <f>'Borehole Logging'!C248</f>
        <v>0</v>
      </c>
      <c r="C248">
        <f>'Borehole Logging'!D248</f>
        <v>0</v>
      </c>
      <c r="E248">
        <f>'Borehole Logging'!F248</f>
        <v>0</v>
      </c>
      <c r="F248" t="str">
        <f ca="1">'Borehole Logging'!AX248</f>
        <v/>
      </c>
      <c r="G248" t="str">
        <f ca="1">'Borehole Logging'!AY248</f>
        <v/>
      </c>
      <c r="H248" t="str">
        <f ca="1">'Borehole Logging'!AZ248</f>
        <v/>
      </c>
      <c r="I248" t="str">
        <f ca="1">'Borehole Logging'!BA248</f>
        <v/>
      </c>
      <c r="J248" t="str">
        <f ca="1">'Borehole Logging'!BB248</f>
        <v/>
      </c>
      <c r="K248" t="str">
        <f ca="1">'Borehole Logging'!BC248</f>
        <v/>
      </c>
    </row>
    <row r="249" spans="1:11" x14ac:dyDescent="0.25">
      <c r="A249">
        <f>'Borehole Logging'!A249</f>
        <v>0</v>
      </c>
      <c r="B249">
        <f>'Borehole Logging'!C249</f>
        <v>0</v>
      </c>
      <c r="C249">
        <f>'Borehole Logging'!D249</f>
        <v>0</v>
      </c>
      <c r="E249">
        <f>'Borehole Logging'!F249</f>
        <v>0</v>
      </c>
      <c r="F249" t="str">
        <f ca="1">'Borehole Logging'!AX249</f>
        <v/>
      </c>
      <c r="G249" t="str">
        <f ca="1">'Borehole Logging'!AY249</f>
        <v/>
      </c>
      <c r="H249" t="str">
        <f ca="1">'Borehole Logging'!AZ249</f>
        <v/>
      </c>
      <c r="I249" t="str">
        <f ca="1">'Borehole Logging'!BA249</f>
        <v/>
      </c>
      <c r="J249" t="str">
        <f ca="1">'Borehole Logging'!BB249</f>
        <v/>
      </c>
      <c r="K249" t="str">
        <f ca="1">'Borehole Logging'!BC249</f>
        <v/>
      </c>
    </row>
    <row r="250" spans="1:11" x14ac:dyDescent="0.25">
      <c r="A250">
        <f>'Borehole Logging'!A250</f>
        <v>0</v>
      </c>
      <c r="B250">
        <f>'Borehole Logging'!C250</f>
        <v>0</v>
      </c>
      <c r="C250">
        <f>'Borehole Logging'!D250</f>
        <v>0</v>
      </c>
      <c r="E250">
        <f>'Borehole Logging'!F250</f>
        <v>0</v>
      </c>
      <c r="F250" t="str">
        <f ca="1">'Borehole Logging'!AX250</f>
        <v/>
      </c>
      <c r="G250" t="str">
        <f ca="1">'Borehole Logging'!AY250</f>
        <v/>
      </c>
      <c r="H250" t="str">
        <f ca="1">'Borehole Logging'!AZ250</f>
        <v/>
      </c>
      <c r="I250" t="str">
        <f ca="1">'Borehole Logging'!BA250</f>
        <v/>
      </c>
      <c r="J250" t="str">
        <f ca="1">'Borehole Logging'!BB250</f>
        <v/>
      </c>
      <c r="K250" t="str">
        <f ca="1">'Borehole Logging'!BC250</f>
        <v/>
      </c>
    </row>
    <row r="251" spans="1:11" x14ac:dyDescent="0.25">
      <c r="A251">
        <f>'Borehole Logging'!A251</f>
        <v>0</v>
      </c>
      <c r="B251">
        <f>'Borehole Logging'!C251</f>
        <v>0</v>
      </c>
      <c r="C251">
        <f>'Borehole Logging'!D251</f>
        <v>0</v>
      </c>
      <c r="E251">
        <f>'Borehole Logging'!F251</f>
        <v>0</v>
      </c>
      <c r="F251" t="str">
        <f ca="1">'Borehole Logging'!AX251</f>
        <v/>
      </c>
      <c r="G251" t="str">
        <f ca="1">'Borehole Logging'!AY251</f>
        <v/>
      </c>
      <c r="H251" t="str">
        <f ca="1">'Borehole Logging'!AZ251</f>
        <v/>
      </c>
      <c r="I251" t="str">
        <f ca="1">'Borehole Logging'!BA251</f>
        <v/>
      </c>
      <c r="J251" t="str">
        <f ca="1">'Borehole Logging'!BB251</f>
        <v/>
      </c>
      <c r="K251" t="str">
        <f ca="1">'Borehole Logging'!BC251</f>
        <v/>
      </c>
    </row>
    <row r="252" spans="1:11" x14ac:dyDescent="0.25">
      <c r="A252">
        <f>'Borehole Logging'!A252</f>
        <v>0</v>
      </c>
      <c r="B252">
        <f>'Borehole Logging'!C252</f>
        <v>0</v>
      </c>
      <c r="C252">
        <f>'Borehole Logging'!D252</f>
        <v>0</v>
      </c>
      <c r="E252">
        <f>'Borehole Logging'!F252</f>
        <v>0</v>
      </c>
      <c r="F252" t="str">
        <f ca="1">'Borehole Logging'!AX252</f>
        <v/>
      </c>
      <c r="G252" t="str">
        <f ca="1">'Borehole Logging'!AY252</f>
        <v/>
      </c>
      <c r="H252" t="str">
        <f ca="1">'Borehole Logging'!AZ252</f>
        <v/>
      </c>
      <c r="I252" t="str">
        <f ca="1">'Borehole Logging'!BA252</f>
        <v/>
      </c>
      <c r="J252" t="str">
        <f ca="1">'Borehole Logging'!BB252</f>
        <v/>
      </c>
      <c r="K252" t="str">
        <f ca="1">'Borehole Logging'!BC252</f>
        <v/>
      </c>
    </row>
    <row r="253" spans="1:11" x14ac:dyDescent="0.25">
      <c r="A253">
        <f>'Borehole Logging'!A253</f>
        <v>0</v>
      </c>
      <c r="B253">
        <f>'Borehole Logging'!C253</f>
        <v>0</v>
      </c>
      <c r="C253">
        <f>'Borehole Logging'!D253</f>
        <v>0</v>
      </c>
      <c r="E253">
        <f>'Borehole Logging'!F253</f>
        <v>0</v>
      </c>
      <c r="F253" t="str">
        <f ca="1">'Borehole Logging'!AX253</f>
        <v/>
      </c>
      <c r="G253" t="str">
        <f ca="1">'Borehole Logging'!AY253</f>
        <v/>
      </c>
      <c r="H253" t="str">
        <f ca="1">'Borehole Logging'!AZ253</f>
        <v/>
      </c>
      <c r="I253" t="str">
        <f ca="1">'Borehole Logging'!BA253</f>
        <v/>
      </c>
      <c r="J253" t="str">
        <f ca="1">'Borehole Logging'!BB253</f>
        <v/>
      </c>
      <c r="K253" t="str">
        <f ca="1">'Borehole Logging'!BC253</f>
        <v/>
      </c>
    </row>
    <row r="254" spans="1:11" x14ac:dyDescent="0.25">
      <c r="A254">
        <f>'Borehole Logging'!A254</f>
        <v>0</v>
      </c>
      <c r="B254">
        <f>'Borehole Logging'!C254</f>
        <v>0</v>
      </c>
      <c r="C254">
        <f>'Borehole Logging'!D254</f>
        <v>0</v>
      </c>
      <c r="E254">
        <f>'Borehole Logging'!F254</f>
        <v>0</v>
      </c>
      <c r="F254" t="str">
        <f ca="1">'Borehole Logging'!AX254</f>
        <v/>
      </c>
      <c r="G254" t="str">
        <f ca="1">'Borehole Logging'!AY254</f>
        <v/>
      </c>
      <c r="H254" t="str">
        <f ca="1">'Borehole Logging'!AZ254</f>
        <v/>
      </c>
      <c r="I254" t="str">
        <f ca="1">'Borehole Logging'!BA254</f>
        <v/>
      </c>
      <c r="J254" t="str">
        <f ca="1">'Borehole Logging'!BB254</f>
        <v/>
      </c>
      <c r="K254" t="str">
        <f ca="1">'Borehole Logging'!BC254</f>
        <v/>
      </c>
    </row>
    <row r="255" spans="1:11" x14ac:dyDescent="0.25">
      <c r="A255">
        <f>'Borehole Logging'!A255</f>
        <v>0</v>
      </c>
      <c r="B255">
        <f>'Borehole Logging'!C255</f>
        <v>0</v>
      </c>
      <c r="C255">
        <f>'Borehole Logging'!D255</f>
        <v>0</v>
      </c>
      <c r="E255">
        <f>'Borehole Logging'!F255</f>
        <v>0</v>
      </c>
      <c r="F255" t="str">
        <f ca="1">'Borehole Logging'!AX255</f>
        <v/>
      </c>
      <c r="G255" t="str">
        <f ca="1">'Borehole Logging'!AY255</f>
        <v/>
      </c>
      <c r="H255" t="str">
        <f ca="1">'Borehole Logging'!AZ255</f>
        <v/>
      </c>
      <c r="I255" t="str">
        <f ca="1">'Borehole Logging'!BA255</f>
        <v/>
      </c>
      <c r="J255" t="str">
        <f ca="1">'Borehole Logging'!BB255</f>
        <v/>
      </c>
      <c r="K255" t="str">
        <f ca="1">'Borehole Logging'!BC255</f>
        <v/>
      </c>
    </row>
    <row r="256" spans="1:11" x14ac:dyDescent="0.25">
      <c r="A256">
        <f>'Borehole Logging'!A256</f>
        <v>0</v>
      </c>
      <c r="B256">
        <f>'Borehole Logging'!C256</f>
        <v>0</v>
      </c>
      <c r="C256">
        <f>'Borehole Logging'!D256</f>
        <v>0</v>
      </c>
      <c r="E256">
        <f>'Borehole Logging'!F256</f>
        <v>0</v>
      </c>
      <c r="F256" t="str">
        <f ca="1">'Borehole Logging'!AX256</f>
        <v/>
      </c>
      <c r="G256" t="str">
        <f ca="1">'Borehole Logging'!AY256</f>
        <v/>
      </c>
      <c r="H256" t="str">
        <f ca="1">'Borehole Logging'!AZ256</f>
        <v/>
      </c>
      <c r="I256" t="str">
        <f ca="1">'Borehole Logging'!BA256</f>
        <v/>
      </c>
      <c r="J256" t="str">
        <f ca="1">'Borehole Logging'!BB256</f>
        <v/>
      </c>
      <c r="K256" t="str">
        <f ca="1">'Borehole Logging'!BC256</f>
        <v/>
      </c>
    </row>
    <row r="257" spans="1:11" x14ac:dyDescent="0.25">
      <c r="A257">
        <f>'Borehole Logging'!A257</f>
        <v>0</v>
      </c>
      <c r="B257">
        <f>'Borehole Logging'!C257</f>
        <v>0</v>
      </c>
      <c r="C257">
        <f>'Borehole Logging'!D257</f>
        <v>0</v>
      </c>
      <c r="E257">
        <f>'Borehole Logging'!F257</f>
        <v>0</v>
      </c>
      <c r="F257" t="str">
        <f ca="1">'Borehole Logging'!AX257</f>
        <v/>
      </c>
      <c r="G257" t="str">
        <f ca="1">'Borehole Logging'!AY257</f>
        <v/>
      </c>
      <c r="H257" t="str">
        <f ca="1">'Borehole Logging'!AZ257</f>
        <v/>
      </c>
      <c r="I257" t="str">
        <f ca="1">'Borehole Logging'!BA257</f>
        <v/>
      </c>
      <c r="J257" t="str">
        <f ca="1">'Borehole Logging'!BB257</f>
        <v/>
      </c>
      <c r="K257" t="str">
        <f ca="1">'Borehole Logging'!BC257</f>
        <v/>
      </c>
    </row>
    <row r="258" spans="1:11" x14ac:dyDescent="0.25">
      <c r="A258">
        <f>'Borehole Logging'!A258</f>
        <v>0</v>
      </c>
      <c r="B258">
        <f>'Borehole Logging'!C258</f>
        <v>0</v>
      </c>
      <c r="C258">
        <f>'Borehole Logging'!D258</f>
        <v>0</v>
      </c>
      <c r="E258">
        <f>'Borehole Logging'!F258</f>
        <v>0</v>
      </c>
      <c r="F258" t="str">
        <f ca="1">'Borehole Logging'!AX258</f>
        <v/>
      </c>
      <c r="G258" t="str">
        <f ca="1">'Borehole Logging'!AY258</f>
        <v/>
      </c>
      <c r="H258" t="str">
        <f ca="1">'Borehole Logging'!AZ258</f>
        <v/>
      </c>
      <c r="I258" t="str">
        <f ca="1">'Borehole Logging'!BA258</f>
        <v/>
      </c>
      <c r="J258" t="str">
        <f ca="1">'Borehole Logging'!BB258</f>
        <v/>
      </c>
      <c r="K258" t="str">
        <f ca="1">'Borehole Logging'!BC258</f>
        <v/>
      </c>
    </row>
    <row r="259" spans="1:11" x14ac:dyDescent="0.25">
      <c r="A259">
        <f>'Borehole Logging'!A259</f>
        <v>0</v>
      </c>
      <c r="B259">
        <f>'Borehole Logging'!C259</f>
        <v>0</v>
      </c>
      <c r="C259">
        <f>'Borehole Logging'!D259</f>
        <v>0</v>
      </c>
      <c r="E259">
        <f>'Borehole Logging'!F259</f>
        <v>0</v>
      </c>
      <c r="F259" t="str">
        <f ca="1">'Borehole Logging'!AX259</f>
        <v/>
      </c>
      <c r="G259" t="str">
        <f ca="1">'Borehole Logging'!AY259</f>
        <v/>
      </c>
      <c r="H259" t="str">
        <f ca="1">'Borehole Logging'!AZ259</f>
        <v/>
      </c>
      <c r="I259" t="str">
        <f ca="1">'Borehole Logging'!BA259</f>
        <v/>
      </c>
      <c r="J259" t="str">
        <f ca="1">'Borehole Logging'!BB259</f>
        <v/>
      </c>
      <c r="K259" t="str">
        <f ca="1">'Borehole Logging'!BC259</f>
        <v/>
      </c>
    </row>
    <row r="260" spans="1:11" x14ac:dyDescent="0.25">
      <c r="A260">
        <f>'Borehole Logging'!A260</f>
        <v>0</v>
      </c>
      <c r="B260">
        <f>'Borehole Logging'!C260</f>
        <v>0</v>
      </c>
      <c r="C260">
        <f>'Borehole Logging'!D260</f>
        <v>0</v>
      </c>
      <c r="E260">
        <f>'Borehole Logging'!F260</f>
        <v>0</v>
      </c>
      <c r="F260" t="str">
        <f ca="1">'Borehole Logging'!AX260</f>
        <v/>
      </c>
      <c r="G260" t="str">
        <f ca="1">'Borehole Logging'!AY260</f>
        <v/>
      </c>
      <c r="H260" t="str">
        <f ca="1">'Borehole Logging'!AZ260</f>
        <v/>
      </c>
      <c r="I260" t="str">
        <f ca="1">'Borehole Logging'!BA260</f>
        <v/>
      </c>
      <c r="J260" t="str">
        <f ca="1">'Borehole Logging'!BB260</f>
        <v/>
      </c>
      <c r="K260" t="str">
        <f ca="1">'Borehole Logging'!BC260</f>
        <v/>
      </c>
    </row>
    <row r="261" spans="1:11" x14ac:dyDescent="0.25">
      <c r="A261">
        <f>'Borehole Logging'!A261</f>
        <v>0</v>
      </c>
      <c r="B261">
        <f>'Borehole Logging'!C261</f>
        <v>0</v>
      </c>
      <c r="C261">
        <f>'Borehole Logging'!D261</f>
        <v>0</v>
      </c>
      <c r="E261">
        <f>'Borehole Logging'!F261</f>
        <v>0</v>
      </c>
      <c r="F261" t="str">
        <f ca="1">'Borehole Logging'!AX261</f>
        <v/>
      </c>
      <c r="G261" t="str">
        <f ca="1">'Borehole Logging'!AY261</f>
        <v/>
      </c>
      <c r="H261" t="str">
        <f ca="1">'Borehole Logging'!AZ261</f>
        <v/>
      </c>
      <c r="I261" t="str">
        <f ca="1">'Borehole Logging'!BA261</f>
        <v/>
      </c>
      <c r="J261" t="str">
        <f ca="1">'Borehole Logging'!BB261</f>
        <v/>
      </c>
      <c r="K261" t="str">
        <f ca="1">'Borehole Logging'!BC261</f>
        <v/>
      </c>
    </row>
    <row r="262" spans="1:11" x14ac:dyDescent="0.25">
      <c r="A262">
        <f>'Borehole Logging'!A262</f>
        <v>0</v>
      </c>
      <c r="B262">
        <f>'Borehole Logging'!C262</f>
        <v>0</v>
      </c>
      <c r="C262">
        <f>'Borehole Logging'!D262</f>
        <v>0</v>
      </c>
      <c r="E262">
        <f>'Borehole Logging'!F262</f>
        <v>0</v>
      </c>
      <c r="F262" t="str">
        <f ca="1">'Borehole Logging'!AX262</f>
        <v/>
      </c>
      <c r="G262" t="str">
        <f ca="1">'Borehole Logging'!AY262</f>
        <v/>
      </c>
      <c r="H262" t="str">
        <f ca="1">'Borehole Logging'!AZ262</f>
        <v/>
      </c>
      <c r="I262" t="str">
        <f ca="1">'Borehole Logging'!BA262</f>
        <v/>
      </c>
      <c r="J262" t="str">
        <f ca="1">'Borehole Logging'!BB262</f>
        <v/>
      </c>
      <c r="K262" t="str">
        <f ca="1">'Borehole Logging'!BC262</f>
        <v/>
      </c>
    </row>
    <row r="263" spans="1:11" x14ac:dyDescent="0.25">
      <c r="A263">
        <f>'Borehole Logging'!A263</f>
        <v>0</v>
      </c>
      <c r="B263">
        <f>'Borehole Logging'!C263</f>
        <v>0</v>
      </c>
      <c r="C263">
        <f>'Borehole Logging'!D263</f>
        <v>0</v>
      </c>
      <c r="E263">
        <f>'Borehole Logging'!F263</f>
        <v>0</v>
      </c>
      <c r="F263" t="str">
        <f ca="1">'Borehole Logging'!AX263</f>
        <v/>
      </c>
      <c r="G263" t="str">
        <f ca="1">'Borehole Logging'!AY263</f>
        <v/>
      </c>
      <c r="H263" t="str">
        <f ca="1">'Borehole Logging'!AZ263</f>
        <v/>
      </c>
      <c r="I263" t="str">
        <f ca="1">'Borehole Logging'!BA263</f>
        <v/>
      </c>
      <c r="J263" t="str">
        <f ca="1">'Borehole Logging'!BB263</f>
        <v/>
      </c>
      <c r="K263" t="str">
        <f ca="1">'Borehole Logging'!BC263</f>
        <v/>
      </c>
    </row>
    <row r="264" spans="1:11" x14ac:dyDescent="0.25">
      <c r="A264">
        <f>'Borehole Logging'!A264</f>
        <v>0</v>
      </c>
      <c r="B264">
        <f>'Borehole Logging'!C264</f>
        <v>0</v>
      </c>
      <c r="C264">
        <f>'Borehole Logging'!D264</f>
        <v>0</v>
      </c>
      <c r="E264">
        <f>'Borehole Logging'!F264</f>
        <v>0</v>
      </c>
      <c r="F264" t="str">
        <f ca="1">'Borehole Logging'!AX264</f>
        <v/>
      </c>
      <c r="G264" t="str">
        <f ca="1">'Borehole Logging'!AY264</f>
        <v/>
      </c>
      <c r="H264" t="str">
        <f ca="1">'Borehole Logging'!AZ264</f>
        <v/>
      </c>
      <c r="I264" t="str">
        <f ca="1">'Borehole Logging'!BA264</f>
        <v/>
      </c>
      <c r="J264" t="str">
        <f ca="1">'Borehole Logging'!BB264</f>
        <v/>
      </c>
      <c r="K264" t="str">
        <f ca="1">'Borehole Logging'!BC264</f>
        <v/>
      </c>
    </row>
    <row r="265" spans="1:11" x14ac:dyDescent="0.25">
      <c r="A265">
        <f>'Borehole Logging'!A265</f>
        <v>0</v>
      </c>
      <c r="B265">
        <f>'Borehole Logging'!C265</f>
        <v>0</v>
      </c>
      <c r="C265">
        <f>'Borehole Logging'!D265</f>
        <v>0</v>
      </c>
      <c r="E265">
        <f>'Borehole Logging'!F265</f>
        <v>0</v>
      </c>
      <c r="F265" t="str">
        <f ca="1">'Borehole Logging'!AX265</f>
        <v/>
      </c>
      <c r="G265" t="str">
        <f ca="1">'Borehole Logging'!AY265</f>
        <v/>
      </c>
      <c r="H265" t="str">
        <f ca="1">'Borehole Logging'!AZ265</f>
        <v/>
      </c>
      <c r="I265" t="str">
        <f ca="1">'Borehole Logging'!BA265</f>
        <v/>
      </c>
      <c r="J265" t="str">
        <f ca="1">'Borehole Logging'!BB265</f>
        <v/>
      </c>
      <c r="K265" t="str">
        <f ca="1">'Borehole Logging'!BC265</f>
        <v/>
      </c>
    </row>
    <row r="266" spans="1:11" x14ac:dyDescent="0.25">
      <c r="A266">
        <f>'Borehole Logging'!A266</f>
        <v>0</v>
      </c>
      <c r="B266">
        <f>'Borehole Logging'!C266</f>
        <v>0</v>
      </c>
      <c r="C266">
        <f>'Borehole Logging'!D266</f>
        <v>0</v>
      </c>
      <c r="E266">
        <f>'Borehole Logging'!F266</f>
        <v>0</v>
      </c>
      <c r="F266" t="str">
        <f ca="1">'Borehole Logging'!AX266</f>
        <v/>
      </c>
      <c r="G266" t="str">
        <f ca="1">'Borehole Logging'!AY266</f>
        <v/>
      </c>
      <c r="H266" t="str">
        <f ca="1">'Borehole Logging'!AZ266</f>
        <v/>
      </c>
      <c r="I266" t="str">
        <f ca="1">'Borehole Logging'!BA266</f>
        <v/>
      </c>
      <c r="J266" t="str">
        <f ca="1">'Borehole Logging'!BB266</f>
        <v/>
      </c>
      <c r="K266" t="str">
        <f ca="1">'Borehole Logging'!BC266</f>
        <v/>
      </c>
    </row>
    <row r="267" spans="1:11" x14ac:dyDescent="0.25">
      <c r="A267">
        <f>'Borehole Logging'!A267</f>
        <v>0</v>
      </c>
      <c r="B267">
        <f>'Borehole Logging'!C267</f>
        <v>0</v>
      </c>
      <c r="C267">
        <f>'Borehole Logging'!D267</f>
        <v>0</v>
      </c>
      <c r="E267">
        <f>'Borehole Logging'!F267</f>
        <v>0</v>
      </c>
      <c r="F267" t="str">
        <f ca="1">'Borehole Logging'!AX267</f>
        <v/>
      </c>
      <c r="G267" t="str">
        <f ca="1">'Borehole Logging'!AY267</f>
        <v/>
      </c>
      <c r="H267" t="str">
        <f ca="1">'Borehole Logging'!AZ267</f>
        <v/>
      </c>
      <c r="I267" t="str">
        <f ca="1">'Borehole Logging'!BA267</f>
        <v/>
      </c>
      <c r="J267" t="str">
        <f ca="1">'Borehole Logging'!BB267</f>
        <v/>
      </c>
      <c r="K267" t="str">
        <f ca="1">'Borehole Logging'!BC267</f>
        <v/>
      </c>
    </row>
    <row r="268" spans="1:11" x14ac:dyDescent="0.25">
      <c r="A268">
        <f>'Borehole Logging'!A268</f>
        <v>0</v>
      </c>
      <c r="B268">
        <f>'Borehole Logging'!C268</f>
        <v>0</v>
      </c>
      <c r="C268">
        <f>'Borehole Logging'!D268</f>
        <v>0</v>
      </c>
      <c r="E268">
        <f>'Borehole Logging'!F268</f>
        <v>0</v>
      </c>
      <c r="F268" t="str">
        <f ca="1">'Borehole Logging'!AX268</f>
        <v/>
      </c>
      <c r="G268" t="str">
        <f ca="1">'Borehole Logging'!AY268</f>
        <v/>
      </c>
      <c r="H268" t="str">
        <f ca="1">'Borehole Logging'!AZ268</f>
        <v/>
      </c>
      <c r="I268" t="str">
        <f ca="1">'Borehole Logging'!BA268</f>
        <v/>
      </c>
      <c r="J268" t="str">
        <f ca="1">'Borehole Logging'!BB268</f>
        <v/>
      </c>
      <c r="K268" t="str">
        <f ca="1">'Borehole Logging'!BC268</f>
        <v/>
      </c>
    </row>
    <row r="269" spans="1:11" x14ac:dyDescent="0.25">
      <c r="A269">
        <f>'Borehole Logging'!A269</f>
        <v>0</v>
      </c>
      <c r="B269">
        <f>'Borehole Logging'!C269</f>
        <v>0</v>
      </c>
      <c r="C269">
        <f>'Borehole Logging'!D269</f>
        <v>0</v>
      </c>
      <c r="E269">
        <f>'Borehole Logging'!F269</f>
        <v>0</v>
      </c>
      <c r="F269" t="str">
        <f ca="1">'Borehole Logging'!AX269</f>
        <v/>
      </c>
      <c r="G269" t="str">
        <f ca="1">'Borehole Logging'!AY269</f>
        <v/>
      </c>
      <c r="H269" t="str">
        <f ca="1">'Borehole Logging'!AZ269</f>
        <v/>
      </c>
      <c r="I269" t="str">
        <f ca="1">'Borehole Logging'!BA269</f>
        <v/>
      </c>
      <c r="J269" t="str">
        <f ca="1">'Borehole Logging'!BB269</f>
        <v/>
      </c>
      <c r="K269" t="str">
        <f ca="1">'Borehole Logging'!BC269</f>
        <v/>
      </c>
    </row>
    <row r="270" spans="1:11" x14ac:dyDescent="0.25">
      <c r="A270">
        <f>'Borehole Logging'!A270</f>
        <v>0</v>
      </c>
      <c r="B270">
        <f>'Borehole Logging'!C270</f>
        <v>0</v>
      </c>
      <c r="C270">
        <f>'Borehole Logging'!D270</f>
        <v>0</v>
      </c>
      <c r="E270">
        <f>'Borehole Logging'!F270</f>
        <v>0</v>
      </c>
      <c r="F270" t="str">
        <f ca="1">'Borehole Logging'!AX270</f>
        <v/>
      </c>
      <c r="G270" t="str">
        <f ca="1">'Borehole Logging'!AY270</f>
        <v/>
      </c>
      <c r="H270" t="str">
        <f ca="1">'Borehole Logging'!AZ270</f>
        <v/>
      </c>
      <c r="I270" t="str">
        <f ca="1">'Borehole Logging'!BA270</f>
        <v/>
      </c>
      <c r="J270" t="str">
        <f ca="1">'Borehole Logging'!BB270</f>
        <v/>
      </c>
      <c r="K270" t="str">
        <f ca="1">'Borehole Logging'!BC270</f>
        <v/>
      </c>
    </row>
    <row r="271" spans="1:11" x14ac:dyDescent="0.25">
      <c r="A271">
        <f>'Borehole Logging'!A271</f>
        <v>0</v>
      </c>
      <c r="B271">
        <f>'Borehole Logging'!C271</f>
        <v>0</v>
      </c>
      <c r="C271">
        <f>'Borehole Logging'!D271</f>
        <v>0</v>
      </c>
      <c r="E271">
        <f>'Borehole Logging'!F271</f>
        <v>0</v>
      </c>
      <c r="F271" t="str">
        <f ca="1">'Borehole Logging'!AX271</f>
        <v/>
      </c>
      <c r="G271" t="str">
        <f ca="1">'Borehole Logging'!AY271</f>
        <v/>
      </c>
      <c r="H271" t="str">
        <f ca="1">'Borehole Logging'!AZ271</f>
        <v/>
      </c>
      <c r="I271" t="str">
        <f ca="1">'Borehole Logging'!BA271</f>
        <v/>
      </c>
      <c r="J271" t="str">
        <f ca="1">'Borehole Logging'!BB271</f>
        <v/>
      </c>
      <c r="K271" t="str">
        <f ca="1">'Borehole Logging'!BC271</f>
        <v/>
      </c>
    </row>
    <row r="272" spans="1:11" x14ac:dyDescent="0.25">
      <c r="A272">
        <f>'Borehole Logging'!A272</f>
        <v>0</v>
      </c>
      <c r="B272">
        <f>'Borehole Logging'!C272</f>
        <v>0</v>
      </c>
      <c r="C272">
        <f>'Borehole Logging'!D272</f>
        <v>0</v>
      </c>
      <c r="E272">
        <f>'Borehole Logging'!F272</f>
        <v>0</v>
      </c>
      <c r="F272" t="str">
        <f ca="1">'Borehole Logging'!AX272</f>
        <v/>
      </c>
      <c r="G272" t="str">
        <f ca="1">'Borehole Logging'!AY272</f>
        <v/>
      </c>
      <c r="H272" t="str">
        <f ca="1">'Borehole Logging'!AZ272</f>
        <v/>
      </c>
      <c r="I272" t="str">
        <f ca="1">'Borehole Logging'!BA272</f>
        <v/>
      </c>
      <c r="J272" t="str">
        <f ca="1">'Borehole Logging'!BB272</f>
        <v/>
      </c>
      <c r="K272" t="str">
        <f ca="1">'Borehole Logging'!BC272</f>
        <v/>
      </c>
    </row>
    <row r="273" spans="1:11" x14ac:dyDescent="0.25">
      <c r="A273">
        <f>'Borehole Logging'!A273</f>
        <v>0</v>
      </c>
      <c r="B273">
        <f>'Borehole Logging'!C273</f>
        <v>0</v>
      </c>
      <c r="C273">
        <f>'Borehole Logging'!D273</f>
        <v>0</v>
      </c>
      <c r="E273">
        <f>'Borehole Logging'!F273</f>
        <v>0</v>
      </c>
      <c r="F273" t="str">
        <f ca="1">'Borehole Logging'!AX273</f>
        <v/>
      </c>
      <c r="G273" t="str">
        <f ca="1">'Borehole Logging'!AY273</f>
        <v/>
      </c>
      <c r="H273" t="str">
        <f ca="1">'Borehole Logging'!AZ273</f>
        <v/>
      </c>
      <c r="I273" t="str">
        <f ca="1">'Borehole Logging'!BA273</f>
        <v/>
      </c>
      <c r="J273" t="str">
        <f ca="1">'Borehole Logging'!BB273</f>
        <v/>
      </c>
      <c r="K273" t="str">
        <f ca="1">'Borehole Logging'!BC273</f>
        <v/>
      </c>
    </row>
    <row r="274" spans="1:11" x14ac:dyDescent="0.25">
      <c r="A274">
        <f>'Borehole Logging'!A274</f>
        <v>0</v>
      </c>
      <c r="B274">
        <f>'Borehole Logging'!C274</f>
        <v>0</v>
      </c>
      <c r="C274">
        <f>'Borehole Logging'!D274</f>
        <v>0</v>
      </c>
      <c r="E274">
        <f>'Borehole Logging'!F274</f>
        <v>0</v>
      </c>
      <c r="F274" t="str">
        <f ca="1">'Borehole Logging'!AX274</f>
        <v/>
      </c>
      <c r="G274" t="str">
        <f ca="1">'Borehole Logging'!AY274</f>
        <v/>
      </c>
      <c r="H274" t="str">
        <f ca="1">'Borehole Logging'!AZ274</f>
        <v/>
      </c>
      <c r="I274" t="str">
        <f ca="1">'Borehole Logging'!BA274</f>
        <v/>
      </c>
      <c r="J274" t="str">
        <f ca="1">'Borehole Logging'!BB274</f>
        <v/>
      </c>
      <c r="K274" t="str">
        <f ca="1">'Borehole Logging'!BC274</f>
        <v/>
      </c>
    </row>
    <row r="275" spans="1:11" x14ac:dyDescent="0.25">
      <c r="A275">
        <f>'Borehole Logging'!A275</f>
        <v>0</v>
      </c>
      <c r="B275">
        <f>'Borehole Logging'!C275</f>
        <v>0</v>
      </c>
      <c r="C275">
        <f>'Borehole Logging'!D275</f>
        <v>0</v>
      </c>
      <c r="E275">
        <f>'Borehole Logging'!F275</f>
        <v>0</v>
      </c>
      <c r="F275" t="str">
        <f ca="1">'Borehole Logging'!AX275</f>
        <v/>
      </c>
      <c r="G275" t="str">
        <f ca="1">'Borehole Logging'!AY275</f>
        <v/>
      </c>
      <c r="H275" t="str">
        <f ca="1">'Borehole Logging'!AZ275</f>
        <v/>
      </c>
      <c r="I275" t="str">
        <f ca="1">'Borehole Logging'!BA275</f>
        <v/>
      </c>
      <c r="J275" t="str">
        <f ca="1">'Borehole Logging'!BB275</f>
        <v/>
      </c>
      <c r="K275" t="str">
        <f ca="1">'Borehole Logging'!BC275</f>
        <v/>
      </c>
    </row>
    <row r="276" spans="1:11" x14ac:dyDescent="0.25">
      <c r="A276">
        <f>'Borehole Logging'!A276</f>
        <v>0</v>
      </c>
      <c r="B276">
        <f>'Borehole Logging'!C276</f>
        <v>0</v>
      </c>
      <c r="C276">
        <f>'Borehole Logging'!D276</f>
        <v>0</v>
      </c>
      <c r="E276">
        <f>'Borehole Logging'!F276</f>
        <v>0</v>
      </c>
      <c r="F276" t="str">
        <f ca="1">'Borehole Logging'!AX276</f>
        <v/>
      </c>
      <c r="G276" t="str">
        <f ca="1">'Borehole Logging'!AY276</f>
        <v/>
      </c>
      <c r="H276" t="str">
        <f ca="1">'Borehole Logging'!AZ276</f>
        <v/>
      </c>
      <c r="I276" t="str">
        <f ca="1">'Borehole Logging'!BA276</f>
        <v/>
      </c>
      <c r="J276" t="str">
        <f ca="1">'Borehole Logging'!BB276</f>
        <v/>
      </c>
      <c r="K276" t="str">
        <f ca="1">'Borehole Logging'!BC276</f>
        <v/>
      </c>
    </row>
    <row r="277" spans="1:11" x14ac:dyDescent="0.25">
      <c r="A277">
        <f>'Borehole Logging'!A277</f>
        <v>0</v>
      </c>
      <c r="B277">
        <f>'Borehole Logging'!C277</f>
        <v>0</v>
      </c>
      <c r="C277">
        <f>'Borehole Logging'!D277</f>
        <v>0</v>
      </c>
      <c r="E277">
        <f>'Borehole Logging'!F277</f>
        <v>0</v>
      </c>
      <c r="F277" t="str">
        <f ca="1">'Borehole Logging'!AX277</f>
        <v/>
      </c>
      <c r="G277" t="str">
        <f ca="1">'Borehole Logging'!AY277</f>
        <v/>
      </c>
      <c r="H277" t="str">
        <f ca="1">'Borehole Logging'!AZ277</f>
        <v/>
      </c>
      <c r="I277" t="str">
        <f ca="1">'Borehole Logging'!BA277</f>
        <v/>
      </c>
      <c r="J277" t="str">
        <f ca="1">'Borehole Logging'!BB277</f>
        <v/>
      </c>
      <c r="K277" t="str">
        <f ca="1">'Borehole Logging'!BC277</f>
        <v/>
      </c>
    </row>
    <row r="278" spans="1:11" x14ac:dyDescent="0.25">
      <c r="A278">
        <f>'Borehole Logging'!A278</f>
        <v>0</v>
      </c>
      <c r="B278">
        <f>'Borehole Logging'!C278</f>
        <v>0</v>
      </c>
      <c r="C278">
        <f>'Borehole Logging'!D278</f>
        <v>0</v>
      </c>
      <c r="E278">
        <f>'Borehole Logging'!F278</f>
        <v>0</v>
      </c>
      <c r="F278" t="str">
        <f ca="1">'Borehole Logging'!AX278</f>
        <v/>
      </c>
      <c r="G278" t="str">
        <f ca="1">'Borehole Logging'!AY278</f>
        <v/>
      </c>
      <c r="H278" t="str">
        <f ca="1">'Borehole Logging'!AZ278</f>
        <v/>
      </c>
      <c r="I278" t="str">
        <f ca="1">'Borehole Logging'!BA278</f>
        <v/>
      </c>
      <c r="J278" t="str">
        <f ca="1">'Borehole Logging'!BB278</f>
        <v/>
      </c>
      <c r="K278" t="str">
        <f ca="1">'Borehole Logging'!BC278</f>
        <v/>
      </c>
    </row>
    <row r="279" spans="1:11" x14ac:dyDescent="0.25">
      <c r="A279">
        <f>'Borehole Logging'!A279</f>
        <v>0</v>
      </c>
      <c r="B279">
        <f>'Borehole Logging'!C279</f>
        <v>0</v>
      </c>
      <c r="C279">
        <f>'Borehole Logging'!D279</f>
        <v>0</v>
      </c>
      <c r="E279">
        <f>'Borehole Logging'!F279</f>
        <v>0</v>
      </c>
      <c r="F279" t="str">
        <f ca="1">'Borehole Logging'!AX279</f>
        <v/>
      </c>
      <c r="G279" t="str">
        <f ca="1">'Borehole Logging'!AY279</f>
        <v/>
      </c>
      <c r="H279" t="str">
        <f ca="1">'Borehole Logging'!AZ279</f>
        <v/>
      </c>
      <c r="I279" t="str">
        <f ca="1">'Borehole Logging'!BA279</f>
        <v/>
      </c>
      <c r="J279" t="str">
        <f ca="1">'Borehole Logging'!BB279</f>
        <v/>
      </c>
      <c r="K279" t="str">
        <f ca="1">'Borehole Logging'!BC279</f>
        <v/>
      </c>
    </row>
    <row r="280" spans="1:11" x14ac:dyDescent="0.25">
      <c r="A280">
        <f>'Borehole Logging'!A280</f>
        <v>0</v>
      </c>
      <c r="B280">
        <f>'Borehole Logging'!C280</f>
        <v>0</v>
      </c>
      <c r="C280">
        <f>'Borehole Logging'!D280</f>
        <v>0</v>
      </c>
      <c r="E280">
        <f>'Borehole Logging'!F280</f>
        <v>0</v>
      </c>
      <c r="F280" t="str">
        <f ca="1">'Borehole Logging'!AX280</f>
        <v/>
      </c>
      <c r="G280" t="str">
        <f ca="1">'Borehole Logging'!AY280</f>
        <v/>
      </c>
      <c r="H280" t="str">
        <f ca="1">'Borehole Logging'!AZ280</f>
        <v/>
      </c>
      <c r="I280" t="str">
        <f ca="1">'Borehole Logging'!BA280</f>
        <v/>
      </c>
      <c r="J280" t="str">
        <f ca="1">'Borehole Logging'!BB280</f>
        <v/>
      </c>
      <c r="K280" t="str">
        <f ca="1">'Borehole Logging'!BC280</f>
        <v/>
      </c>
    </row>
    <row r="281" spans="1:11" x14ac:dyDescent="0.25">
      <c r="A281">
        <f>'Borehole Logging'!A281</f>
        <v>0</v>
      </c>
      <c r="B281">
        <f>'Borehole Logging'!C281</f>
        <v>0</v>
      </c>
      <c r="C281">
        <f>'Borehole Logging'!D281</f>
        <v>0</v>
      </c>
      <c r="E281">
        <f>'Borehole Logging'!F281</f>
        <v>0</v>
      </c>
      <c r="F281" t="str">
        <f ca="1">'Borehole Logging'!AX281</f>
        <v/>
      </c>
      <c r="G281" t="str">
        <f ca="1">'Borehole Logging'!AY281</f>
        <v/>
      </c>
      <c r="H281" t="str">
        <f ca="1">'Borehole Logging'!AZ281</f>
        <v/>
      </c>
      <c r="I281" t="str">
        <f ca="1">'Borehole Logging'!BA281</f>
        <v/>
      </c>
      <c r="J281" t="str">
        <f ca="1">'Borehole Logging'!BB281</f>
        <v/>
      </c>
      <c r="K281" t="str">
        <f ca="1">'Borehole Logging'!BC281</f>
        <v/>
      </c>
    </row>
    <row r="282" spans="1:11" x14ac:dyDescent="0.25">
      <c r="A282">
        <f>'Borehole Logging'!A282</f>
        <v>0</v>
      </c>
      <c r="B282">
        <f>'Borehole Logging'!C282</f>
        <v>0</v>
      </c>
      <c r="C282">
        <f>'Borehole Logging'!D282</f>
        <v>0</v>
      </c>
      <c r="E282">
        <f>'Borehole Logging'!F282</f>
        <v>0</v>
      </c>
      <c r="F282" t="str">
        <f ca="1">'Borehole Logging'!AX282</f>
        <v/>
      </c>
      <c r="G282" t="str">
        <f ca="1">'Borehole Logging'!AY282</f>
        <v/>
      </c>
      <c r="H282" t="str">
        <f ca="1">'Borehole Logging'!AZ282</f>
        <v/>
      </c>
      <c r="I282" t="str">
        <f ca="1">'Borehole Logging'!BA282</f>
        <v/>
      </c>
      <c r="J282" t="str">
        <f ca="1">'Borehole Logging'!BB282</f>
        <v/>
      </c>
      <c r="K282" t="str">
        <f ca="1">'Borehole Logging'!BC282</f>
        <v/>
      </c>
    </row>
    <row r="283" spans="1:11" x14ac:dyDescent="0.25">
      <c r="A283">
        <f>'Borehole Logging'!A283</f>
        <v>0</v>
      </c>
      <c r="B283">
        <f>'Borehole Logging'!C283</f>
        <v>0</v>
      </c>
      <c r="C283">
        <f>'Borehole Logging'!D283</f>
        <v>0</v>
      </c>
      <c r="E283">
        <f>'Borehole Logging'!F283</f>
        <v>0</v>
      </c>
      <c r="F283" t="str">
        <f ca="1">'Borehole Logging'!AX283</f>
        <v/>
      </c>
      <c r="G283" t="str">
        <f ca="1">'Borehole Logging'!AY283</f>
        <v/>
      </c>
      <c r="H283" t="str">
        <f ca="1">'Borehole Logging'!AZ283</f>
        <v/>
      </c>
      <c r="I283" t="str">
        <f ca="1">'Borehole Logging'!BA283</f>
        <v/>
      </c>
      <c r="J283" t="str">
        <f ca="1">'Borehole Logging'!BB283</f>
        <v/>
      </c>
      <c r="K283" t="str">
        <f ca="1">'Borehole Logging'!BC283</f>
        <v/>
      </c>
    </row>
    <row r="284" spans="1:11" x14ac:dyDescent="0.25">
      <c r="A284">
        <f>'Borehole Logging'!A284</f>
        <v>0</v>
      </c>
      <c r="B284">
        <f>'Borehole Logging'!C284</f>
        <v>0</v>
      </c>
      <c r="C284">
        <f>'Borehole Logging'!D284</f>
        <v>0</v>
      </c>
      <c r="E284">
        <f>'Borehole Logging'!F284</f>
        <v>0</v>
      </c>
      <c r="F284" t="str">
        <f ca="1">'Borehole Logging'!AX284</f>
        <v/>
      </c>
      <c r="G284" t="str">
        <f ca="1">'Borehole Logging'!AY284</f>
        <v/>
      </c>
      <c r="H284" t="str">
        <f ca="1">'Borehole Logging'!AZ284</f>
        <v/>
      </c>
      <c r="I284" t="str">
        <f ca="1">'Borehole Logging'!BA284</f>
        <v/>
      </c>
      <c r="J284" t="str">
        <f ca="1">'Borehole Logging'!BB284</f>
        <v/>
      </c>
      <c r="K284" t="str">
        <f ca="1">'Borehole Logging'!BC284</f>
        <v/>
      </c>
    </row>
    <row r="285" spans="1:11" x14ac:dyDescent="0.25">
      <c r="A285">
        <f>'Borehole Logging'!A285</f>
        <v>0</v>
      </c>
      <c r="B285">
        <f>'Borehole Logging'!C285</f>
        <v>0</v>
      </c>
      <c r="C285">
        <f>'Borehole Logging'!D285</f>
        <v>0</v>
      </c>
      <c r="E285">
        <f>'Borehole Logging'!F285</f>
        <v>0</v>
      </c>
      <c r="F285" t="str">
        <f ca="1">'Borehole Logging'!AX285</f>
        <v/>
      </c>
      <c r="G285" t="str">
        <f ca="1">'Borehole Logging'!AY285</f>
        <v/>
      </c>
      <c r="H285" t="str">
        <f ca="1">'Borehole Logging'!AZ285</f>
        <v/>
      </c>
      <c r="I285" t="str">
        <f ca="1">'Borehole Logging'!BA285</f>
        <v/>
      </c>
      <c r="J285" t="str">
        <f ca="1">'Borehole Logging'!BB285</f>
        <v/>
      </c>
      <c r="K285" t="str">
        <f ca="1">'Borehole Logging'!BC285</f>
        <v/>
      </c>
    </row>
    <row r="286" spans="1:11" x14ac:dyDescent="0.25">
      <c r="A286">
        <f>'Borehole Logging'!A286</f>
        <v>0</v>
      </c>
      <c r="B286">
        <f>'Borehole Logging'!C286</f>
        <v>0</v>
      </c>
      <c r="C286">
        <f>'Borehole Logging'!D286</f>
        <v>0</v>
      </c>
      <c r="E286">
        <f>'Borehole Logging'!F286</f>
        <v>0</v>
      </c>
      <c r="F286" t="str">
        <f ca="1">'Borehole Logging'!AX286</f>
        <v/>
      </c>
      <c r="G286" t="str">
        <f ca="1">'Borehole Logging'!AY286</f>
        <v/>
      </c>
      <c r="H286" t="str">
        <f ca="1">'Borehole Logging'!AZ286</f>
        <v/>
      </c>
      <c r="I286" t="str">
        <f ca="1">'Borehole Logging'!BA286</f>
        <v/>
      </c>
      <c r="J286" t="str">
        <f ca="1">'Borehole Logging'!BB286</f>
        <v/>
      </c>
      <c r="K286" t="str">
        <f ca="1">'Borehole Logging'!BC286</f>
        <v/>
      </c>
    </row>
    <row r="287" spans="1:11" x14ac:dyDescent="0.25">
      <c r="A287">
        <f>'Borehole Logging'!A287</f>
        <v>0</v>
      </c>
      <c r="B287">
        <f>'Borehole Logging'!C287</f>
        <v>0</v>
      </c>
      <c r="C287">
        <f>'Borehole Logging'!D287</f>
        <v>0</v>
      </c>
      <c r="E287">
        <f>'Borehole Logging'!F287</f>
        <v>0</v>
      </c>
      <c r="F287" t="str">
        <f ca="1">'Borehole Logging'!AX287</f>
        <v/>
      </c>
      <c r="G287" t="str">
        <f ca="1">'Borehole Logging'!AY287</f>
        <v/>
      </c>
      <c r="H287" t="str">
        <f ca="1">'Borehole Logging'!AZ287</f>
        <v/>
      </c>
      <c r="I287" t="str">
        <f ca="1">'Borehole Logging'!BA287</f>
        <v/>
      </c>
      <c r="J287" t="str">
        <f ca="1">'Borehole Logging'!BB287</f>
        <v/>
      </c>
      <c r="K287" t="str">
        <f ca="1">'Borehole Logging'!BC287</f>
        <v/>
      </c>
    </row>
    <row r="288" spans="1:11" x14ac:dyDescent="0.25">
      <c r="A288">
        <f>'Borehole Logging'!A288</f>
        <v>0</v>
      </c>
      <c r="B288">
        <f>'Borehole Logging'!C288</f>
        <v>0</v>
      </c>
      <c r="C288">
        <f>'Borehole Logging'!D288</f>
        <v>0</v>
      </c>
      <c r="E288">
        <f>'Borehole Logging'!F288</f>
        <v>0</v>
      </c>
      <c r="F288" t="str">
        <f ca="1">'Borehole Logging'!AX288</f>
        <v/>
      </c>
      <c r="G288" t="str">
        <f ca="1">'Borehole Logging'!AY288</f>
        <v/>
      </c>
      <c r="H288" t="str">
        <f ca="1">'Borehole Logging'!AZ288</f>
        <v/>
      </c>
      <c r="I288" t="str">
        <f ca="1">'Borehole Logging'!BA288</f>
        <v/>
      </c>
      <c r="J288" t="str">
        <f ca="1">'Borehole Logging'!BB288</f>
        <v/>
      </c>
      <c r="K288" t="str">
        <f ca="1">'Borehole Logging'!BC288</f>
        <v/>
      </c>
    </row>
    <row r="289" spans="1:11" x14ac:dyDescent="0.25">
      <c r="A289">
        <f>'Borehole Logging'!A289</f>
        <v>0</v>
      </c>
      <c r="B289">
        <f>'Borehole Logging'!C289</f>
        <v>0</v>
      </c>
      <c r="C289">
        <f>'Borehole Logging'!D289</f>
        <v>0</v>
      </c>
      <c r="E289">
        <f>'Borehole Logging'!F289</f>
        <v>0</v>
      </c>
      <c r="F289" t="str">
        <f ca="1">'Borehole Logging'!AX289</f>
        <v/>
      </c>
      <c r="G289" t="str">
        <f ca="1">'Borehole Logging'!AY289</f>
        <v/>
      </c>
      <c r="H289" t="str">
        <f ca="1">'Borehole Logging'!AZ289</f>
        <v/>
      </c>
      <c r="I289" t="str">
        <f ca="1">'Borehole Logging'!BA289</f>
        <v/>
      </c>
      <c r="J289" t="str">
        <f ca="1">'Borehole Logging'!BB289</f>
        <v/>
      </c>
      <c r="K289" t="str">
        <f ca="1">'Borehole Logging'!BC289</f>
        <v/>
      </c>
    </row>
    <row r="290" spans="1:11" x14ac:dyDescent="0.25">
      <c r="A290">
        <f>'Borehole Logging'!A290</f>
        <v>0</v>
      </c>
      <c r="B290">
        <f>'Borehole Logging'!C290</f>
        <v>0</v>
      </c>
      <c r="C290">
        <f>'Borehole Logging'!D290</f>
        <v>0</v>
      </c>
      <c r="E290">
        <f>'Borehole Logging'!F290</f>
        <v>0</v>
      </c>
      <c r="F290" t="str">
        <f ca="1">'Borehole Logging'!AX290</f>
        <v/>
      </c>
      <c r="G290" t="str">
        <f ca="1">'Borehole Logging'!AY290</f>
        <v/>
      </c>
      <c r="H290" t="str">
        <f ca="1">'Borehole Logging'!AZ290</f>
        <v/>
      </c>
      <c r="I290" t="str">
        <f ca="1">'Borehole Logging'!BA290</f>
        <v/>
      </c>
      <c r="J290" t="str">
        <f ca="1">'Borehole Logging'!BB290</f>
        <v/>
      </c>
      <c r="K290" t="str">
        <f ca="1">'Borehole Logging'!BC290</f>
        <v/>
      </c>
    </row>
    <row r="291" spans="1:11" x14ac:dyDescent="0.25">
      <c r="A291">
        <f>'Borehole Logging'!A291</f>
        <v>0</v>
      </c>
      <c r="B291">
        <f>'Borehole Logging'!C291</f>
        <v>0</v>
      </c>
      <c r="C291">
        <f>'Borehole Logging'!D291</f>
        <v>0</v>
      </c>
      <c r="E291">
        <f>'Borehole Logging'!F291</f>
        <v>0</v>
      </c>
      <c r="F291" t="str">
        <f ca="1">'Borehole Logging'!AX291</f>
        <v/>
      </c>
      <c r="G291" t="str">
        <f ca="1">'Borehole Logging'!AY291</f>
        <v/>
      </c>
      <c r="H291" t="str">
        <f ca="1">'Borehole Logging'!AZ291</f>
        <v/>
      </c>
      <c r="I291" t="str">
        <f ca="1">'Borehole Logging'!BA291</f>
        <v/>
      </c>
      <c r="J291" t="str">
        <f ca="1">'Borehole Logging'!BB291</f>
        <v/>
      </c>
      <c r="K291" t="str">
        <f ca="1">'Borehole Logging'!BC291</f>
        <v/>
      </c>
    </row>
    <row r="292" spans="1:11" x14ac:dyDescent="0.25">
      <c r="A292">
        <f>'Borehole Logging'!A292</f>
        <v>0</v>
      </c>
      <c r="B292">
        <f>'Borehole Logging'!C292</f>
        <v>0</v>
      </c>
      <c r="C292">
        <f>'Borehole Logging'!D292</f>
        <v>0</v>
      </c>
      <c r="E292">
        <f>'Borehole Logging'!F292</f>
        <v>0</v>
      </c>
      <c r="F292" t="str">
        <f ca="1">'Borehole Logging'!AX292</f>
        <v/>
      </c>
      <c r="G292" t="str">
        <f ca="1">'Borehole Logging'!AY292</f>
        <v/>
      </c>
      <c r="H292" t="str">
        <f ca="1">'Borehole Logging'!AZ292</f>
        <v/>
      </c>
      <c r="I292" t="str">
        <f ca="1">'Borehole Logging'!BA292</f>
        <v/>
      </c>
      <c r="J292" t="str">
        <f ca="1">'Borehole Logging'!BB292</f>
        <v/>
      </c>
      <c r="K292" t="str">
        <f ca="1">'Borehole Logging'!BC292</f>
        <v/>
      </c>
    </row>
    <row r="293" spans="1:11" x14ac:dyDescent="0.25">
      <c r="A293">
        <f>'Borehole Logging'!A293</f>
        <v>0</v>
      </c>
      <c r="B293">
        <f>'Borehole Logging'!C293</f>
        <v>0</v>
      </c>
      <c r="C293">
        <f>'Borehole Logging'!D293</f>
        <v>0</v>
      </c>
      <c r="E293">
        <f>'Borehole Logging'!F293</f>
        <v>0</v>
      </c>
      <c r="F293" t="str">
        <f ca="1">'Borehole Logging'!AX293</f>
        <v/>
      </c>
      <c r="G293" t="str">
        <f ca="1">'Borehole Logging'!AY293</f>
        <v/>
      </c>
      <c r="H293" t="str">
        <f ca="1">'Borehole Logging'!AZ293</f>
        <v/>
      </c>
      <c r="I293" t="str">
        <f ca="1">'Borehole Logging'!BA293</f>
        <v/>
      </c>
      <c r="J293" t="str">
        <f ca="1">'Borehole Logging'!BB293</f>
        <v/>
      </c>
      <c r="K293" t="str">
        <f ca="1">'Borehole Logging'!BC293</f>
        <v/>
      </c>
    </row>
    <row r="294" spans="1:11" x14ac:dyDescent="0.25">
      <c r="A294">
        <f>'Borehole Logging'!A294</f>
        <v>0</v>
      </c>
      <c r="B294">
        <f>'Borehole Logging'!C294</f>
        <v>0</v>
      </c>
      <c r="C294">
        <f>'Borehole Logging'!D294</f>
        <v>0</v>
      </c>
      <c r="E294">
        <f>'Borehole Logging'!F294</f>
        <v>0</v>
      </c>
      <c r="F294" t="str">
        <f ca="1">'Borehole Logging'!AX294</f>
        <v/>
      </c>
      <c r="G294" t="str">
        <f ca="1">'Borehole Logging'!AY294</f>
        <v/>
      </c>
      <c r="H294" t="str">
        <f ca="1">'Borehole Logging'!AZ294</f>
        <v/>
      </c>
      <c r="I294" t="str">
        <f ca="1">'Borehole Logging'!BA294</f>
        <v/>
      </c>
      <c r="J294" t="str">
        <f ca="1">'Borehole Logging'!BB294</f>
        <v/>
      </c>
      <c r="K294" t="str">
        <f ca="1">'Borehole Logging'!BC294</f>
        <v/>
      </c>
    </row>
    <row r="295" spans="1:11" x14ac:dyDescent="0.25">
      <c r="A295">
        <f>'Borehole Logging'!A295</f>
        <v>0</v>
      </c>
      <c r="B295">
        <f>'Borehole Logging'!C295</f>
        <v>0</v>
      </c>
      <c r="C295">
        <f>'Borehole Logging'!D295</f>
        <v>0</v>
      </c>
      <c r="E295">
        <f>'Borehole Logging'!F295</f>
        <v>0</v>
      </c>
      <c r="F295" t="str">
        <f ca="1">'Borehole Logging'!AX295</f>
        <v/>
      </c>
      <c r="G295" t="str">
        <f ca="1">'Borehole Logging'!AY295</f>
        <v/>
      </c>
      <c r="H295" t="str">
        <f ca="1">'Borehole Logging'!AZ295</f>
        <v/>
      </c>
      <c r="I295" t="str">
        <f ca="1">'Borehole Logging'!BA295</f>
        <v/>
      </c>
      <c r="J295" t="str">
        <f ca="1">'Borehole Logging'!BB295</f>
        <v/>
      </c>
      <c r="K295" t="str">
        <f ca="1">'Borehole Logging'!BC295</f>
        <v/>
      </c>
    </row>
    <row r="296" spans="1:11" x14ac:dyDescent="0.25">
      <c r="A296">
        <f>'Borehole Logging'!A296</f>
        <v>0</v>
      </c>
      <c r="B296">
        <f>'Borehole Logging'!C296</f>
        <v>0</v>
      </c>
      <c r="C296">
        <f>'Borehole Logging'!D296</f>
        <v>0</v>
      </c>
      <c r="E296">
        <f>'Borehole Logging'!F296</f>
        <v>0</v>
      </c>
      <c r="F296" t="str">
        <f ca="1">'Borehole Logging'!AX296</f>
        <v/>
      </c>
      <c r="G296" t="str">
        <f ca="1">'Borehole Logging'!AY296</f>
        <v/>
      </c>
      <c r="H296" t="str">
        <f ca="1">'Borehole Logging'!AZ296</f>
        <v/>
      </c>
      <c r="I296" t="str">
        <f ca="1">'Borehole Logging'!BA296</f>
        <v/>
      </c>
      <c r="J296" t="str">
        <f ca="1">'Borehole Logging'!BB296</f>
        <v/>
      </c>
      <c r="K296" t="str">
        <f ca="1">'Borehole Logging'!BC296</f>
        <v/>
      </c>
    </row>
    <row r="297" spans="1:11" x14ac:dyDescent="0.25">
      <c r="A297">
        <f>'Borehole Logging'!A297</f>
        <v>0</v>
      </c>
      <c r="B297">
        <f>'Borehole Logging'!C297</f>
        <v>0</v>
      </c>
      <c r="C297">
        <f>'Borehole Logging'!D297</f>
        <v>0</v>
      </c>
      <c r="E297">
        <f>'Borehole Logging'!F297</f>
        <v>0</v>
      </c>
      <c r="F297" t="str">
        <f ca="1">'Borehole Logging'!AX297</f>
        <v/>
      </c>
      <c r="G297" t="str">
        <f ca="1">'Borehole Logging'!AY297</f>
        <v/>
      </c>
      <c r="H297" t="str">
        <f ca="1">'Borehole Logging'!AZ297</f>
        <v/>
      </c>
      <c r="I297" t="str">
        <f ca="1">'Borehole Logging'!BA297</f>
        <v/>
      </c>
      <c r="J297" t="str">
        <f ca="1">'Borehole Logging'!BB297</f>
        <v/>
      </c>
      <c r="K297" t="str">
        <f ca="1">'Borehole Logging'!BC297</f>
        <v/>
      </c>
    </row>
    <row r="298" spans="1:11" x14ac:dyDescent="0.25">
      <c r="A298">
        <f>'Borehole Logging'!A298</f>
        <v>0</v>
      </c>
      <c r="B298">
        <f>'Borehole Logging'!C298</f>
        <v>0</v>
      </c>
      <c r="C298">
        <f>'Borehole Logging'!D298</f>
        <v>0</v>
      </c>
      <c r="E298">
        <f>'Borehole Logging'!F298</f>
        <v>0</v>
      </c>
      <c r="F298" t="str">
        <f ca="1">'Borehole Logging'!AX298</f>
        <v/>
      </c>
      <c r="G298" t="str">
        <f ca="1">'Borehole Logging'!AY298</f>
        <v/>
      </c>
      <c r="H298" t="str">
        <f ca="1">'Borehole Logging'!AZ298</f>
        <v/>
      </c>
      <c r="I298" t="str">
        <f ca="1">'Borehole Logging'!BA298</f>
        <v/>
      </c>
      <c r="J298" t="str">
        <f ca="1">'Borehole Logging'!BB298</f>
        <v/>
      </c>
      <c r="K298" t="str">
        <f ca="1">'Borehole Logging'!BC298</f>
        <v/>
      </c>
    </row>
    <row r="299" spans="1:11" x14ac:dyDescent="0.25">
      <c r="A299">
        <f>'Borehole Logging'!A299</f>
        <v>0</v>
      </c>
      <c r="B299">
        <f>'Borehole Logging'!C299</f>
        <v>0</v>
      </c>
      <c r="C299">
        <f>'Borehole Logging'!D299</f>
        <v>0</v>
      </c>
      <c r="E299">
        <f>'Borehole Logging'!F299</f>
        <v>0</v>
      </c>
      <c r="F299" t="str">
        <f ca="1">'Borehole Logging'!AX299</f>
        <v/>
      </c>
      <c r="G299" t="str">
        <f ca="1">'Borehole Logging'!AY299</f>
        <v/>
      </c>
      <c r="H299" t="str">
        <f ca="1">'Borehole Logging'!AZ299</f>
        <v/>
      </c>
      <c r="I299" t="str">
        <f ca="1">'Borehole Logging'!BA299</f>
        <v/>
      </c>
      <c r="J299" t="str">
        <f ca="1">'Borehole Logging'!BB299</f>
        <v/>
      </c>
      <c r="K299" t="str">
        <f ca="1">'Borehole Logging'!BC299</f>
        <v/>
      </c>
    </row>
    <row r="300" spans="1:11" x14ac:dyDescent="0.25">
      <c r="A300">
        <f>'Borehole Logging'!A300</f>
        <v>0</v>
      </c>
      <c r="B300">
        <f>'Borehole Logging'!C300</f>
        <v>0</v>
      </c>
      <c r="C300">
        <f>'Borehole Logging'!D300</f>
        <v>0</v>
      </c>
      <c r="E300">
        <f>'Borehole Logging'!F300</f>
        <v>0</v>
      </c>
      <c r="F300" t="str">
        <f ca="1">'Borehole Logging'!AX300</f>
        <v/>
      </c>
      <c r="G300" t="str">
        <f ca="1">'Borehole Logging'!AY300</f>
        <v/>
      </c>
      <c r="H300" t="str">
        <f ca="1">'Borehole Logging'!AZ300</f>
        <v/>
      </c>
      <c r="I300" t="str">
        <f ca="1">'Borehole Logging'!BA300</f>
        <v/>
      </c>
      <c r="J300" t="str">
        <f ca="1">'Borehole Logging'!BB300</f>
        <v/>
      </c>
      <c r="K300" t="str">
        <f ca="1">'Borehole Logging'!BC300</f>
        <v/>
      </c>
    </row>
    <row r="301" spans="1:11" x14ac:dyDescent="0.25">
      <c r="A301">
        <f>'Borehole Logging'!A301</f>
        <v>0</v>
      </c>
      <c r="B301">
        <f>'Borehole Logging'!C301</f>
        <v>0</v>
      </c>
      <c r="C301">
        <f>'Borehole Logging'!D301</f>
        <v>0</v>
      </c>
      <c r="E301">
        <f>'Borehole Logging'!F301</f>
        <v>0</v>
      </c>
      <c r="F301" t="str">
        <f ca="1">'Borehole Logging'!AX301</f>
        <v/>
      </c>
      <c r="G301" t="str">
        <f ca="1">'Borehole Logging'!AY301</f>
        <v/>
      </c>
      <c r="H301" t="str">
        <f ca="1">'Borehole Logging'!AZ301</f>
        <v/>
      </c>
      <c r="I301" t="str">
        <f ca="1">'Borehole Logging'!BA301</f>
        <v/>
      </c>
      <c r="J301" t="str">
        <f ca="1">'Borehole Logging'!BB301</f>
        <v/>
      </c>
      <c r="K301" t="str">
        <f ca="1">'Borehole Logging'!BC301</f>
        <v/>
      </c>
    </row>
    <row r="302" spans="1:11" x14ac:dyDescent="0.25">
      <c r="A302">
        <f>'Borehole Logging'!A302</f>
        <v>0</v>
      </c>
      <c r="B302">
        <f>'Borehole Logging'!C302</f>
        <v>0</v>
      </c>
      <c r="C302">
        <f>'Borehole Logging'!D302</f>
        <v>0</v>
      </c>
      <c r="E302">
        <f>'Borehole Logging'!F302</f>
        <v>0</v>
      </c>
      <c r="F302" t="str">
        <f ca="1">'Borehole Logging'!AX302</f>
        <v/>
      </c>
      <c r="G302" t="str">
        <f ca="1">'Borehole Logging'!AY302</f>
        <v/>
      </c>
      <c r="H302" t="str">
        <f ca="1">'Borehole Logging'!AZ302</f>
        <v/>
      </c>
      <c r="I302" t="str">
        <f ca="1">'Borehole Logging'!BA302</f>
        <v/>
      </c>
      <c r="J302" t="str">
        <f ca="1">'Borehole Logging'!BB302</f>
        <v/>
      </c>
      <c r="K302" t="str">
        <f ca="1">'Borehole Logging'!BC302</f>
        <v/>
      </c>
    </row>
    <row r="303" spans="1:11" x14ac:dyDescent="0.25">
      <c r="A303">
        <f>'Borehole Logging'!A303</f>
        <v>0</v>
      </c>
      <c r="B303">
        <f>'Borehole Logging'!C303</f>
        <v>0</v>
      </c>
      <c r="C303">
        <f>'Borehole Logging'!D303</f>
        <v>0</v>
      </c>
      <c r="E303">
        <f>'Borehole Logging'!F303</f>
        <v>0</v>
      </c>
      <c r="F303" t="str">
        <f ca="1">'Borehole Logging'!AX303</f>
        <v/>
      </c>
      <c r="G303" t="str">
        <f ca="1">'Borehole Logging'!AY303</f>
        <v/>
      </c>
      <c r="H303" t="str">
        <f ca="1">'Borehole Logging'!AZ303</f>
        <v/>
      </c>
      <c r="I303" t="str">
        <f ca="1">'Borehole Logging'!BA303</f>
        <v/>
      </c>
      <c r="J303" t="str">
        <f ca="1">'Borehole Logging'!BB303</f>
        <v/>
      </c>
      <c r="K303" t="str">
        <f ca="1">'Borehole Logging'!BC303</f>
        <v/>
      </c>
    </row>
    <row r="304" spans="1:11" x14ac:dyDescent="0.25">
      <c r="A304">
        <f>'Borehole Logging'!A304</f>
        <v>0</v>
      </c>
      <c r="B304">
        <f>'Borehole Logging'!C304</f>
        <v>0</v>
      </c>
      <c r="C304">
        <f>'Borehole Logging'!D304</f>
        <v>0</v>
      </c>
      <c r="E304">
        <f>'Borehole Logging'!F304</f>
        <v>0</v>
      </c>
      <c r="F304" t="str">
        <f ca="1">'Borehole Logging'!AX304</f>
        <v/>
      </c>
      <c r="G304" t="str">
        <f ca="1">'Borehole Logging'!AY304</f>
        <v/>
      </c>
      <c r="H304" t="str">
        <f ca="1">'Borehole Logging'!AZ304</f>
        <v/>
      </c>
      <c r="I304" t="str">
        <f ca="1">'Borehole Logging'!BA304</f>
        <v/>
      </c>
      <c r="J304" t="str">
        <f ca="1">'Borehole Logging'!BB304</f>
        <v/>
      </c>
      <c r="K304" t="str">
        <f ca="1">'Borehole Logging'!BC304</f>
        <v/>
      </c>
    </row>
    <row r="305" spans="1:11" x14ac:dyDescent="0.25">
      <c r="A305">
        <f>'Borehole Logging'!A305</f>
        <v>0</v>
      </c>
      <c r="B305">
        <f>'Borehole Logging'!C305</f>
        <v>0</v>
      </c>
      <c r="C305">
        <f>'Borehole Logging'!D305</f>
        <v>0</v>
      </c>
      <c r="E305">
        <f>'Borehole Logging'!F305</f>
        <v>0</v>
      </c>
      <c r="F305" t="str">
        <f ca="1">'Borehole Logging'!AX305</f>
        <v/>
      </c>
      <c r="G305" t="str">
        <f ca="1">'Borehole Logging'!AY305</f>
        <v/>
      </c>
      <c r="H305" t="str">
        <f ca="1">'Borehole Logging'!AZ305</f>
        <v/>
      </c>
      <c r="I305" t="str">
        <f ca="1">'Borehole Logging'!BA305</f>
        <v/>
      </c>
      <c r="J305" t="str">
        <f ca="1">'Borehole Logging'!BB305</f>
        <v/>
      </c>
      <c r="K305" t="str">
        <f ca="1">'Borehole Logging'!BC305</f>
        <v/>
      </c>
    </row>
    <row r="306" spans="1:11" x14ac:dyDescent="0.25">
      <c r="A306">
        <f>'Borehole Logging'!A306</f>
        <v>0</v>
      </c>
      <c r="B306">
        <f>'Borehole Logging'!C306</f>
        <v>0</v>
      </c>
      <c r="C306">
        <f>'Borehole Logging'!D306</f>
        <v>0</v>
      </c>
      <c r="E306">
        <f>'Borehole Logging'!F306</f>
        <v>0</v>
      </c>
      <c r="F306" t="str">
        <f ca="1">'Borehole Logging'!AX306</f>
        <v/>
      </c>
      <c r="G306" t="str">
        <f ca="1">'Borehole Logging'!AY306</f>
        <v/>
      </c>
      <c r="H306" t="str">
        <f ca="1">'Borehole Logging'!AZ306</f>
        <v/>
      </c>
      <c r="I306" t="str">
        <f ca="1">'Borehole Logging'!BA306</f>
        <v/>
      </c>
      <c r="J306" t="str">
        <f ca="1">'Borehole Logging'!BB306</f>
        <v/>
      </c>
      <c r="K306" t="str">
        <f ca="1">'Borehole Logging'!BC306</f>
        <v/>
      </c>
    </row>
    <row r="307" spans="1:11" x14ac:dyDescent="0.25">
      <c r="A307">
        <f>'Borehole Logging'!A307</f>
        <v>0</v>
      </c>
      <c r="B307">
        <f>'Borehole Logging'!C307</f>
        <v>0</v>
      </c>
      <c r="C307">
        <f>'Borehole Logging'!D307</f>
        <v>0</v>
      </c>
      <c r="E307">
        <f>'Borehole Logging'!F307</f>
        <v>0</v>
      </c>
      <c r="F307" t="str">
        <f ca="1">'Borehole Logging'!AX307</f>
        <v/>
      </c>
      <c r="G307" t="str">
        <f ca="1">'Borehole Logging'!AY307</f>
        <v/>
      </c>
      <c r="H307" t="str">
        <f ca="1">'Borehole Logging'!AZ307</f>
        <v/>
      </c>
      <c r="I307" t="str">
        <f ca="1">'Borehole Logging'!BA307</f>
        <v/>
      </c>
      <c r="J307" t="str">
        <f ca="1">'Borehole Logging'!BB307</f>
        <v/>
      </c>
      <c r="K307" t="str">
        <f ca="1">'Borehole Logging'!BC307</f>
        <v/>
      </c>
    </row>
    <row r="308" spans="1:11" x14ac:dyDescent="0.25">
      <c r="A308">
        <f>'Borehole Logging'!A308</f>
        <v>0</v>
      </c>
      <c r="B308">
        <f>'Borehole Logging'!C308</f>
        <v>0</v>
      </c>
      <c r="C308">
        <f>'Borehole Logging'!D308</f>
        <v>0</v>
      </c>
      <c r="E308">
        <f>'Borehole Logging'!F308</f>
        <v>0</v>
      </c>
      <c r="F308" t="str">
        <f ca="1">'Borehole Logging'!AX308</f>
        <v/>
      </c>
      <c r="G308" t="str">
        <f ca="1">'Borehole Logging'!AY308</f>
        <v/>
      </c>
      <c r="H308" t="str">
        <f ca="1">'Borehole Logging'!AZ308</f>
        <v/>
      </c>
      <c r="I308" t="str">
        <f ca="1">'Borehole Logging'!BA308</f>
        <v/>
      </c>
      <c r="J308" t="str">
        <f ca="1">'Borehole Logging'!BB308</f>
        <v/>
      </c>
      <c r="K308" t="str">
        <f ca="1">'Borehole Logging'!BC308</f>
        <v/>
      </c>
    </row>
    <row r="309" spans="1:11" x14ac:dyDescent="0.25">
      <c r="A309">
        <f>'Borehole Logging'!A309</f>
        <v>0</v>
      </c>
      <c r="B309">
        <f>'Borehole Logging'!C309</f>
        <v>0</v>
      </c>
      <c r="C309">
        <f>'Borehole Logging'!D309</f>
        <v>0</v>
      </c>
      <c r="E309">
        <f>'Borehole Logging'!F309</f>
        <v>0</v>
      </c>
      <c r="F309" t="str">
        <f ca="1">'Borehole Logging'!AX309</f>
        <v/>
      </c>
      <c r="G309" t="str">
        <f ca="1">'Borehole Logging'!AY309</f>
        <v/>
      </c>
      <c r="H309" t="str">
        <f ca="1">'Borehole Logging'!AZ309</f>
        <v/>
      </c>
      <c r="I309" t="str">
        <f ca="1">'Borehole Logging'!BA309</f>
        <v/>
      </c>
      <c r="J309" t="str">
        <f ca="1">'Borehole Logging'!BB309</f>
        <v/>
      </c>
      <c r="K309" t="str">
        <f ca="1">'Borehole Logging'!BC309</f>
        <v/>
      </c>
    </row>
    <row r="310" spans="1:11" x14ac:dyDescent="0.25">
      <c r="A310">
        <f>'Borehole Logging'!A310</f>
        <v>0</v>
      </c>
      <c r="B310">
        <f>'Borehole Logging'!C310</f>
        <v>0</v>
      </c>
      <c r="C310">
        <f>'Borehole Logging'!D310</f>
        <v>0</v>
      </c>
      <c r="E310">
        <f>'Borehole Logging'!F310</f>
        <v>0</v>
      </c>
      <c r="F310" t="str">
        <f ca="1">'Borehole Logging'!AX310</f>
        <v/>
      </c>
      <c r="G310" t="str">
        <f ca="1">'Borehole Logging'!AY310</f>
        <v/>
      </c>
      <c r="H310" t="str">
        <f ca="1">'Borehole Logging'!AZ310</f>
        <v/>
      </c>
      <c r="I310" t="str">
        <f ca="1">'Borehole Logging'!BA310</f>
        <v/>
      </c>
      <c r="J310" t="str">
        <f ca="1">'Borehole Logging'!BB310</f>
        <v/>
      </c>
      <c r="K310" t="str">
        <f ca="1">'Borehole Logging'!BC310</f>
        <v/>
      </c>
    </row>
    <row r="311" spans="1:11" x14ac:dyDescent="0.25">
      <c r="A311">
        <f>'Borehole Logging'!A311</f>
        <v>0</v>
      </c>
      <c r="B311">
        <f>'Borehole Logging'!C311</f>
        <v>0</v>
      </c>
      <c r="C311">
        <f>'Borehole Logging'!D311</f>
        <v>0</v>
      </c>
      <c r="E311">
        <f>'Borehole Logging'!F311</f>
        <v>0</v>
      </c>
      <c r="F311" t="str">
        <f ca="1">'Borehole Logging'!AX311</f>
        <v/>
      </c>
      <c r="G311" t="str">
        <f ca="1">'Borehole Logging'!AY311</f>
        <v/>
      </c>
      <c r="H311" t="str">
        <f ca="1">'Borehole Logging'!AZ311</f>
        <v/>
      </c>
      <c r="I311" t="str">
        <f ca="1">'Borehole Logging'!BA311</f>
        <v/>
      </c>
      <c r="J311" t="str">
        <f ca="1">'Borehole Logging'!BB311</f>
        <v/>
      </c>
      <c r="K311" t="str">
        <f ca="1">'Borehole Logging'!BC311</f>
        <v/>
      </c>
    </row>
    <row r="312" spans="1:11" x14ac:dyDescent="0.25">
      <c r="A312">
        <f>'Borehole Logging'!A312</f>
        <v>0</v>
      </c>
      <c r="B312">
        <f>'Borehole Logging'!C312</f>
        <v>0</v>
      </c>
      <c r="C312">
        <f>'Borehole Logging'!D312</f>
        <v>0</v>
      </c>
      <c r="E312">
        <f>'Borehole Logging'!F312</f>
        <v>0</v>
      </c>
      <c r="F312" t="str">
        <f ca="1">'Borehole Logging'!AX312</f>
        <v/>
      </c>
      <c r="G312" t="str">
        <f ca="1">'Borehole Logging'!AY312</f>
        <v/>
      </c>
      <c r="H312" t="str">
        <f ca="1">'Borehole Logging'!AZ312</f>
        <v/>
      </c>
      <c r="I312" t="str">
        <f ca="1">'Borehole Logging'!BA312</f>
        <v/>
      </c>
      <c r="J312" t="str">
        <f ca="1">'Borehole Logging'!BB312</f>
        <v/>
      </c>
      <c r="K312" t="str">
        <f ca="1">'Borehole Logging'!BC312</f>
        <v/>
      </c>
    </row>
    <row r="313" spans="1:11" x14ac:dyDescent="0.25">
      <c r="A313">
        <f>'Borehole Logging'!A313</f>
        <v>0</v>
      </c>
      <c r="B313">
        <f>'Borehole Logging'!C313</f>
        <v>0</v>
      </c>
      <c r="C313">
        <f>'Borehole Logging'!D313</f>
        <v>0</v>
      </c>
      <c r="E313">
        <f>'Borehole Logging'!F313</f>
        <v>0</v>
      </c>
      <c r="F313" t="str">
        <f ca="1">'Borehole Logging'!AX313</f>
        <v/>
      </c>
      <c r="G313" t="str">
        <f ca="1">'Borehole Logging'!AY313</f>
        <v/>
      </c>
      <c r="H313" t="str">
        <f ca="1">'Borehole Logging'!AZ313</f>
        <v/>
      </c>
      <c r="I313" t="str">
        <f ca="1">'Borehole Logging'!BA313</f>
        <v/>
      </c>
      <c r="J313" t="str">
        <f ca="1">'Borehole Logging'!BB313</f>
        <v/>
      </c>
      <c r="K313" t="str">
        <f ca="1">'Borehole Logging'!BC313</f>
        <v/>
      </c>
    </row>
    <row r="314" spans="1:11" x14ac:dyDescent="0.25">
      <c r="A314">
        <f>'Borehole Logging'!A314</f>
        <v>0</v>
      </c>
      <c r="B314">
        <f>'Borehole Logging'!C314</f>
        <v>0</v>
      </c>
      <c r="C314">
        <f>'Borehole Logging'!D314</f>
        <v>0</v>
      </c>
      <c r="E314">
        <f>'Borehole Logging'!F314</f>
        <v>0</v>
      </c>
      <c r="F314" t="str">
        <f ca="1">'Borehole Logging'!AX314</f>
        <v/>
      </c>
      <c r="G314" t="str">
        <f ca="1">'Borehole Logging'!AY314</f>
        <v/>
      </c>
      <c r="H314" t="str">
        <f ca="1">'Borehole Logging'!AZ314</f>
        <v/>
      </c>
      <c r="I314" t="str">
        <f ca="1">'Borehole Logging'!BA314</f>
        <v/>
      </c>
      <c r="J314" t="str">
        <f ca="1">'Borehole Logging'!BB314</f>
        <v/>
      </c>
      <c r="K314" t="str">
        <f ca="1">'Borehole Logging'!BC314</f>
        <v/>
      </c>
    </row>
    <row r="315" spans="1:11" x14ac:dyDescent="0.25">
      <c r="A315">
        <f>'Borehole Logging'!A315</f>
        <v>0</v>
      </c>
      <c r="B315">
        <f>'Borehole Logging'!C315</f>
        <v>0</v>
      </c>
      <c r="C315">
        <f>'Borehole Logging'!D315</f>
        <v>0</v>
      </c>
      <c r="E315">
        <f>'Borehole Logging'!F315</f>
        <v>0</v>
      </c>
      <c r="F315" t="str">
        <f ca="1">'Borehole Logging'!AX315</f>
        <v/>
      </c>
      <c r="G315" t="str">
        <f ca="1">'Borehole Logging'!AY315</f>
        <v/>
      </c>
      <c r="H315" t="str">
        <f ca="1">'Borehole Logging'!AZ315</f>
        <v/>
      </c>
      <c r="I315" t="str">
        <f ca="1">'Borehole Logging'!BA315</f>
        <v/>
      </c>
      <c r="J315" t="str">
        <f ca="1">'Borehole Logging'!BB315</f>
        <v/>
      </c>
      <c r="K315" t="str">
        <f ca="1">'Borehole Logging'!BC315</f>
        <v/>
      </c>
    </row>
    <row r="316" spans="1:11" x14ac:dyDescent="0.25">
      <c r="A316">
        <f>'Borehole Logging'!A316</f>
        <v>0</v>
      </c>
      <c r="B316">
        <f>'Borehole Logging'!C316</f>
        <v>0</v>
      </c>
      <c r="C316">
        <f>'Borehole Logging'!D316</f>
        <v>0</v>
      </c>
      <c r="E316">
        <f>'Borehole Logging'!F316</f>
        <v>0</v>
      </c>
      <c r="F316" t="str">
        <f ca="1">'Borehole Logging'!AX316</f>
        <v/>
      </c>
      <c r="G316" t="str">
        <f ca="1">'Borehole Logging'!AY316</f>
        <v/>
      </c>
      <c r="H316" t="str">
        <f ca="1">'Borehole Logging'!AZ316</f>
        <v/>
      </c>
      <c r="I316" t="str">
        <f ca="1">'Borehole Logging'!BA316</f>
        <v/>
      </c>
      <c r="J316" t="str">
        <f ca="1">'Borehole Logging'!BB316</f>
        <v/>
      </c>
      <c r="K316" t="str">
        <f ca="1">'Borehole Logging'!BC316</f>
        <v/>
      </c>
    </row>
    <row r="317" spans="1:11" x14ac:dyDescent="0.25">
      <c r="A317">
        <f>'Borehole Logging'!A317</f>
        <v>0</v>
      </c>
      <c r="B317">
        <f>'Borehole Logging'!C317</f>
        <v>0</v>
      </c>
      <c r="C317">
        <f>'Borehole Logging'!D317</f>
        <v>0</v>
      </c>
      <c r="E317">
        <f>'Borehole Logging'!F317</f>
        <v>0</v>
      </c>
      <c r="F317" t="str">
        <f ca="1">'Borehole Logging'!AX317</f>
        <v/>
      </c>
      <c r="G317" t="str">
        <f ca="1">'Borehole Logging'!AY317</f>
        <v/>
      </c>
      <c r="H317" t="str">
        <f ca="1">'Borehole Logging'!AZ317</f>
        <v/>
      </c>
      <c r="I317" t="str">
        <f ca="1">'Borehole Logging'!BA317</f>
        <v/>
      </c>
      <c r="J317" t="str">
        <f ca="1">'Borehole Logging'!BB317</f>
        <v/>
      </c>
      <c r="K317" t="str">
        <f ca="1">'Borehole Logging'!BC317</f>
        <v/>
      </c>
    </row>
    <row r="318" spans="1:11" x14ac:dyDescent="0.25">
      <c r="A318">
        <f>'Borehole Logging'!A318</f>
        <v>0</v>
      </c>
      <c r="B318">
        <f>'Borehole Logging'!C318</f>
        <v>0</v>
      </c>
      <c r="C318">
        <f>'Borehole Logging'!D318</f>
        <v>0</v>
      </c>
      <c r="E318">
        <f>'Borehole Logging'!F318</f>
        <v>0</v>
      </c>
      <c r="F318" t="str">
        <f ca="1">'Borehole Logging'!AX318</f>
        <v/>
      </c>
      <c r="G318" t="str">
        <f ca="1">'Borehole Logging'!AY318</f>
        <v/>
      </c>
      <c r="H318" t="str">
        <f ca="1">'Borehole Logging'!AZ318</f>
        <v/>
      </c>
      <c r="I318" t="str">
        <f ca="1">'Borehole Logging'!BA318</f>
        <v/>
      </c>
      <c r="J318" t="str">
        <f ca="1">'Borehole Logging'!BB318</f>
        <v/>
      </c>
      <c r="K318" t="str">
        <f ca="1">'Borehole Logging'!BC318</f>
        <v/>
      </c>
    </row>
    <row r="319" spans="1:11" x14ac:dyDescent="0.25">
      <c r="A319">
        <f>'Borehole Logging'!A319</f>
        <v>0</v>
      </c>
      <c r="B319">
        <f>'Borehole Logging'!C319</f>
        <v>0</v>
      </c>
      <c r="C319">
        <f>'Borehole Logging'!D319</f>
        <v>0</v>
      </c>
      <c r="E319">
        <f>'Borehole Logging'!F319</f>
        <v>0</v>
      </c>
      <c r="F319" t="str">
        <f ca="1">'Borehole Logging'!AX319</f>
        <v/>
      </c>
      <c r="G319" t="str">
        <f ca="1">'Borehole Logging'!AY319</f>
        <v/>
      </c>
      <c r="H319" t="str">
        <f ca="1">'Borehole Logging'!AZ319</f>
        <v/>
      </c>
      <c r="I319" t="str">
        <f ca="1">'Borehole Logging'!BA319</f>
        <v/>
      </c>
      <c r="J319" t="str">
        <f ca="1">'Borehole Logging'!BB319</f>
        <v/>
      </c>
      <c r="K319" t="str">
        <f ca="1">'Borehole Logging'!BC319</f>
        <v/>
      </c>
    </row>
    <row r="320" spans="1:11" x14ac:dyDescent="0.25">
      <c r="A320">
        <f>'Borehole Logging'!A320</f>
        <v>0</v>
      </c>
      <c r="B320">
        <f>'Borehole Logging'!C320</f>
        <v>0</v>
      </c>
      <c r="C320">
        <f>'Borehole Logging'!D320</f>
        <v>0</v>
      </c>
      <c r="E320">
        <f>'Borehole Logging'!F320</f>
        <v>0</v>
      </c>
      <c r="F320" t="str">
        <f ca="1">'Borehole Logging'!AX320</f>
        <v/>
      </c>
      <c r="G320" t="str">
        <f ca="1">'Borehole Logging'!AY320</f>
        <v/>
      </c>
      <c r="H320" t="str">
        <f ca="1">'Borehole Logging'!AZ320</f>
        <v/>
      </c>
      <c r="I320" t="str">
        <f ca="1">'Borehole Logging'!BA320</f>
        <v/>
      </c>
      <c r="J320" t="str">
        <f ca="1">'Borehole Logging'!BB320</f>
        <v/>
      </c>
      <c r="K320" t="str">
        <f ca="1">'Borehole Logging'!BC320</f>
        <v/>
      </c>
    </row>
    <row r="321" spans="1:11" x14ac:dyDescent="0.25">
      <c r="A321">
        <f>'Borehole Logging'!A321</f>
        <v>0</v>
      </c>
      <c r="B321">
        <f>'Borehole Logging'!C321</f>
        <v>0</v>
      </c>
      <c r="C321">
        <f>'Borehole Logging'!D321</f>
        <v>0</v>
      </c>
      <c r="E321">
        <f>'Borehole Logging'!F321</f>
        <v>0</v>
      </c>
      <c r="F321" t="str">
        <f ca="1">'Borehole Logging'!AX321</f>
        <v/>
      </c>
      <c r="G321" t="str">
        <f ca="1">'Borehole Logging'!AY321</f>
        <v/>
      </c>
      <c r="H321" t="str">
        <f ca="1">'Borehole Logging'!AZ321</f>
        <v/>
      </c>
      <c r="I321" t="str">
        <f ca="1">'Borehole Logging'!BA321</f>
        <v/>
      </c>
      <c r="J321" t="str">
        <f ca="1">'Borehole Logging'!BB321</f>
        <v/>
      </c>
      <c r="K321" t="str">
        <f ca="1">'Borehole Logging'!BC321</f>
        <v/>
      </c>
    </row>
    <row r="322" spans="1:11" x14ac:dyDescent="0.25">
      <c r="A322">
        <f>'Borehole Logging'!A322</f>
        <v>0</v>
      </c>
      <c r="B322">
        <f>'Borehole Logging'!C322</f>
        <v>0</v>
      </c>
      <c r="C322">
        <f>'Borehole Logging'!D322</f>
        <v>0</v>
      </c>
      <c r="E322">
        <f>'Borehole Logging'!F322</f>
        <v>0</v>
      </c>
      <c r="F322" t="str">
        <f ca="1">'Borehole Logging'!AX322</f>
        <v/>
      </c>
      <c r="G322" t="str">
        <f ca="1">'Borehole Logging'!AY322</f>
        <v/>
      </c>
      <c r="H322" t="str">
        <f ca="1">'Borehole Logging'!AZ322</f>
        <v/>
      </c>
      <c r="I322" t="str">
        <f ca="1">'Borehole Logging'!BA322</f>
        <v/>
      </c>
      <c r="J322" t="str">
        <f ca="1">'Borehole Logging'!BB322</f>
        <v/>
      </c>
      <c r="K322" t="str">
        <f ca="1">'Borehole Logging'!BC322</f>
        <v/>
      </c>
    </row>
    <row r="323" spans="1:11" x14ac:dyDescent="0.25">
      <c r="A323">
        <f>'Borehole Logging'!A323</f>
        <v>0</v>
      </c>
      <c r="B323">
        <f>'Borehole Logging'!C323</f>
        <v>0</v>
      </c>
      <c r="C323">
        <f>'Borehole Logging'!D323</f>
        <v>0</v>
      </c>
      <c r="E323">
        <f>'Borehole Logging'!F323</f>
        <v>0</v>
      </c>
      <c r="F323" t="str">
        <f ca="1">'Borehole Logging'!AX323</f>
        <v/>
      </c>
      <c r="G323" t="str">
        <f ca="1">'Borehole Logging'!AY323</f>
        <v/>
      </c>
      <c r="H323" t="str">
        <f ca="1">'Borehole Logging'!AZ323</f>
        <v/>
      </c>
      <c r="I323" t="str">
        <f ca="1">'Borehole Logging'!BA323</f>
        <v/>
      </c>
      <c r="J323" t="str">
        <f ca="1">'Borehole Logging'!BB323</f>
        <v/>
      </c>
      <c r="K323" t="str">
        <f ca="1">'Borehole Logging'!BC323</f>
        <v/>
      </c>
    </row>
    <row r="324" spans="1:11" x14ac:dyDescent="0.25">
      <c r="A324">
        <f>'Borehole Logging'!A324</f>
        <v>0</v>
      </c>
      <c r="B324">
        <f>'Borehole Logging'!C324</f>
        <v>0</v>
      </c>
      <c r="C324">
        <f>'Borehole Logging'!D324</f>
        <v>0</v>
      </c>
      <c r="E324">
        <f>'Borehole Logging'!F324</f>
        <v>0</v>
      </c>
      <c r="F324" t="str">
        <f ca="1">'Borehole Logging'!AX324</f>
        <v/>
      </c>
      <c r="G324" t="str">
        <f ca="1">'Borehole Logging'!AY324</f>
        <v/>
      </c>
      <c r="H324" t="str">
        <f ca="1">'Borehole Logging'!AZ324</f>
        <v/>
      </c>
      <c r="I324" t="str">
        <f ca="1">'Borehole Logging'!BA324</f>
        <v/>
      </c>
      <c r="J324" t="str">
        <f ca="1">'Borehole Logging'!BB324</f>
        <v/>
      </c>
      <c r="K324" t="str">
        <f ca="1">'Borehole Logging'!BC324</f>
        <v/>
      </c>
    </row>
    <row r="325" spans="1:11" x14ac:dyDescent="0.25">
      <c r="A325">
        <f>'Borehole Logging'!A325</f>
        <v>0</v>
      </c>
      <c r="B325">
        <f>'Borehole Logging'!C325</f>
        <v>0</v>
      </c>
      <c r="C325">
        <f>'Borehole Logging'!D325</f>
        <v>0</v>
      </c>
      <c r="E325">
        <f>'Borehole Logging'!F325</f>
        <v>0</v>
      </c>
      <c r="F325" t="str">
        <f ca="1">'Borehole Logging'!AX325</f>
        <v/>
      </c>
      <c r="G325" t="str">
        <f ca="1">'Borehole Logging'!AY325</f>
        <v/>
      </c>
      <c r="H325" t="str">
        <f ca="1">'Borehole Logging'!AZ325</f>
        <v/>
      </c>
      <c r="I325" t="str">
        <f ca="1">'Borehole Logging'!BA325</f>
        <v/>
      </c>
      <c r="J325" t="str">
        <f ca="1">'Borehole Logging'!BB325</f>
        <v/>
      </c>
      <c r="K325" t="str">
        <f ca="1">'Borehole Logging'!BC325</f>
        <v/>
      </c>
    </row>
    <row r="326" spans="1:11" x14ac:dyDescent="0.25">
      <c r="A326">
        <f>'Borehole Logging'!A326</f>
        <v>0</v>
      </c>
      <c r="B326">
        <f>'Borehole Logging'!C326</f>
        <v>0</v>
      </c>
      <c r="C326">
        <f>'Borehole Logging'!D326</f>
        <v>0</v>
      </c>
      <c r="E326">
        <f>'Borehole Logging'!F326</f>
        <v>0</v>
      </c>
      <c r="F326" t="str">
        <f ca="1">'Borehole Logging'!AX326</f>
        <v/>
      </c>
      <c r="G326" t="str">
        <f ca="1">'Borehole Logging'!AY326</f>
        <v/>
      </c>
      <c r="H326" t="str">
        <f ca="1">'Borehole Logging'!AZ326</f>
        <v/>
      </c>
      <c r="I326" t="str">
        <f ca="1">'Borehole Logging'!BA326</f>
        <v/>
      </c>
      <c r="J326" t="str">
        <f ca="1">'Borehole Logging'!BB326</f>
        <v/>
      </c>
      <c r="K326" t="str">
        <f ca="1">'Borehole Logging'!BC326</f>
        <v/>
      </c>
    </row>
    <row r="327" spans="1:11" x14ac:dyDescent="0.25">
      <c r="A327">
        <f>'Borehole Logging'!A327</f>
        <v>0</v>
      </c>
      <c r="B327">
        <f>'Borehole Logging'!C327</f>
        <v>0</v>
      </c>
      <c r="C327">
        <f>'Borehole Logging'!D327</f>
        <v>0</v>
      </c>
      <c r="E327">
        <f>'Borehole Logging'!F327</f>
        <v>0</v>
      </c>
      <c r="F327" t="str">
        <f ca="1">'Borehole Logging'!AX327</f>
        <v/>
      </c>
      <c r="G327" t="str">
        <f ca="1">'Borehole Logging'!AY327</f>
        <v/>
      </c>
      <c r="H327" t="str">
        <f ca="1">'Borehole Logging'!AZ327</f>
        <v/>
      </c>
      <c r="I327" t="str">
        <f ca="1">'Borehole Logging'!BA327</f>
        <v/>
      </c>
      <c r="J327" t="str">
        <f ca="1">'Borehole Logging'!BB327</f>
        <v/>
      </c>
      <c r="K327" t="str">
        <f ca="1">'Borehole Logging'!BC327</f>
        <v/>
      </c>
    </row>
    <row r="328" spans="1:11" x14ac:dyDescent="0.25">
      <c r="A328">
        <f>'Borehole Logging'!A328</f>
        <v>0</v>
      </c>
      <c r="B328">
        <f>'Borehole Logging'!C328</f>
        <v>0</v>
      </c>
      <c r="C328">
        <f>'Borehole Logging'!D328</f>
        <v>0</v>
      </c>
      <c r="E328">
        <f>'Borehole Logging'!F328</f>
        <v>0</v>
      </c>
      <c r="F328" t="str">
        <f ca="1">'Borehole Logging'!AX328</f>
        <v/>
      </c>
      <c r="G328" t="str">
        <f ca="1">'Borehole Logging'!AY328</f>
        <v/>
      </c>
      <c r="H328" t="str">
        <f ca="1">'Borehole Logging'!AZ328</f>
        <v/>
      </c>
      <c r="I328" t="str">
        <f ca="1">'Borehole Logging'!BA328</f>
        <v/>
      </c>
      <c r="J328" t="str">
        <f ca="1">'Borehole Logging'!BB328</f>
        <v/>
      </c>
      <c r="K328" t="str">
        <f ca="1">'Borehole Logging'!BC328</f>
        <v/>
      </c>
    </row>
    <row r="329" spans="1:11" x14ac:dyDescent="0.25">
      <c r="A329">
        <f>'Borehole Logging'!A329</f>
        <v>0</v>
      </c>
      <c r="B329">
        <f>'Borehole Logging'!C329</f>
        <v>0</v>
      </c>
      <c r="C329">
        <f>'Borehole Logging'!D329</f>
        <v>0</v>
      </c>
      <c r="E329">
        <f>'Borehole Logging'!F329</f>
        <v>0</v>
      </c>
      <c r="F329" t="str">
        <f ca="1">'Borehole Logging'!AX329</f>
        <v/>
      </c>
      <c r="G329" t="str">
        <f ca="1">'Borehole Logging'!AY329</f>
        <v/>
      </c>
      <c r="H329" t="str">
        <f ca="1">'Borehole Logging'!AZ329</f>
        <v/>
      </c>
      <c r="I329" t="str">
        <f ca="1">'Borehole Logging'!BA329</f>
        <v/>
      </c>
      <c r="J329" t="str">
        <f ca="1">'Borehole Logging'!BB329</f>
        <v/>
      </c>
      <c r="K329" t="str">
        <f ca="1">'Borehole Logging'!BC329</f>
        <v/>
      </c>
    </row>
    <row r="330" spans="1:11" x14ac:dyDescent="0.25">
      <c r="A330">
        <f>'Borehole Logging'!A330</f>
        <v>0</v>
      </c>
      <c r="B330">
        <f>'Borehole Logging'!C330</f>
        <v>0</v>
      </c>
      <c r="C330">
        <f>'Borehole Logging'!D330</f>
        <v>0</v>
      </c>
      <c r="E330">
        <f>'Borehole Logging'!F330</f>
        <v>0</v>
      </c>
      <c r="F330" t="str">
        <f ca="1">'Borehole Logging'!AX330</f>
        <v/>
      </c>
      <c r="G330" t="str">
        <f ca="1">'Borehole Logging'!AY330</f>
        <v/>
      </c>
      <c r="H330" t="str">
        <f ca="1">'Borehole Logging'!AZ330</f>
        <v/>
      </c>
      <c r="I330" t="str">
        <f ca="1">'Borehole Logging'!BA330</f>
        <v/>
      </c>
      <c r="J330" t="str">
        <f ca="1">'Borehole Logging'!BB330</f>
        <v/>
      </c>
      <c r="K330" t="str">
        <f ca="1">'Borehole Logging'!BC330</f>
        <v/>
      </c>
    </row>
    <row r="331" spans="1:11" x14ac:dyDescent="0.25">
      <c r="A331">
        <f>'Borehole Logging'!A331</f>
        <v>0</v>
      </c>
      <c r="B331">
        <f>'Borehole Logging'!C331</f>
        <v>0</v>
      </c>
      <c r="C331">
        <f>'Borehole Logging'!D331</f>
        <v>0</v>
      </c>
      <c r="E331">
        <f>'Borehole Logging'!F331</f>
        <v>0</v>
      </c>
      <c r="F331" t="str">
        <f ca="1">'Borehole Logging'!AX331</f>
        <v/>
      </c>
      <c r="G331" t="str">
        <f ca="1">'Borehole Logging'!AY331</f>
        <v/>
      </c>
      <c r="H331" t="str">
        <f ca="1">'Borehole Logging'!AZ331</f>
        <v/>
      </c>
      <c r="I331" t="str">
        <f ca="1">'Borehole Logging'!BA331</f>
        <v/>
      </c>
      <c r="J331" t="str">
        <f ca="1">'Borehole Logging'!BB331</f>
        <v/>
      </c>
      <c r="K331" t="str">
        <f ca="1">'Borehole Logging'!BC331</f>
        <v/>
      </c>
    </row>
    <row r="332" spans="1:11" x14ac:dyDescent="0.25">
      <c r="A332">
        <f>'Borehole Logging'!A332</f>
        <v>0</v>
      </c>
      <c r="B332">
        <f>'Borehole Logging'!C332</f>
        <v>0</v>
      </c>
      <c r="C332">
        <f>'Borehole Logging'!D332</f>
        <v>0</v>
      </c>
      <c r="E332">
        <f>'Borehole Logging'!F332</f>
        <v>0</v>
      </c>
      <c r="F332" t="str">
        <f ca="1">'Borehole Logging'!AX332</f>
        <v/>
      </c>
      <c r="G332" t="str">
        <f ca="1">'Borehole Logging'!AY332</f>
        <v/>
      </c>
      <c r="H332" t="str">
        <f ca="1">'Borehole Logging'!AZ332</f>
        <v/>
      </c>
      <c r="I332" t="str">
        <f ca="1">'Borehole Logging'!BA332</f>
        <v/>
      </c>
      <c r="J332" t="str">
        <f ca="1">'Borehole Logging'!BB332</f>
        <v/>
      </c>
      <c r="K332" t="str">
        <f ca="1">'Borehole Logging'!BC332</f>
        <v/>
      </c>
    </row>
    <row r="333" spans="1:11" x14ac:dyDescent="0.25">
      <c r="A333">
        <f>'Borehole Logging'!A333</f>
        <v>0</v>
      </c>
      <c r="B333">
        <f>'Borehole Logging'!C333</f>
        <v>0</v>
      </c>
      <c r="C333">
        <f>'Borehole Logging'!D333</f>
        <v>0</v>
      </c>
      <c r="E333">
        <f>'Borehole Logging'!F333</f>
        <v>0</v>
      </c>
      <c r="F333" t="str">
        <f ca="1">'Borehole Logging'!AX333</f>
        <v/>
      </c>
      <c r="G333" t="str">
        <f ca="1">'Borehole Logging'!AY333</f>
        <v/>
      </c>
      <c r="H333" t="str">
        <f ca="1">'Borehole Logging'!AZ333</f>
        <v/>
      </c>
      <c r="I333" t="str">
        <f ca="1">'Borehole Logging'!BA333</f>
        <v/>
      </c>
      <c r="J333" t="str">
        <f ca="1">'Borehole Logging'!BB333</f>
        <v/>
      </c>
      <c r="K333" t="str">
        <f ca="1">'Borehole Logging'!BC333</f>
        <v/>
      </c>
    </row>
    <row r="334" spans="1:11" x14ac:dyDescent="0.25">
      <c r="A334">
        <f>'Borehole Logging'!A334</f>
        <v>0</v>
      </c>
      <c r="B334">
        <f>'Borehole Logging'!C334</f>
        <v>0</v>
      </c>
      <c r="C334">
        <f>'Borehole Logging'!D334</f>
        <v>0</v>
      </c>
      <c r="E334">
        <f>'Borehole Logging'!F334</f>
        <v>0</v>
      </c>
      <c r="F334" t="str">
        <f ca="1">'Borehole Logging'!AX334</f>
        <v/>
      </c>
      <c r="G334" t="str">
        <f ca="1">'Borehole Logging'!AY334</f>
        <v/>
      </c>
      <c r="H334" t="str">
        <f ca="1">'Borehole Logging'!AZ334</f>
        <v/>
      </c>
      <c r="I334" t="str">
        <f ca="1">'Borehole Logging'!BA334</f>
        <v/>
      </c>
      <c r="J334" t="str">
        <f ca="1">'Borehole Logging'!BB334</f>
        <v/>
      </c>
      <c r="K334" t="str">
        <f ca="1">'Borehole Logging'!BC334</f>
        <v/>
      </c>
    </row>
    <row r="335" spans="1:11" x14ac:dyDescent="0.25">
      <c r="A335">
        <f>'Borehole Logging'!A335</f>
        <v>0</v>
      </c>
      <c r="B335">
        <f>'Borehole Logging'!C335</f>
        <v>0</v>
      </c>
      <c r="C335">
        <f>'Borehole Logging'!D335</f>
        <v>0</v>
      </c>
      <c r="E335">
        <f>'Borehole Logging'!F335</f>
        <v>0</v>
      </c>
      <c r="F335" t="str">
        <f ca="1">'Borehole Logging'!AX335</f>
        <v/>
      </c>
      <c r="G335" t="str">
        <f ca="1">'Borehole Logging'!AY335</f>
        <v/>
      </c>
      <c r="H335" t="str">
        <f ca="1">'Borehole Logging'!AZ335</f>
        <v/>
      </c>
      <c r="I335" t="str">
        <f ca="1">'Borehole Logging'!BA335</f>
        <v/>
      </c>
      <c r="J335" t="str">
        <f ca="1">'Borehole Logging'!BB335</f>
        <v/>
      </c>
      <c r="K335" t="str">
        <f ca="1">'Borehole Logging'!BC335</f>
        <v/>
      </c>
    </row>
    <row r="336" spans="1:11" x14ac:dyDescent="0.25">
      <c r="A336">
        <f>'Borehole Logging'!A336</f>
        <v>0</v>
      </c>
      <c r="B336">
        <f>'Borehole Logging'!C336</f>
        <v>0</v>
      </c>
      <c r="C336">
        <f>'Borehole Logging'!D336</f>
        <v>0</v>
      </c>
      <c r="E336">
        <f>'Borehole Logging'!F336</f>
        <v>0</v>
      </c>
      <c r="F336" t="str">
        <f ca="1">'Borehole Logging'!AX336</f>
        <v/>
      </c>
      <c r="G336" t="str">
        <f ca="1">'Borehole Logging'!AY336</f>
        <v/>
      </c>
      <c r="H336" t="str">
        <f ca="1">'Borehole Logging'!AZ336</f>
        <v/>
      </c>
      <c r="I336" t="str">
        <f ca="1">'Borehole Logging'!BA336</f>
        <v/>
      </c>
      <c r="J336" t="str">
        <f ca="1">'Borehole Logging'!BB336</f>
        <v/>
      </c>
      <c r="K336" t="str">
        <f ca="1">'Borehole Logging'!BC336</f>
        <v/>
      </c>
    </row>
    <row r="337" spans="1:11" x14ac:dyDescent="0.25">
      <c r="A337">
        <f>'Borehole Logging'!A337</f>
        <v>0</v>
      </c>
      <c r="B337">
        <f>'Borehole Logging'!C337</f>
        <v>0</v>
      </c>
      <c r="C337">
        <f>'Borehole Logging'!D337</f>
        <v>0</v>
      </c>
      <c r="E337">
        <f>'Borehole Logging'!F337</f>
        <v>0</v>
      </c>
      <c r="F337" t="str">
        <f ca="1">'Borehole Logging'!AX337</f>
        <v/>
      </c>
      <c r="G337" t="str">
        <f ca="1">'Borehole Logging'!AY337</f>
        <v/>
      </c>
      <c r="H337" t="str">
        <f ca="1">'Borehole Logging'!AZ337</f>
        <v/>
      </c>
      <c r="I337" t="str">
        <f ca="1">'Borehole Logging'!BA337</f>
        <v/>
      </c>
      <c r="J337" t="str">
        <f ca="1">'Borehole Logging'!BB337</f>
        <v/>
      </c>
      <c r="K337" t="str">
        <f ca="1">'Borehole Logging'!BC337</f>
        <v/>
      </c>
    </row>
    <row r="338" spans="1:11" x14ac:dyDescent="0.25">
      <c r="A338">
        <f>'Borehole Logging'!A338</f>
        <v>0</v>
      </c>
      <c r="B338">
        <f>'Borehole Logging'!C338</f>
        <v>0</v>
      </c>
      <c r="C338">
        <f>'Borehole Logging'!D338</f>
        <v>0</v>
      </c>
      <c r="E338">
        <f>'Borehole Logging'!F338</f>
        <v>0</v>
      </c>
      <c r="F338" t="str">
        <f ca="1">'Borehole Logging'!AX338</f>
        <v/>
      </c>
      <c r="G338" t="str">
        <f ca="1">'Borehole Logging'!AY338</f>
        <v/>
      </c>
      <c r="H338" t="str">
        <f ca="1">'Borehole Logging'!AZ338</f>
        <v/>
      </c>
      <c r="I338" t="str">
        <f ca="1">'Borehole Logging'!BA338</f>
        <v/>
      </c>
      <c r="J338" t="str">
        <f ca="1">'Borehole Logging'!BB338</f>
        <v/>
      </c>
      <c r="K338" t="str">
        <f ca="1">'Borehole Logging'!BC338</f>
        <v/>
      </c>
    </row>
    <row r="339" spans="1:11" x14ac:dyDescent="0.25">
      <c r="A339">
        <f>'Borehole Logging'!A339</f>
        <v>0</v>
      </c>
      <c r="B339">
        <f>'Borehole Logging'!C339</f>
        <v>0</v>
      </c>
      <c r="C339">
        <f>'Borehole Logging'!D339</f>
        <v>0</v>
      </c>
      <c r="E339">
        <f>'Borehole Logging'!F339</f>
        <v>0</v>
      </c>
      <c r="F339" t="str">
        <f ca="1">'Borehole Logging'!AX339</f>
        <v/>
      </c>
      <c r="G339" t="str">
        <f ca="1">'Borehole Logging'!AY339</f>
        <v/>
      </c>
      <c r="H339" t="str">
        <f ca="1">'Borehole Logging'!AZ339</f>
        <v/>
      </c>
      <c r="I339" t="str">
        <f ca="1">'Borehole Logging'!BA339</f>
        <v/>
      </c>
      <c r="J339" t="str">
        <f ca="1">'Borehole Logging'!BB339</f>
        <v/>
      </c>
      <c r="K339" t="str">
        <f ca="1">'Borehole Logging'!BC339</f>
        <v/>
      </c>
    </row>
    <row r="340" spans="1:11" x14ac:dyDescent="0.25">
      <c r="A340">
        <f>'Borehole Logging'!A340</f>
        <v>0</v>
      </c>
      <c r="B340">
        <f>'Borehole Logging'!C340</f>
        <v>0</v>
      </c>
      <c r="C340">
        <f>'Borehole Logging'!D340</f>
        <v>0</v>
      </c>
      <c r="E340">
        <f>'Borehole Logging'!F340</f>
        <v>0</v>
      </c>
      <c r="F340" t="str">
        <f ca="1">'Borehole Logging'!AX340</f>
        <v/>
      </c>
      <c r="G340" t="str">
        <f ca="1">'Borehole Logging'!AY340</f>
        <v/>
      </c>
      <c r="H340" t="str">
        <f ca="1">'Borehole Logging'!AZ340</f>
        <v/>
      </c>
      <c r="I340" t="str">
        <f ca="1">'Borehole Logging'!BA340</f>
        <v/>
      </c>
      <c r="J340" t="str">
        <f ca="1">'Borehole Logging'!BB340</f>
        <v/>
      </c>
      <c r="K340" t="str">
        <f ca="1">'Borehole Logging'!BC340</f>
        <v/>
      </c>
    </row>
    <row r="341" spans="1:11" x14ac:dyDescent="0.25">
      <c r="A341">
        <f>'Borehole Logging'!A341</f>
        <v>0</v>
      </c>
      <c r="B341">
        <f>'Borehole Logging'!C341</f>
        <v>0</v>
      </c>
      <c r="C341">
        <f>'Borehole Logging'!D341</f>
        <v>0</v>
      </c>
      <c r="E341">
        <f>'Borehole Logging'!F341</f>
        <v>0</v>
      </c>
      <c r="F341" t="str">
        <f ca="1">'Borehole Logging'!AX341</f>
        <v/>
      </c>
      <c r="G341" t="str">
        <f ca="1">'Borehole Logging'!AY341</f>
        <v/>
      </c>
      <c r="H341" t="str">
        <f ca="1">'Borehole Logging'!AZ341</f>
        <v/>
      </c>
      <c r="I341" t="str">
        <f ca="1">'Borehole Logging'!BA341</f>
        <v/>
      </c>
      <c r="J341" t="str">
        <f ca="1">'Borehole Logging'!BB341</f>
        <v/>
      </c>
      <c r="K341" t="str">
        <f ca="1">'Borehole Logging'!BC341</f>
        <v/>
      </c>
    </row>
    <row r="342" spans="1:11" x14ac:dyDescent="0.25">
      <c r="A342">
        <f>'Borehole Logging'!A342</f>
        <v>0</v>
      </c>
      <c r="B342">
        <f>'Borehole Logging'!C342</f>
        <v>0</v>
      </c>
      <c r="C342">
        <f>'Borehole Logging'!D342</f>
        <v>0</v>
      </c>
      <c r="E342">
        <f>'Borehole Logging'!F342</f>
        <v>0</v>
      </c>
      <c r="F342" t="str">
        <f ca="1">'Borehole Logging'!AX342</f>
        <v/>
      </c>
      <c r="G342" t="str">
        <f ca="1">'Borehole Logging'!AY342</f>
        <v/>
      </c>
      <c r="H342" t="str">
        <f ca="1">'Borehole Logging'!AZ342</f>
        <v/>
      </c>
      <c r="I342" t="str">
        <f ca="1">'Borehole Logging'!BA342</f>
        <v/>
      </c>
      <c r="J342" t="str">
        <f ca="1">'Borehole Logging'!BB342</f>
        <v/>
      </c>
      <c r="K342" t="str">
        <f ca="1">'Borehole Logging'!BC342</f>
        <v/>
      </c>
    </row>
    <row r="343" spans="1:11" x14ac:dyDescent="0.25">
      <c r="A343">
        <f>'Borehole Logging'!A343</f>
        <v>0</v>
      </c>
      <c r="B343">
        <f>'Borehole Logging'!C343</f>
        <v>0</v>
      </c>
      <c r="C343">
        <f>'Borehole Logging'!D343</f>
        <v>0</v>
      </c>
      <c r="E343">
        <f>'Borehole Logging'!F343</f>
        <v>0</v>
      </c>
      <c r="F343" t="str">
        <f ca="1">'Borehole Logging'!AX343</f>
        <v/>
      </c>
      <c r="G343" t="str">
        <f ca="1">'Borehole Logging'!AY343</f>
        <v/>
      </c>
      <c r="H343" t="str">
        <f ca="1">'Borehole Logging'!AZ343</f>
        <v/>
      </c>
      <c r="I343" t="str">
        <f ca="1">'Borehole Logging'!BA343</f>
        <v/>
      </c>
      <c r="J343" t="str">
        <f ca="1">'Borehole Logging'!BB343</f>
        <v/>
      </c>
      <c r="K343" t="str">
        <f ca="1">'Borehole Logging'!BC343</f>
        <v/>
      </c>
    </row>
    <row r="344" spans="1:11" x14ac:dyDescent="0.25">
      <c r="A344">
        <f>'Borehole Logging'!A344</f>
        <v>0</v>
      </c>
      <c r="B344">
        <f>'Borehole Logging'!C344</f>
        <v>0</v>
      </c>
      <c r="C344">
        <f>'Borehole Logging'!D344</f>
        <v>0</v>
      </c>
      <c r="E344">
        <f>'Borehole Logging'!F344</f>
        <v>0</v>
      </c>
      <c r="F344" t="str">
        <f ca="1">'Borehole Logging'!AX344</f>
        <v/>
      </c>
      <c r="G344" t="str">
        <f ca="1">'Borehole Logging'!AY344</f>
        <v/>
      </c>
      <c r="H344" t="str">
        <f ca="1">'Borehole Logging'!AZ344</f>
        <v/>
      </c>
      <c r="I344" t="str">
        <f ca="1">'Borehole Logging'!BA344</f>
        <v/>
      </c>
      <c r="J344" t="str">
        <f ca="1">'Borehole Logging'!BB344</f>
        <v/>
      </c>
      <c r="K344" t="str">
        <f ca="1">'Borehole Logging'!BC344</f>
        <v/>
      </c>
    </row>
    <row r="345" spans="1:11" x14ac:dyDescent="0.25">
      <c r="A345">
        <f>'Borehole Logging'!A345</f>
        <v>0</v>
      </c>
      <c r="B345">
        <f>'Borehole Logging'!C345</f>
        <v>0</v>
      </c>
      <c r="C345">
        <f>'Borehole Logging'!D345</f>
        <v>0</v>
      </c>
      <c r="E345">
        <f>'Borehole Logging'!F345</f>
        <v>0</v>
      </c>
      <c r="F345" t="str">
        <f ca="1">'Borehole Logging'!AX345</f>
        <v/>
      </c>
      <c r="G345" t="str">
        <f ca="1">'Borehole Logging'!AY345</f>
        <v/>
      </c>
      <c r="H345" t="str">
        <f ca="1">'Borehole Logging'!AZ345</f>
        <v/>
      </c>
      <c r="I345" t="str">
        <f ca="1">'Borehole Logging'!BA345</f>
        <v/>
      </c>
      <c r="J345" t="str">
        <f ca="1">'Borehole Logging'!BB345</f>
        <v/>
      </c>
      <c r="K345" t="str">
        <f ca="1">'Borehole Logging'!BC345</f>
        <v/>
      </c>
    </row>
    <row r="346" spans="1:11" x14ac:dyDescent="0.25">
      <c r="A346">
        <f>'Borehole Logging'!A346</f>
        <v>0</v>
      </c>
      <c r="B346">
        <f>'Borehole Logging'!C346</f>
        <v>0</v>
      </c>
      <c r="C346">
        <f>'Borehole Logging'!D346</f>
        <v>0</v>
      </c>
      <c r="E346">
        <f>'Borehole Logging'!F346</f>
        <v>0</v>
      </c>
      <c r="F346" t="str">
        <f ca="1">'Borehole Logging'!AX346</f>
        <v/>
      </c>
      <c r="G346" t="str">
        <f ca="1">'Borehole Logging'!AY346</f>
        <v/>
      </c>
      <c r="H346" t="str">
        <f ca="1">'Borehole Logging'!AZ346</f>
        <v/>
      </c>
      <c r="I346" t="str">
        <f ca="1">'Borehole Logging'!BA346</f>
        <v/>
      </c>
      <c r="J346" t="str">
        <f ca="1">'Borehole Logging'!BB346</f>
        <v/>
      </c>
      <c r="K346" t="str">
        <f ca="1">'Borehole Logging'!BC346</f>
        <v/>
      </c>
    </row>
    <row r="347" spans="1:11" x14ac:dyDescent="0.25">
      <c r="A347">
        <f>'Borehole Logging'!A347</f>
        <v>0</v>
      </c>
      <c r="B347">
        <f>'Borehole Logging'!C347</f>
        <v>0</v>
      </c>
      <c r="C347">
        <f>'Borehole Logging'!D347</f>
        <v>0</v>
      </c>
      <c r="E347">
        <f>'Borehole Logging'!F347</f>
        <v>0</v>
      </c>
      <c r="F347" t="str">
        <f ca="1">'Borehole Logging'!AX347</f>
        <v/>
      </c>
      <c r="G347" t="str">
        <f ca="1">'Borehole Logging'!AY347</f>
        <v/>
      </c>
      <c r="H347" t="str">
        <f ca="1">'Borehole Logging'!AZ347</f>
        <v/>
      </c>
      <c r="I347" t="str">
        <f ca="1">'Borehole Logging'!BA347</f>
        <v/>
      </c>
      <c r="J347" t="str">
        <f ca="1">'Borehole Logging'!BB347</f>
        <v/>
      </c>
      <c r="K347" t="str">
        <f ca="1">'Borehole Logging'!BC347</f>
        <v/>
      </c>
    </row>
    <row r="348" spans="1:11" x14ac:dyDescent="0.25">
      <c r="A348">
        <f>'Borehole Logging'!A348</f>
        <v>0</v>
      </c>
      <c r="B348">
        <f>'Borehole Logging'!C348</f>
        <v>0</v>
      </c>
      <c r="C348">
        <f>'Borehole Logging'!D348</f>
        <v>0</v>
      </c>
      <c r="E348">
        <f>'Borehole Logging'!F348</f>
        <v>0</v>
      </c>
      <c r="F348" t="str">
        <f ca="1">'Borehole Logging'!AX348</f>
        <v/>
      </c>
      <c r="G348" t="str">
        <f ca="1">'Borehole Logging'!AY348</f>
        <v/>
      </c>
      <c r="H348" t="str">
        <f ca="1">'Borehole Logging'!AZ348</f>
        <v/>
      </c>
      <c r="I348" t="str">
        <f ca="1">'Borehole Logging'!BA348</f>
        <v/>
      </c>
      <c r="J348" t="str">
        <f ca="1">'Borehole Logging'!BB348</f>
        <v/>
      </c>
      <c r="K348" t="str">
        <f ca="1">'Borehole Logging'!BC348</f>
        <v/>
      </c>
    </row>
    <row r="349" spans="1:11" x14ac:dyDescent="0.25">
      <c r="A349">
        <f>'Borehole Logging'!A349</f>
        <v>0</v>
      </c>
      <c r="B349">
        <f>'Borehole Logging'!C349</f>
        <v>0</v>
      </c>
      <c r="C349">
        <f>'Borehole Logging'!D349</f>
        <v>0</v>
      </c>
      <c r="E349">
        <f>'Borehole Logging'!F349</f>
        <v>0</v>
      </c>
      <c r="F349" t="str">
        <f ca="1">'Borehole Logging'!AX349</f>
        <v/>
      </c>
      <c r="G349" t="str">
        <f ca="1">'Borehole Logging'!AY349</f>
        <v/>
      </c>
      <c r="H349" t="str">
        <f ca="1">'Borehole Logging'!AZ349</f>
        <v/>
      </c>
      <c r="I349" t="str">
        <f ca="1">'Borehole Logging'!BA349</f>
        <v/>
      </c>
      <c r="J349" t="str">
        <f ca="1">'Borehole Logging'!BB349</f>
        <v/>
      </c>
      <c r="K349" t="str">
        <f ca="1">'Borehole Logging'!BC349</f>
        <v/>
      </c>
    </row>
    <row r="350" spans="1:11" x14ac:dyDescent="0.25">
      <c r="A350">
        <f>'Borehole Logging'!A350</f>
        <v>0</v>
      </c>
      <c r="B350">
        <f>'Borehole Logging'!C350</f>
        <v>0</v>
      </c>
      <c r="C350">
        <f>'Borehole Logging'!D350</f>
        <v>0</v>
      </c>
      <c r="E350">
        <f>'Borehole Logging'!F350</f>
        <v>0</v>
      </c>
      <c r="F350" t="str">
        <f ca="1">'Borehole Logging'!AX350</f>
        <v/>
      </c>
      <c r="G350" t="str">
        <f ca="1">'Borehole Logging'!AY350</f>
        <v/>
      </c>
      <c r="H350" t="str">
        <f ca="1">'Borehole Logging'!AZ350</f>
        <v/>
      </c>
      <c r="I350" t="str">
        <f ca="1">'Borehole Logging'!BA350</f>
        <v/>
      </c>
      <c r="J350" t="str">
        <f ca="1">'Borehole Logging'!BB350</f>
        <v/>
      </c>
      <c r="K350" t="str">
        <f ca="1">'Borehole Logging'!BC350</f>
        <v/>
      </c>
    </row>
    <row r="351" spans="1:11" x14ac:dyDescent="0.25">
      <c r="A351">
        <f>'Borehole Logging'!A351</f>
        <v>0</v>
      </c>
      <c r="B351">
        <f>'Borehole Logging'!C351</f>
        <v>0</v>
      </c>
      <c r="C351">
        <f>'Borehole Logging'!D351</f>
        <v>0</v>
      </c>
      <c r="E351">
        <f>'Borehole Logging'!F351</f>
        <v>0</v>
      </c>
      <c r="F351" t="str">
        <f ca="1">'Borehole Logging'!AX351</f>
        <v/>
      </c>
      <c r="G351" t="str">
        <f ca="1">'Borehole Logging'!AY351</f>
        <v/>
      </c>
      <c r="H351" t="str">
        <f ca="1">'Borehole Logging'!AZ351</f>
        <v/>
      </c>
      <c r="I351" t="str">
        <f ca="1">'Borehole Logging'!BA351</f>
        <v/>
      </c>
      <c r="J351" t="str">
        <f ca="1">'Borehole Logging'!BB351</f>
        <v/>
      </c>
      <c r="K351" t="str">
        <f ca="1">'Borehole Logging'!BC351</f>
        <v/>
      </c>
    </row>
    <row r="352" spans="1:11" x14ac:dyDescent="0.25">
      <c r="A352">
        <f>'Borehole Logging'!A352</f>
        <v>0</v>
      </c>
      <c r="B352">
        <f>'Borehole Logging'!C352</f>
        <v>0</v>
      </c>
      <c r="C352">
        <f>'Borehole Logging'!D352</f>
        <v>0</v>
      </c>
      <c r="E352">
        <f>'Borehole Logging'!F352</f>
        <v>0</v>
      </c>
      <c r="F352" t="str">
        <f ca="1">'Borehole Logging'!AX352</f>
        <v/>
      </c>
      <c r="G352" t="str">
        <f ca="1">'Borehole Logging'!AY352</f>
        <v/>
      </c>
      <c r="H352" t="str">
        <f ca="1">'Borehole Logging'!AZ352</f>
        <v/>
      </c>
      <c r="I352" t="str">
        <f ca="1">'Borehole Logging'!BA352</f>
        <v/>
      </c>
      <c r="J352" t="str">
        <f ca="1">'Borehole Logging'!BB352</f>
        <v/>
      </c>
      <c r="K352" t="str">
        <f ca="1">'Borehole Logging'!BC352</f>
        <v/>
      </c>
    </row>
    <row r="353" spans="1:11" x14ac:dyDescent="0.25">
      <c r="A353">
        <f>'Borehole Logging'!A353</f>
        <v>0</v>
      </c>
      <c r="B353">
        <f>'Borehole Logging'!C353</f>
        <v>0</v>
      </c>
      <c r="C353">
        <f>'Borehole Logging'!D353</f>
        <v>0</v>
      </c>
      <c r="E353">
        <f>'Borehole Logging'!F353</f>
        <v>0</v>
      </c>
      <c r="F353" t="str">
        <f ca="1">'Borehole Logging'!AX353</f>
        <v/>
      </c>
      <c r="G353" t="str">
        <f ca="1">'Borehole Logging'!AY353</f>
        <v/>
      </c>
      <c r="H353" t="str">
        <f ca="1">'Borehole Logging'!AZ353</f>
        <v/>
      </c>
      <c r="I353" t="str">
        <f ca="1">'Borehole Logging'!BA353</f>
        <v/>
      </c>
      <c r="J353" t="str">
        <f ca="1">'Borehole Logging'!BB353</f>
        <v/>
      </c>
      <c r="K353" t="str">
        <f ca="1">'Borehole Logging'!BC353</f>
        <v/>
      </c>
    </row>
    <row r="354" spans="1:11" x14ac:dyDescent="0.25">
      <c r="A354">
        <f>'Borehole Logging'!A354</f>
        <v>0</v>
      </c>
      <c r="B354">
        <f>'Borehole Logging'!C354</f>
        <v>0</v>
      </c>
      <c r="C354">
        <f>'Borehole Logging'!D354</f>
        <v>0</v>
      </c>
      <c r="E354">
        <f>'Borehole Logging'!F354</f>
        <v>0</v>
      </c>
      <c r="F354" t="str">
        <f ca="1">'Borehole Logging'!AX354</f>
        <v/>
      </c>
      <c r="G354" t="str">
        <f ca="1">'Borehole Logging'!AY354</f>
        <v/>
      </c>
      <c r="H354" t="str">
        <f ca="1">'Borehole Logging'!AZ354</f>
        <v/>
      </c>
      <c r="I354" t="str">
        <f ca="1">'Borehole Logging'!BA354</f>
        <v/>
      </c>
      <c r="J354" t="str">
        <f ca="1">'Borehole Logging'!BB354</f>
        <v/>
      </c>
      <c r="K354" t="str">
        <f ca="1">'Borehole Logging'!BC354</f>
        <v/>
      </c>
    </row>
    <row r="355" spans="1:11" x14ac:dyDescent="0.25">
      <c r="A355">
        <f>'Borehole Logging'!A355</f>
        <v>0</v>
      </c>
      <c r="B355">
        <f>'Borehole Logging'!C355</f>
        <v>0</v>
      </c>
      <c r="C355">
        <f>'Borehole Logging'!D355</f>
        <v>0</v>
      </c>
      <c r="E355">
        <f>'Borehole Logging'!F355</f>
        <v>0</v>
      </c>
      <c r="F355" t="str">
        <f ca="1">'Borehole Logging'!AX355</f>
        <v/>
      </c>
      <c r="G355" t="str">
        <f ca="1">'Borehole Logging'!AY355</f>
        <v/>
      </c>
      <c r="H355" t="str">
        <f ca="1">'Borehole Logging'!AZ355</f>
        <v/>
      </c>
      <c r="I355" t="str">
        <f ca="1">'Borehole Logging'!BA355</f>
        <v/>
      </c>
      <c r="J355" t="str">
        <f ca="1">'Borehole Logging'!BB355</f>
        <v/>
      </c>
      <c r="K355" t="str">
        <f ca="1">'Borehole Logging'!BC355</f>
        <v/>
      </c>
    </row>
    <row r="356" spans="1:11" x14ac:dyDescent="0.25">
      <c r="A356">
        <f>'Borehole Logging'!A356</f>
        <v>0</v>
      </c>
      <c r="B356">
        <f>'Borehole Logging'!C356</f>
        <v>0</v>
      </c>
      <c r="C356">
        <f>'Borehole Logging'!D356</f>
        <v>0</v>
      </c>
      <c r="E356">
        <f>'Borehole Logging'!F356</f>
        <v>0</v>
      </c>
      <c r="F356" t="str">
        <f ca="1">'Borehole Logging'!AX356</f>
        <v/>
      </c>
      <c r="G356" t="str">
        <f ca="1">'Borehole Logging'!AY356</f>
        <v/>
      </c>
      <c r="H356" t="str">
        <f ca="1">'Borehole Logging'!AZ356</f>
        <v/>
      </c>
      <c r="I356" t="str">
        <f ca="1">'Borehole Logging'!BA356</f>
        <v/>
      </c>
      <c r="J356" t="str">
        <f ca="1">'Borehole Logging'!BB356</f>
        <v/>
      </c>
      <c r="K356" t="str">
        <f ca="1">'Borehole Logging'!BC356</f>
        <v/>
      </c>
    </row>
    <row r="357" spans="1:11" x14ac:dyDescent="0.25">
      <c r="A357">
        <f>'Borehole Logging'!A357</f>
        <v>0</v>
      </c>
      <c r="B357">
        <f>'Borehole Logging'!C357</f>
        <v>0</v>
      </c>
      <c r="C357">
        <f>'Borehole Logging'!D357</f>
        <v>0</v>
      </c>
      <c r="E357">
        <f>'Borehole Logging'!F357</f>
        <v>0</v>
      </c>
      <c r="F357" t="str">
        <f ca="1">'Borehole Logging'!AX357</f>
        <v/>
      </c>
      <c r="G357" t="str">
        <f ca="1">'Borehole Logging'!AY357</f>
        <v/>
      </c>
      <c r="H357" t="str">
        <f ca="1">'Borehole Logging'!AZ357</f>
        <v/>
      </c>
      <c r="I357" t="str">
        <f ca="1">'Borehole Logging'!BA357</f>
        <v/>
      </c>
      <c r="J357" t="str">
        <f ca="1">'Borehole Logging'!BB357</f>
        <v/>
      </c>
      <c r="K357" t="str">
        <f ca="1">'Borehole Logging'!BC357</f>
        <v/>
      </c>
    </row>
    <row r="358" spans="1:11" x14ac:dyDescent="0.25">
      <c r="A358">
        <f>'Borehole Logging'!A358</f>
        <v>0</v>
      </c>
      <c r="B358">
        <f>'Borehole Logging'!C358</f>
        <v>0</v>
      </c>
      <c r="C358">
        <f>'Borehole Logging'!D358</f>
        <v>0</v>
      </c>
      <c r="E358">
        <f>'Borehole Logging'!F358</f>
        <v>0</v>
      </c>
      <c r="F358" t="str">
        <f ca="1">'Borehole Logging'!AX358</f>
        <v/>
      </c>
      <c r="G358" t="str">
        <f ca="1">'Borehole Logging'!AY358</f>
        <v/>
      </c>
      <c r="H358" t="str">
        <f ca="1">'Borehole Logging'!AZ358</f>
        <v/>
      </c>
      <c r="I358" t="str">
        <f ca="1">'Borehole Logging'!BA358</f>
        <v/>
      </c>
      <c r="J358" t="str">
        <f ca="1">'Borehole Logging'!BB358</f>
        <v/>
      </c>
      <c r="K358" t="str">
        <f ca="1">'Borehole Logging'!BC358</f>
        <v/>
      </c>
    </row>
    <row r="359" spans="1:11" x14ac:dyDescent="0.25">
      <c r="A359">
        <f>'Borehole Logging'!A359</f>
        <v>0</v>
      </c>
      <c r="B359">
        <f>'Borehole Logging'!C359</f>
        <v>0</v>
      </c>
      <c r="C359">
        <f>'Borehole Logging'!D359</f>
        <v>0</v>
      </c>
      <c r="E359">
        <f>'Borehole Logging'!F359</f>
        <v>0</v>
      </c>
      <c r="F359" t="str">
        <f ca="1">'Borehole Logging'!AX359</f>
        <v/>
      </c>
      <c r="G359" t="str">
        <f ca="1">'Borehole Logging'!AY359</f>
        <v/>
      </c>
      <c r="H359" t="str">
        <f ca="1">'Borehole Logging'!AZ359</f>
        <v/>
      </c>
      <c r="I359" t="str">
        <f ca="1">'Borehole Logging'!BA359</f>
        <v/>
      </c>
      <c r="J359" t="str">
        <f ca="1">'Borehole Logging'!BB359</f>
        <v/>
      </c>
      <c r="K359" t="str">
        <f ca="1">'Borehole Logging'!BC359</f>
        <v/>
      </c>
    </row>
    <row r="360" spans="1:11" x14ac:dyDescent="0.25">
      <c r="A360">
        <f>'Borehole Logging'!A360</f>
        <v>0</v>
      </c>
      <c r="B360">
        <f>'Borehole Logging'!C360</f>
        <v>0</v>
      </c>
      <c r="C360">
        <f>'Borehole Logging'!D360</f>
        <v>0</v>
      </c>
      <c r="E360">
        <f>'Borehole Logging'!F360</f>
        <v>0</v>
      </c>
      <c r="F360" t="str">
        <f ca="1">'Borehole Logging'!AX360</f>
        <v/>
      </c>
      <c r="G360" t="str">
        <f ca="1">'Borehole Logging'!AY360</f>
        <v/>
      </c>
      <c r="H360" t="str">
        <f ca="1">'Borehole Logging'!AZ360</f>
        <v/>
      </c>
      <c r="I360" t="str">
        <f ca="1">'Borehole Logging'!BA360</f>
        <v/>
      </c>
      <c r="J360" t="str">
        <f ca="1">'Borehole Logging'!BB360</f>
        <v/>
      </c>
      <c r="K360" t="str">
        <f ca="1">'Borehole Logging'!BC360</f>
        <v/>
      </c>
    </row>
    <row r="361" spans="1:11" x14ac:dyDescent="0.25">
      <c r="A361">
        <f>'Borehole Logging'!A361</f>
        <v>0</v>
      </c>
      <c r="B361">
        <f>'Borehole Logging'!C361</f>
        <v>0</v>
      </c>
      <c r="C361">
        <f>'Borehole Logging'!D361</f>
        <v>0</v>
      </c>
      <c r="E361">
        <f>'Borehole Logging'!F361</f>
        <v>0</v>
      </c>
      <c r="F361" t="str">
        <f ca="1">'Borehole Logging'!AX361</f>
        <v/>
      </c>
      <c r="G361" t="str">
        <f ca="1">'Borehole Logging'!AY361</f>
        <v/>
      </c>
      <c r="H361" t="str">
        <f ca="1">'Borehole Logging'!AZ361</f>
        <v/>
      </c>
      <c r="I361" t="str">
        <f ca="1">'Borehole Logging'!BA361</f>
        <v/>
      </c>
      <c r="J361" t="str">
        <f ca="1">'Borehole Logging'!BB361</f>
        <v/>
      </c>
      <c r="K361" t="str">
        <f ca="1">'Borehole Logging'!BC361</f>
        <v/>
      </c>
    </row>
    <row r="362" spans="1:11" x14ac:dyDescent="0.25">
      <c r="A362">
        <f>'Borehole Logging'!A362</f>
        <v>0</v>
      </c>
      <c r="B362">
        <f>'Borehole Logging'!C362</f>
        <v>0</v>
      </c>
      <c r="C362">
        <f>'Borehole Logging'!D362</f>
        <v>0</v>
      </c>
      <c r="E362">
        <f>'Borehole Logging'!F362</f>
        <v>0</v>
      </c>
      <c r="F362" t="str">
        <f ca="1">'Borehole Logging'!AX362</f>
        <v/>
      </c>
      <c r="G362" t="str">
        <f ca="1">'Borehole Logging'!AY362</f>
        <v/>
      </c>
      <c r="H362" t="str">
        <f ca="1">'Borehole Logging'!AZ362</f>
        <v/>
      </c>
      <c r="I362" t="str">
        <f ca="1">'Borehole Logging'!BA362</f>
        <v/>
      </c>
      <c r="J362" t="str">
        <f ca="1">'Borehole Logging'!BB362</f>
        <v/>
      </c>
      <c r="K362" t="str">
        <f ca="1">'Borehole Logging'!BC362</f>
        <v/>
      </c>
    </row>
    <row r="363" spans="1:11" x14ac:dyDescent="0.25">
      <c r="A363">
        <f>'Borehole Logging'!A363</f>
        <v>0</v>
      </c>
      <c r="B363">
        <f>'Borehole Logging'!C363</f>
        <v>0</v>
      </c>
      <c r="C363">
        <f>'Borehole Logging'!D363</f>
        <v>0</v>
      </c>
      <c r="E363">
        <f>'Borehole Logging'!F363</f>
        <v>0</v>
      </c>
      <c r="F363" t="str">
        <f ca="1">'Borehole Logging'!AX363</f>
        <v/>
      </c>
      <c r="G363" t="str">
        <f ca="1">'Borehole Logging'!AY363</f>
        <v/>
      </c>
      <c r="H363" t="str">
        <f ca="1">'Borehole Logging'!AZ363</f>
        <v/>
      </c>
      <c r="I363" t="str">
        <f ca="1">'Borehole Logging'!BA363</f>
        <v/>
      </c>
      <c r="J363" t="str">
        <f ca="1">'Borehole Logging'!BB363</f>
        <v/>
      </c>
      <c r="K363" t="str">
        <f ca="1">'Borehole Logging'!BC363</f>
        <v/>
      </c>
    </row>
    <row r="364" spans="1:11" x14ac:dyDescent="0.25">
      <c r="A364">
        <f>'Borehole Logging'!A364</f>
        <v>0</v>
      </c>
      <c r="B364">
        <f>'Borehole Logging'!C364</f>
        <v>0</v>
      </c>
      <c r="C364">
        <f>'Borehole Logging'!D364</f>
        <v>0</v>
      </c>
      <c r="E364">
        <f>'Borehole Logging'!F364</f>
        <v>0</v>
      </c>
      <c r="F364" t="str">
        <f ca="1">'Borehole Logging'!AX364</f>
        <v/>
      </c>
      <c r="G364" t="str">
        <f ca="1">'Borehole Logging'!AY364</f>
        <v/>
      </c>
      <c r="H364" t="str">
        <f ca="1">'Borehole Logging'!AZ364</f>
        <v/>
      </c>
      <c r="I364" t="str">
        <f ca="1">'Borehole Logging'!BA364</f>
        <v/>
      </c>
      <c r="J364" t="str">
        <f ca="1">'Borehole Logging'!BB364</f>
        <v/>
      </c>
      <c r="K364" t="str">
        <f ca="1">'Borehole Logging'!BC364</f>
        <v/>
      </c>
    </row>
    <row r="365" spans="1:11" x14ac:dyDescent="0.25">
      <c r="A365">
        <f>'Borehole Logging'!A365</f>
        <v>0</v>
      </c>
      <c r="B365">
        <f>'Borehole Logging'!C365</f>
        <v>0</v>
      </c>
      <c r="C365">
        <f>'Borehole Logging'!D365</f>
        <v>0</v>
      </c>
      <c r="E365">
        <f>'Borehole Logging'!F365</f>
        <v>0</v>
      </c>
      <c r="F365" t="str">
        <f ca="1">'Borehole Logging'!AX365</f>
        <v/>
      </c>
      <c r="G365" t="str">
        <f ca="1">'Borehole Logging'!AY365</f>
        <v/>
      </c>
      <c r="H365" t="str">
        <f ca="1">'Borehole Logging'!AZ365</f>
        <v/>
      </c>
      <c r="I365" t="str">
        <f ca="1">'Borehole Logging'!BA365</f>
        <v/>
      </c>
      <c r="J365" t="str">
        <f ca="1">'Borehole Logging'!BB365</f>
        <v/>
      </c>
      <c r="K365" t="str">
        <f ca="1">'Borehole Logging'!BC365</f>
        <v/>
      </c>
    </row>
    <row r="366" spans="1:11" x14ac:dyDescent="0.25">
      <c r="A366">
        <f>'Borehole Logging'!A366</f>
        <v>0</v>
      </c>
      <c r="B366">
        <f>'Borehole Logging'!C366</f>
        <v>0</v>
      </c>
      <c r="C366">
        <f>'Borehole Logging'!D366</f>
        <v>0</v>
      </c>
      <c r="E366">
        <f>'Borehole Logging'!F366</f>
        <v>0</v>
      </c>
      <c r="F366" t="str">
        <f ca="1">'Borehole Logging'!AX366</f>
        <v/>
      </c>
      <c r="G366" t="str">
        <f ca="1">'Borehole Logging'!AY366</f>
        <v/>
      </c>
      <c r="H366" t="str">
        <f ca="1">'Borehole Logging'!AZ366</f>
        <v/>
      </c>
      <c r="I366" t="str">
        <f ca="1">'Borehole Logging'!BA366</f>
        <v/>
      </c>
      <c r="J366" t="str">
        <f ca="1">'Borehole Logging'!BB366</f>
        <v/>
      </c>
      <c r="K366" t="str">
        <f ca="1">'Borehole Logging'!BC366</f>
        <v/>
      </c>
    </row>
    <row r="367" spans="1:11" x14ac:dyDescent="0.25">
      <c r="A367">
        <f>'Borehole Logging'!A367</f>
        <v>0</v>
      </c>
      <c r="B367">
        <f>'Borehole Logging'!C367</f>
        <v>0</v>
      </c>
      <c r="C367">
        <f>'Borehole Logging'!D367</f>
        <v>0</v>
      </c>
      <c r="E367">
        <f>'Borehole Logging'!F367</f>
        <v>0</v>
      </c>
      <c r="F367" t="str">
        <f ca="1">'Borehole Logging'!AX367</f>
        <v/>
      </c>
      <c r="G367" t="str">
        <f ca="1">'Borehole Logging'!AY367</f>
        <v/>
      </c>
      <c r="H367" t="str">
        <f ca="1">'Borehole Logging'!AZ367</f>
        <v/>
      </c>
      <c r="I367" t="str">
        <f ca="1">'Borehole Logging'!BA367</f>
        <v/>
      </c>
      <c r="J367" t="str">
        <f ca="1">'Borehole Logging'!BB367</f>
        <v/>
      </c>
      <c r="K367" t="str">
        <f ca="1">'Borehole Logging'!BC367</f>
        <v/>
      </c>
    </row>
    <row r="368" spans="1:11" x14ac:dyDescent="0.25">
      <c r="A368">
        <f>'Borehole Logging'!A368</f>
        <v>0</v>
      </c>
      <c r="B368">
        <f>'Borehole Logging'!C368</f>
        <v>0</v>
      </c>
      <c r="C368">
        <f>'Borehole Logging'!D368</f>
        <v>0</v>
      </c>
      <c r="E368">
        <f>'Borehole Logging'!F368</f>
        <v>0</v>
      </c>
      <c r="F368" t="str">
        <f ca="1">'Borehole Logging'!AX368</f>
        <v/>
      </c>
      <c r="G368" t="str">
        <f ca="1">'Borehole Logging'!AY368</f>
        <v/>
      </c>
      <c r="H368" t="str">
        <f ca="1">'Borehole Logging'!AZ368</f>
        <v/>
      </c>
      <c r="I368" t="str">
        <f ca="1">'Borehole Logging'!BA368</f>
        <v/>
      </c>
      <c r="J368" t="str">
        <f ca="1">'Borehole Logging'!BB368</f>
        <v/>
      </c>
      <c r="K368" t="str">
        <f ca="1">'Borehole Logging'!BC368</f>
        <v/>
      </c>
    </row>
    <row r="369" spans="1:11" x14ac:dyDescent="0.25">
      <c r="A369">
        <f>'Borehole Logging'!A369</f>
        <v>0</v>
      </c>
      <c r="B369">
        <f>'Borehole Logging'!C369</f>
        <v>0</v>
      </c>
      <c r="C369">
        <f>'Borehole Logging'!D369</f>
        <v>0</v>
      </c>
      <c r="E369">
        <f>'Borehole Logging'!F369</f>
        <v>0</v>
      </c>
      <c r="F369" t="str">
        <f ca="1">'Borehole Logging'!AX369</f>
        <v/>
      </c>
      <c r="G369" t="str">
        <f ca="1">'Borehole Logging'!AY369</f>
        <v/>
      </c>
      <c r="H369" t="str">
        <f ca="1">'Borehole Logging'!AZ369</f>
        <v/>
      </c>
      <c r="I369" t="str">
        <f ca="1">'Borehole Logging'!BA369</f>
        <v/>
      </c>
      <c r="J369" t="str">
        <f ca="1">'Borehole Logging'!BB369</f>
        <v/>
      </c>
      <c r="K369" t="str">
        <f ca="1">'Borehole Logging'!BC369</f>
        <v/>
      </c>
    </row>
    <row r="370" spans="1:11" x14ac:dyDescent="0.25">
      <c r="A370">
        <f>'Borehole Logging'!A370</f>
        <v>0</v>
      </c>
      <c r="B370">
        <f>'Borehole Logging'!C370</f>
        <v>0</v>
      </c>
      <c r="C370">
        <f>'Borehole Logging'!D370</f>
        <v>0</v>
      </c>
      <c r="E370">
        <f>'Borehole Logging'!F370</f>
        <v>0</v>
      </c>
      <c r="F370" t="str">
        <f ca="1">'Borehole Logging'!AX370</f>
        <v/>
      </c>
      <c r="G370" t="str">
        <f ca="1">'Borehole Logging'!AY370</f>
        <v/>
      </c>
      <c r="H370" t="str">
        <f ca="1">'Borehole Logging'!AZ370</f>
        <v/>
      </c>
      <c r="I370" t="str">
        <f ca="1">'Borehole Logging'!BA370</f>
        <v/>
      </c>
      <c r="J370" t="str">
        <f ca="1">'Borehole Logging'!BB370</f>
        <v/>
      </c>
      <c r="K370" t="str">
        <f ca="1">'Borehole Logging'!BC370</f>
        <v/>
      </c>
    </row>
    <row r="371" spans="1:11" x14ac:dyDescent="0.25">
      <c r="A371">
        <f>'Borehole Logging'!A371</f>
        <v>0</v>
      </c>
      <c r="B371">
        <f>'Borehole Logging'!C371</f>
        <v>0</v>
      </c>
      <c r="C371">
        <f>'Borehole Logging'!D371</f>
        <v>0</v>
      </c>
      <c r="E371">
        <f>'Borehole Logging'!F371</f>
        <v>0</v>
      </c>
      <c r="F371" t="str">
        <f ca="1">'Borehole Logging'!AX371</f>
        <v/>
      </c>
      <c r="G371" t="str">
        <f ca="1">'Borehole Logging'!AY371</f>
        <v/>
      </c>
      <c r="H371" t="str">
        <f ca="1">'Borehole Logging'!AZ371</f>
        <v/>
      </c>
      <c r="I371" t="str">
        <f ca="1">'Borehole Logging'!BA371</f>
        <v/>
      </c>
      <c r="J371" t="str">
        <f ca="1">'Borehole Logging'!BB371</f>
        <v/>
      </c>
      <c r="K371" t="str">
        <f ca="1">'Borehole Logging'!BC371</f>
        <v/>
      </c>
    </row>
    <row r="372" spans="1:11" x14ac:dyDescent="0.25">
      <c r="A372">
        <f>'Borehole Logging'!A372</f>
        <v>0</v>
      </c>
      <c r="B372">
        <f>'Borehole Logging'!C372</f>
        <v>0</v>
      </c>
      <c r="C372">
        <f>'Borehole Logging'!D372</f>
        <v>0</v>
      </c>
      <c r="E372">
        <f>'Borehole Logging'!F372</f>
        <v>0</v>
      </c>
      <c r="F372" t="str">
        <f ca="1">'Borehole Logging'!AX372</f>
        <v/>
      </c>
      <c r="G372" t="str">
        <f ca="1">'Borehole Logging'!AY372</f>
        <v/>
      </c>
      <c r="H372" t="str">
        <f ca="1">'Borehole Logging'!AZ372</f>
        <v/>
      </c>
      <c r="I372" t="str">
        <f ca="1">'Borehole Logging'!BA372</f>
        <v/>
      </c>
      <c r="J372" t="str">
        <f ca="1">'Borehole Logging'!BB372</f>
        <v/>
      </c>
      <c r="K372" t="str">
        <f ca="1">'Borehole Logging'!BC372</f>
        <v/>
      </c>
    </row>
    <row r="373" spans="1:11" x14ac:dyDescent="0.25">
      <c r="A373">
        <f>'Borehole Logging'!A373</f>
        <v>0</v>
      </c>
      <c r="B373">
        <f>'Borehole Logging'!C373</f>
        <v>0</v>
      </c>
      <c r="C373">
        <f>'Borehole Logging'!D373</f>
        <v>0</v>
      </c>
      <c r="E373">
        <f>'Borehole Logging'!F373</f>
        <v>0</v>
      </c>
      <c r="F373" t="str">
        <f ca="1">'Borehole Logging'!AX373</f>
        <v/>
      </c>
      <c r="G373" t="str">
        <f ca="1">'Borehole Logging'!AY373</f>
        <v/>
      </c>
      <c r="H373" t="str">
        <f ca="1">'Borehole Logging'!AZ373</f>
        <v/>
      </c>
      <c r="I373" t="str">
        <f ca="1">'Borehole Logging'!BA373</f>
        <v/>
      </c>
      <c r="J373" t="str">
        <f ca="1">'Borehole Logging'!BB373</f>
        <v/>
      </c>
      <c r="K373" t="str">
        <f ca="1">'Borehole Logging'!BC373</f>
        <v/>
      </c>
    </row>
    <row r="374" spans="1:11" x14ac:dyDescent="0.25">
      <c r="A374">
        <f>'Borehole Logging'!A374</f>
        <v>0</v>
      </c>
      <c r="B374">
        <f>'Borehole Logging'!C374</f>
        <v>0</v>
      </c>
      <c r="C374">
        <f>'Borehole Logging'!D374</f>
        <v>0</v>
      </c>
      <c r="E374">
        <f>'Borehole Logging'!F374</f>
        <v>0</v>
      </c>
      <c r="F374" t="str">
        <f ca="1">'Borehole Logging'!AX374</f>
        <v/>
      </c>
      <c r="G374" t="str">
        <f ca="1">'Borehole Logging'!AY374</f>
        <v/>
      </c>
      <c r="H374" t="str">
        <f ca="1">'Borehole Logging'!AZ374</f>
        <v/>
      </c>
      <c r="I374" t="str">
        <f ca="1">'Borehole Logging'!BA374</f>
        <v/>
      </c>
      <c r="J374" t="str">
        <f ca="1">'Borehole Logging'!BB374</f>
        <v/>
      </c>
      <c r="K374" t="str">
        <f ca="1">'Borehole Logging'!BC374</f>
        <v/>
      </c>
    </row>
    <row r="375" spans="1:11" x14ac:dyDescent="0.25">
      <c r="A375">
        <f>'Borehole Logging'!A375</f>
        <v>0</v>
      </c>
      <c r="B375">
        <f>'Borehole Logging'!C375</f>
        <v>0</v>
      </c>
      <c r="C375">
        <f>'Borehole Logging'!D375</f>
        <v>0</v>
      </c>
      <c r="E375">
        <f>'Borehole Logging'!F375</f>
        <v>0</v>
      </c>
      <c r="F375" t="str">
        <f ca="1">'Borehole Logging'!AX375</f>
        <v/>
      </c>
      <c r="G375" t="str">
        <f ca="1">'Borehole Logging'!AY375</f>
        <v/>
      </c>
      <c r="H375" t="str">
        <f ca="1">'Borehole Logging'!AZ375</f>
        <v/>
      </c>
      <c r="I375" t="str">
        <f ca="1">'Borehole Logging'!BA375</f>
        <v/>
      </c>
      <c r="J375" t="str">
        <f ca="1">'Borehole Logging'!BB375</f>
        <v/>
      </c>
      <c r="K375" t="str">
        <f ca="1">'Borehole Logging'!BC375</f>
        <v/>
      </c>
    </row>
    <row r="376" spans="1:11" x14ac:dyDescent="0.25">
      <c r="A376">
        <f>'Borehole Logging'!A376</f>
        <v>0</v>
      </c>
      <c r="B376">
        <f>'Borehole Logging'!C376</f>
        <v>0</v>
      </c>
      <c r="C376">
        <f>'Borehole Logging'!D376</f>
        <v>0</v>
      </c>
      <c r="E376">
        <f>'Borehole Logging'!F376</f>
        <v>0</v>
      </c>
      <c r="F376" t="str">
        <f ca="1">'Borehole Logging'!AX376</f>
        <v/>
      </c>
      <c r="G376" t="str">
        <f ca="1">'Borehole Logging'!AY376</f>
        <v/>
      </c>
      <c r="H376" t="str">
        <f ca="1">'Borehole Logging'!AZ376</f>
        <v/>
      </c>
      <c r="I376" t="str">
        <f ca="1">'Borehole Logging'!BA376</f>
        <v/>
      </c>
      <c r="J376" t="str">
        <f ca="1">'Borehole Logging'!BB376</f>
        <v/>
      </c>
      <c r="K376" t="str">
        <f ca="1">'Borehole Logging'!BC376</f>
        <v/>
      </c>
    </row>
    <row r="377" spans="1:11" x14ac:dyDescent="0.25">
      <c r="A377">
        <f>'Borehole Logging'!A377</f>
        <v>0</v>
      </c>
      <c r="B377">
        <f>'Borehole Logging'!C377</f>
        <v>0</v>
      </c>
      <c r="C377">
        <f>'Borehole Logging'!D377</f>
        <v>0</v>
      </c>
      <c r="E377">
        <f>'Borehole Logging'!F377</f>
        <v>0</v>
      </c>
      <c r="F377" t="str">
        <f ca="1">'Borehole Logging'!AX377</f>
        <v/>
      </c>
      <c r="G377" t="str">
        <f ca="1">'Borehole Logging'!AY377</f>
        <v/>
      </c>
      <c r="H377" t="str">
        <f ca="1">'Borehole Logging'!AZ377</f>
        <v/>
      </c>
      <c r="I377" t="str">
        <f ca="1">'Borehole Logging'!BA377</f>
        <v/>
      </c>
      <c r="J377" t="str">
        <f ca="1">'Borehole Logging'!BB377</f>
        <v/>
      </c>
      <c r="K377" t="str">
        <f ca="1">'Borehole Logging'!BC377</f>
        <v/>
      </c>
    </row>
    <row r="378" spans="1:11" x14ac:dyDescent="0.25">
      <c r="A378">
        <f>'Borehole Logging'!A378</f>
        <v>0</v>
      </c>
      <c r="B378">
        <f>'Borehole Logging'!C378</f>
        <v>0</v>
      </c>
      <c r="C378">
        <f>'Borehole Logging'!D378</f>
        <v>0</v>
      </c>
      <c r="E378">
        <f>'Borehole Logging'!F378</f>
        <v>0</v>
      </c>
      <c r="F378" t="str">
        <f ca="1">'Borehole Logging'!AX378</f>
        <v/>
      </c>
      <c r="G378" t="str">
        <f ca="1">'Borehole Logging'!AY378</f>
        <v/>
      </c>
      <c r="H378" t="str">
        <f ca="1">'Borehole Logging'!AZ378</f>
        <v/>
      </c>
      <c r="I378" t="str">
        <f ca="1">'Borehole Logging'!BA378</f>
        <v/>
      </c>
      <c r="J378" t="str">
        <f ca="1">'Borehole Logging'!BB378</f>
        <v/>
      </c>
      <c r="K378" t="str">
        <f ca="1">'Borehole Logging'!BC378</f>
        <v/>
      </c>
    </row>
    <row r="379" spans="1:11" x14ac:dyDescent="0.25">
      <c r="A379">
        <f>'Borehole Logging'!A379</f>
        <v>0</v>
      </c>
      <c r="B379">
        <f>'Borehole Logging'!C379</f>
        <v>0</v>
      </c>
      <c r="C379">
        <f>'Borehole Logging'!D379</f>
        <v>0</v>
      </c>
      <c r="E379">
        <f>'Borehole Logging'!F379</f>
        <v>0</v>
      </c>
      <c r="F379" t="str">
        <f ca="1">'Borehole Logging'!AX379</f>
        <v/>
      </c>
      <c r="G379" t="str">
        <f ca="1">'Borehole Logging'!AY379</f>
        <v/>
      </c>
      <c r="H379" t="str">
        <f ca="1">'Borehole Logging'!AZ379</f>
        <v/>
      </c>
      <c r="I379" t="str">
        <f ca="1">'Borehole Logging'!BA379</f>
        <v/>
      </c>
      <c r="J379" t="str">
        <f ca="1">'Borehole Logging'!BB379</f>
        <v/>
      </c>
      <c r="K379" t="str">
        <f ca="1">'Borehole Logging'!BC379</f>
        <v/>
      </c>
    </row>
    <row r="380" spans="1:11" x14ac:dyDescent="0.25">
      <c r="A380">
        <f>'Borehole Logging'!A380</f>
        <v>0</v>
      </c>
      <c r="B380">
        <f>'Borehole Logging'!C380</f>
        <v>0</v>
      </c>
      <c r="C380">
        <f>'Borehole Logging'!D380</f>
        <v>0</v>
      </c>
      <c r="E380">
        <f>'Borehole Logging'!F380</f>
        <v>0</v>
      </c>
      <c r="F380" t="str">
        <f ca="1">'Borehole Logging'!AX380</f>
        <v/>
      </c>
      <c r="G380" t="str">
        <f ca="1">'Borehole Logging'!AY380</f>
        <v/>
      </c>
      <c r="H380" t="str">
        <f ca="1">'Borehole Logging'!AZ380</f>
        <v/>
      </c>
      <c r="I380" t="str">
        <f ca="1">'Borehole Logging'!BA380</f>
        <v/>
      </c>
      <c r="J380" t="str">
        <f ca="1">'Borehole Logging'!BB380</f>
        <v/>
      </c>
      <c r="K380" t="str">
        <f ca="1">'Borehole Logging'!BC380</f>
        <v/>
      </c>
    </row>
    <row r="381" spans="1:11" x14ac:dyDescent="0.25">
      <c r="A381">
        <f>'Borehole Logging'!A381</f>
        <v>0</v>
      </c>
      <c r="B381">
        <f>'Borehole Logging'!C381</f>
        <v>0</v>
      </c>
      <c r="C381">
        <f>'Borehole Logging'!D381</f>
        <v>0</v>
      </c>
      <c r="E381">
        <f>'Borehole Logging'!F381</f>
        <v>0</v>
      </c>
      <c r="F381" t="str">
        <f ca="1">'Borehole Logging'!AX381</f>
        <v/>
      </c>
      <c r="G381" t="str">
        <f ca="1">'Borehole Logging'!AY381</f>
        <v/>
      </c>
      <c r="H381" t="str">
        <f ca="1">'Borehole Logging'!AZ381</f>
        <v/>
      </c>
      <c r="I381" t="str">
        <f ca="1">'Borehole Logging'!BA381</f>
        <v/>
      </c>
      <c r="J381" t="str">
        <f ca="1">'Borehole Logging'!BB381</f>
        <v/>
      </c>
      <c r="K381" t="str">
        <f ca="1">'Borehole Logging'!BC381</f>
        <v/>
      </c>
    </row>
    <row r="382" spans="1:11" x14ac:dyDescent="0.25">
      <c r="A382">
        <f>'Borehole Logging'!A382</f>
        <v>0</v>
      </c>
      <c r="B382">
        <f>'Borehole Logging'!C382</f>
        <v>0</v>
      </c>
      <c r="C382">
        <f>'Borehole Logging'!D382</f>
        <v>0</v>
      </c>
      <c r="E382">
        <f>'Borehole Logging'!F382</f>
        <v>0</v>
      </c>
      <c r="F382" t="str">
        <f ca="1">'Borehole Logging'!AX382</f>
        <v/>
      </c>
      <c r="G382" t="str">
        <f ca="1">'Borehole Logging'!AY382</f>
        <v/>
      </c>
      <c r="H382" t="str">
        <f ca="1">'Borehole Logging'!AZ382</f>
        <v/>
      </c>
      <c r="I382" t="str">
        <f ca="1">'Borehole Logging'!BA382</f>
        <v/>
      </c>
      <c r="J382" t="str">
        <f ca="1">'Borehole Logging'!BB382</f>
        <v/>
      </c>
      <c r="K382" t="str">
        <f ca="1">'Borehole Logging'!BC382</f>
        <v/>
      </c>
    </row>
    <row r="383" spans="1:11" x14ac:dyDescent="0.25">
      <c r="A383">
        <f>'Borehole Logging'!A383</f>
        <v>0</v>
      </c>
      <c r="B383">
        <f>'Borehole Logging'!C383</f>
        <v>0</v>
      </c>
      <c r="C383">
        <f>'Borehole Logging'!D383</f>
        <v>0</v>
      </c>
      <c r="E383">
        <f>'Borehole Logging'!F383</f>
        <v>0</v>
      </c>
      <c r="F383" t="str">
        <f ca="1">'Borehole Logging'!AX383</f>
        <v/>
      </c>
      <c r="G383" t="str">
        <f ca="1">'Borehole Logging'!AY383</f>
        <v/>
      </c>
      <c r="H383" t="str">
        <f ca="1">'Borehole Logging'!AZ383</f>
        <v/>
      </c>
      <c r="I383" t="str">
        <f ca="1">'Borehole Logging'!BA383</f>
        <v/>
      </c>
      <c r="J383" t="str">
        <f ca="1">'Borehole Logging'!BB383</f>
        <v/>
      </c>
      <c r="K383" t="str">
        <f ca="1">'Borehole Logging'!BC383</f>
        <v/>
      </c>
    </row>
    <row r="384" spans="1:11" x14ac:dyDescent="0.25">
      <c r="A384">
        <f>'Borehole Logging'!A384</f>
        <v>0</v>
      </c>
      <c r="B384">
        <f>'Borehole Logging'!C384</f>
        <v>0</v>
      </c>
      <c r="C384">
        <f>'Borehole Logging'!D384</f>
        <v>0</v>
      </c>
      <c r="E384">
        <f>'Borehole Logging'!F384</f>
        <v>0</v>
      </c>
      <c r="F384" t="str">
        <f ca="1">'Borehole Logging'!AX384</f>
        <v/>
      </c>
      <c r="G384" t="str">
        <f ca="1">'Borehole Logging'!AY384</f>
        <v/>
      </c>
      <c r="H384" t="str">
        <f ca="1">'Borehole Logging'!AZ384</f>
        <v/>
      </c>
      <c r="I384" t="str">
        <f ca="1">'Borehole Logging'!BA384</f>
        <v/>
      </c>
      <c r="J384" t="str">
        <f ca="1">'Borehole Logging'!BB384</f>
        <v/>
      </c>
      <c r="K384" t="str">
        <f ca="1">'Borehole Logging'!BC384</f>
        <v/>
      </c>
    </row>
    <row r="385" spans="1:11" x14ac:dyDescent="0.25">
      <c r="A385">
        <f>'Borehole Logging'!A385</f>
        <v>0</v>
      </c>
      <c r="B385">
        <f>'Borehole Logging'!C385</f>
        <v>0</v>
      </c>
      <c r="C385">
        <f>'Borehole Logging'!D385</f>
        <v>0</v>
      </c>
      <c r="E385">
        <f>'Borehole Logging'!F385</f>
        <v>0</v>
      </c>
      <c r="F385" t="str">
        <f ca="1">'Borehole Logging'!AX385</f>
        <v/>
      </c>
      <c r="G385" t="str">
        <f ca="1">'Borehole Logging'!AY385</f>
        <v/>
      </c>
      <c r="H385" t="str">
        <f ca="1">'Borehole Logging'!AZ385</f>
        <v/>
      </c>
      <c r="I385" t="str">
        <f ca="1">'Borehole Logging'!BA385</f>
        <v/>
      </c>
      <c r="J385" t="str">
        <f ca="1">'Borehole Logging'!BB385</f>
        <v/>
      </c>
      <c r="K385" t="str">
        <f ca="1">'Borehole Logging'!BC385</f>
        <v/>
      </c>
    </row>
    <row r="386" spans="1:11" x14ac:dyDescent="0.25">
      <c r="A386">
        <f>'Borehole Logging'!A386</f>
        <v>0</v>
      </c>
      <c r="B386">
        <f>'Borehole Logging'!C386</f>
        <v>0</v>
      </c>
      <c r="C386">
        <f>'Borehole Logging'!D386</f>
        <v>0</v>
      </c>
      <c r="E386">
        <f>'Borehole Logging'!F386</f>
        <v>0</v>
      </c>
      <c r="F386" t="str">
        <f ca="1">'Borehole Logging'!AX386</f>
        <v/>
      </c>
      <c r="G386" t="str">
        <f ca="1">'Borehole Logging'!AY386</f>
        <v/>
      </c>
      <c r="H386" t="str">
        <f ca="1">'Borehole Logging'!AZ386</f>
        <v/>
      </c>
      <c r="I386" t="str">
        <f ca="1">'Borehole Logging'!BA386</f>
        <v/>
      </c>
      <c r="J386" t="str">
        <f ca="1">'Borehole Logging'!BB386</f>
        <v/>
      </c>
      <c r="K386" t="str">
        <f ca="1">'Borehole Logging'!BC386</f>
        <v/>
      </c>
    </row>
    <row r="387" spans="1:11" x14ac:dyDescent="0.25">
      <c r="A387">
        <f>'Borehole Logging'!A387</f>
        <v>0</v>
      </c>
      <c r="B387">
        <f>'Borehole Logging'!C387</f>
        <v>0</v>
      </c>
      <c r="C387">
        <f>'Borehole Logging'!D387</f>
        <v>0</v>
      </c>
      <c r="E387">
        <f>'Borehole Logging'!F387</f>
        <v>0</v>
      </c>
      <c r="F387" t="str">
        <f ca="1">'Borehole Logging'!AX387</f>
        <v/>
      </c>
      <c r="G387" t="str">
        <f ca="1">'Borehole Logging'!AY387</f>
        <v/>
      </c>
      <c r="H387" t="str">
        <f ca="1">'Borehole Logging'!AZ387</f>
        <v/>
      </c>
      <c r="I387" t="str">
        <f ca="1">'Borehole Logging'!BA387</f>
        <v/>
      </c>
      <c r="J387" t="str">
        <f ca="1">'Borehole Logging'!BB387</f>
        <v/>
      </c>
      <c r="K387" t="str">
        <f ca="1">'Borehole Logging'!BC387</f>
        <v/>
      </c>
    </row>
    <row r="388" spans="1:11" x14ac:dyDescent="0.25">
      <c r="A388">
        <f>'Borehole Logging'!A388</f>
        <v>0</v>
      </c>
      <c r="B388">
        <f>'Borehole Logging'!C388</f>
        <v>0</v>
      </c>
      <c r="C388">
        <f>'Borehole Logging'!D388</f>
        <v>0</v>
      </c>
      <c r="E388">
        <f>'Borehole Logging'!F388</f>
        <v>0</v>
      </c>
      <c r="F388" t="str">
        <f ca="1">'Borehole Logging'!AX388</f>
        <v/>
      </c>
      <c r="G388" t="str">
        <f ca="1">'Borehole Logging'!AY388</f>
        <v/>
      </c>
      <c r="H388" t="str">
        <f ca="1">'Borehole Logging'!AZ388</f>
        <v/>
      </c>
      <c r="I388" t="str">
        <f ca="1">'Borehole Logging'!BA388</f>
        <v/>
      </c>
      <c r="J388" t="str">
        <f ca="1">'Borehole Logging'!BB388</f>
        <v/>
      </c>
      <c r="K388" t="str">
        <f ca="1">'Borehole Logging'!BC388</f>
        <v/>
      </c>
    </row>
    <row r="389" spans="1:11" x14ac:dyDescent="0.25">
      <c r="A389">
        <f>'Borehole Logging'!A389</f>
        <v>0</v>
      </c>
      <c r="B389">
        <f>'Borehole Logging'!C389</f>
        <v>0</v>
      </c>
      <c r="C389">
        <f>'Borehole Logging'!D389</f>
        <v>0</v>
      </c>
      <c r="E389">
        <f>'Borehole Logging'!F389</f>
        <v>0</v>
      </c>
      <c r="F389" t="str">
        <f ca="1">'Borehole Logging'!AX389</f>
        <v/>
      </c>
      <c r="G389" t="str">
        <f ca="1">'Borehole Logging'!AY389</f>
        <v/>
      </c>
      <c r="H389" t="str">
        <f ca="1">'Borehole Logging'!AZ389</f>
        <v/>
      </c>
      <c r="I389" t="str">
        <f ca="1">'Borehole Logging'!BA389</f>
        <v/>
      </c>
      <c r="J389" t="str">
        <f ca="1">'Borehole Logging'!BB389</f>
        <v/>
      </c>
      <c r="K389" t="str">
        <f ca="1">'Borehole Logging'!BC389</f>
        <v/>
      </c>
    </row>
    <row r="390" spans="1:11" x14ac:dyDescent="0.25">
      <c r="A390">
        <f>'Borehole Logging'!A390</f>
        <v>0</v>
      </c>
      <c r="B390">
        <f>'Borehole Logging'!C390</f>
        <v>0</v>
      </c>
      <c r="C390">
        <f>'Borehole Logging'!D390</f>
        <v>0</v>
      </c>
      <c r="E390">
        <f>'Borehole Logging'!F390</f>
        <v>0</v>
      </c>
      <c r="F390" t="str">
        <f ca="1">'Borehole Logging'!AX390</f>
        <v/>
      </c>
      <c r="G390" t="str">
        <f ca="1">'Borehole Logging'!AY390</f>
        <v/>
      </c>
      <c r="H390" t="str">
        <f ca="1">'Borehole Logging'!AZ390</f>
        <v/>
      </c>
      <c r="I390" t="str">
        <f ca="1">'Borehole Logging'!BA390</f>
        <v/>
      </c>
      <c r="J390" t="str">
        <f ca="1">'Borehole Logging'!BB390</f>
        <v/>
      </c>
      <c r="K390" t="str">
        <f ca="1">'Borehole Logging'!BC390</f>
        <v/>
      </c>
    </row>
    <row r="391" spans="1:11" x14ac:dyDescent="0.25">
      <c r="A391">
        <f>'Borehole Logging'!A391</f>
        <v>0</v>
      </c>
      <c r="B391">
        <f>'Borehole Logging'!C391</f>
        <v>0</v>
      </c>
      <c r="C391">
        <f>'Borehole Logging'!D391</f>
        <v>0</v>
      </c>
      <c r="E391">
        <f>'Borehole Logging'!F391</f>
        <v>0</v>
      </c>
      <c r="F391" t="str">
        <f ca="1">'Borehole Logging'!AX391</f>
        <v/>
      </c>
      <c r="G391" t="str">
        <f ca="1">'Borehole Logging'!AY391</f>
        <v/>
      </c>
      <c r="H391" t="str">
        <f ca="1">'Borehole Logging'!AZ391</f>
        <v/>
      </c>
      <c r="I391" t="str">
        <f ca="1">'Borehole Logging'!BA391</f>
        <v/>
      </c>
      <c r="J391" t="str">
        <f ca="1">'Borehole Logging'!BB391</f>
        <v/>
      </c>
      <c r="K391" t="str">
        <f ca="1">'Borehole Logging'!BC391</f>
        <v/>
      </c>
    </row>
    <row r="392" spans="1:11" x14ac:dyDescent="0.25">
      <c r="A392">
        <f>'Borehole Logging'!A392</f>
        <v>0</v>
      </c>
      <c r="B392">
        <f>'Borehole Logging'!C392</f>
        <v>0</v>
      </c>
      <c r="C392">
        <f>'Borehole Logging'!D392</f>
        <v>0</v>
      </c>
      <c r="E392">
        <f>'Borehole Logging'!F392</f>
        <v>0</v>
      </c>
      <c r="F392" t="str">
        <f ca="1">'Borehole Logging'!AX392</f>
        <v/>
      </c>
      <c r="G392" t="str">
        <f ca="1">'Borehole Logging'!AY392</f>
        <v/>
      </c>
      <c r="H392" t="str">
        <f ca="1">'Borehole Logging'!AZ392</f>
        <v/>
      </c>
      <c r="I392" t="str">
        <f ca="1">'Borehole Logging'!BA392</f>
        <v/>
      </c>
      <c r="J392" t="str">
        <f ca="1">'Borehole Logging'!BB392</f>
        <v/>
      </c>
      <c r="K392" t="str">
        <f ca="1">'Borehole Logging'!BC392</f>
        <v/>
      </c>
    </row>
    <row r="393" spans="1:11" x14ac:dyDescent="0.25">
      <c r="A393">
        <f>'Borehole Logging'!A393</f>
        <v>0</v>
      </c>
      <c r="B393">
        <f>'Borehole Logging'!C393</f>
        <v>0</v>
      </c>
      <c r="C393">
        <f>'Borehole Logging'!D393</f>
        <v>0</v>
      </c>
      <c r="E393">
        <f>'Borehole Logging'!F393</f>
        <v>0</v>
      </c>
      <c r="F393" t="str">
        <f ca="1">'Borehole Logging'!AX393</f>
        <v/>
      </c>
      <c r="G393" t="str">
        <f ca="1">'Borehole Logging'!AY393</f>
        <v/>
      </c>
      <c r="H393" t="str">
        <f ca="1">'Borehole Logging'!AZ393</f>
        <v/>
      </c>
      <c r="I393" t="str">
        <f ca="1">'Borehole Logging'!BA393</f>
        <v/>
      </c>
      <c r="J393" t="str">
        <f ca="1">'Borehole Logging'!BB393</f>
        <v/>
      </c>
      <c r="K393" t="str">
        <f ca="1">'Borehole Logging'!BC393</f>
        <v/>
      </c>
    </row>
    <row r="394" spans="1:11" x14ac:dyDescent="0.25">
      <c r="A394">
        <f>'Borehole Logging'!A394</f>
        <v>0</v>
      </c>
      <c r="B394">
        <f>'Borehole Logging'!C394</f>
        <v>0</v>
      </c>
      <c r="C394">
        <f>'Borehole Logging'!D394</f>
        <v>0</v>
      </c>
      <c r="E394">
        <f>'Borehole Logging'!F394</f>
        <v>0</v>
      </c>
      <c r="F394" t="str">
        <f ca="1">'Borehole Logging'!AX394</f>
        <v/>
      </c>
      <c r="G394" t="str">
        <f ca="1">'Borehole Logging'!AY394</f>
        <v/>
      </c>
      <c r="H394" t="str">
        <f ca="1">'Borehole Logging'!AZ394</f>
        <v/>
      </c>
      <c r="I394" t="str">
        <f ca="1">'Borehole Logging'!BA394</f>
        <v/>
      </c>
      <c r="J394" t="str">
        <f ca="1">'Borehole Logging'!BB394</f>
        <v/>
      </c>
      <c r="K394" t="str">
        <f ca="1">'Borehole Logging'!BC394</f>
        <v/>
      </c>
    </row>
    <row r="395" spans="1:11" x14ac:dyDescent="0.25">
      <c r="A395">
        <f>'Borehole Logging'!A395</f>
        <v>0</v>
      </c>
      <c r="B395">
        <f>'Borehole Logging'!C395</f>
        <v>0</v>
      </c>
      <c r="C395">
        <f>'Borehole Logging'!D395</f>
        <v>0</v>
      </c>
      <c r="E395">
        <f>'Borehole Logging'!F395</f>
        <v>0</v>
      </c>
      <c r="F395" t="str">
        <f ca="1">'Borehole Logging'!AX395</f>
        <v/>
      </c>
      <c r="G395" t="str">
        <f ca="1">'Borehole Logging'!AY395</f>
        <v/>
      </c>
      <c r="H395" t="str">
        <f ca="1">'Borehole Logging'!AZ395</f>
        <v/>
      </c>
      <c r="I395" t="str">
        <f ca="1">'Borehole Logging'!BA395</f>
        <v/>
      </c>
      <c r="J395" t="str">
        <f ca="1">'Borehole Logging'!BB395</f>
        <v/>
      </c>
      <c r="K395" t="str">
        <f ca="1">'Borehole Logging'!BC395</f>
        <v/>
      </c>
    </row>
    <row r="396" spans="1:11" x14ac:dyDescent="0.25">
      <c r="A396">
        <f>'Borehole Logging'!A396</f>
        <v>0</v>
      </c>
      <c r="B396">
        <f>'Borehole Logging'!C396</f>
        <v>0</v>
      </c>
      <c r="C396">
        <f>'Borehole Logging'!D396</f>
        <v>0</v>
      </c>
      <c r="E396">
        <f>'Borehole Logging'!F396</f>
        <v>0</v>
      </c>
      <c r="F396" t="str">
        <f ca="1">'Borehole Logging'!AX396</f>
        <v/>
      </c>
      <c r="G396" t="str">
        <f ca="1">'Borehole Logging'!AY396</f>
        <v/>
      </c>
      <c r="H396" t="str">
        <f ca="1">'Borehole Logging'!AZ396</f>
        <v/>
      </c>
      <c r="I396" t="str">
        <f ca="1">'Borehole Logging'!BA396</f>
        <v/>
      </c>
      <c r="J396" t="str">
        <f ca="1">'Borehole Logging'!BB396</f>
        <v/>
      </c>
      <c r="K396" t="str">
        <f ca="1">'Borehole Logging'!BC396</f>
        <v/>
      </c>
    </row>
    <row r="397" spans="1:11" x14ac:dyDescent="0.25">
      <c r="A397">
        <f>'Borehole Logging'!A397</f>
        <v>0</v>
      </c>
      <c r="B397">
        <f>'Borehole Logging'!C397</f>
        <v>0</v>
      </c>
      <c r="C397">
        <f>'Borehole Logging'!D397</f>
        <v>0</v>
      </c>
      <c r="E397">
        <f>'Borehole Logging'!F397</f>
        <v>0</v>
      </c>
      <c r="F397" t="str">
        <f ca="1">'Borehole Logging'!AX397</f>
        <v/>
      </c>
      <c r="G397" t="str">
        <f ca="1">'Borehole Logging'!AY397</f>
        <v/>
      </c>
      <c r="H397" t="str">
        <f ca="1">'Borehole Logging'!AZ397</f>
        <v/>
      </c>
      <c r="I397" t="str">
        <f ca="1">'Borehole Logging'!BA397</f>
        <v/>
      </c>
      <c r="J397" t="str">
        <f ca="1">'Borehole Logging'!BB397</f>
        <v/>
      </c>
      <c r="K397" t="str">
        <f ca="1">'Borehole Logging'!BC397</f>
        <v/>
      </c>
    </row>
    <row r="398" spans="1:11" x14ac:dyDescent="0.25">
      <c r="A398">
        <f>'Borehole Logging'!A398</f>
        <v>0</v>
      </c>
      <c r="B398">
        <f>'Borehole Logging'!C398</f>
        <v>0</v>
      </c>
      <c r="C398">
        <f>'Borehole Logging'!D398</f>
        <v>0</v>
      </c>
      <c r="E398">
        <f>'Borehole Logging'!F398</f>
        <v>0</v>
      </c>
      <c r="F398" t="str">
        <f ca="1">'Borehole Logging'!AX398</f>
        <v/>
      </c>
      <c r="G398" t="str">
        <f ca="1">'Borehole Logging'!AY398</f>
        <v/>
      </c>
      <c r="H398" t="str">
        <f ca="1">'Borehole Logging'!AZ398</f>
        <v/>
      </c>
      <c r="I398" t="str">
        <f ca="1">'Borehole Logging'!BA398</f>
        <v/>
      </c>
      <c r="J398" t="str">
        <f ca="1">'Borehole Logging'!BB398</f>
        <v/>
      </c>
      <c r="K398" t="str">
        <f ca="1">'Borehole Logging'!BC398</f>
        <v/>
      </c>
    </row>
    <row r="399" spans="1:11" x14ac:dyDescent="0.25">
      <c r="A399">
        <f>'Borehole Logging'!A399</f>
        <v>0</v>
      </c>
      <c r="B399">
        <f>'Borehole Logging'!C399</f>
        <v>0</v>
      </c>
      <c r="C399">
        <f>'Borehole Logging'!D399</f>
        <v>0</v>
      </c>
      <c r="E399">
        <f>'Borehole Logging'!F399</f>
        <v>0</v>
      </c>
      <c r="F399" t="str">
        <f ca="1">'Borehole Logging'!AX399</f>
        <v/>
      </c>
      <c r="G399" t="str">
        <f ca="1">'Borehole Logging'!AY399</f>
        <v/>
      </c>
      <c r="H399" t="str">
        <f ca="1">'Borehole Logging'!AZ399</f>
        <v/>
      </c>
      <c r="I399" t="str">
        <f ca="1">'Borehole Logging'!BA399</f>
        <v/>
      </c>
      <c r="J399" t="str">
        <f ca="1">'Borehole Logging'!BB399</f>
        <v/>
      </c>
      <c r="K399" t="str">
        <f ca="1">'Borehole Logging'!BC399</f>
        <v/>
      </c>
    </row>
    <row r="400" spans="1:11" x14ac:dyDescent="0.25">
      <c r="A400">
        <f>'Borehole Logging'!A400</f>
        <v>0</v>
      </c>
      <c r="B400">
        <f>'Borehole Logging'!C400</f>
        <v>0</v>
      </c>
      <c r="C400">
        <f>'Borehole Logging'!D400</f>
        <v>0</v>
      </c>
      <c r="E400">
        <f>'Borehole Logging'!F400</f>
        <v>0</v>
      </c>
      <c r="F400" t="str">
        <f ca="1">'Borehole Logging'!AX400</f>
        <v/>
      </c>
      <c r="G400" t="str">
        <f ca="1">'Borehole Logging'!AY400</f>
        <v/>
      </c>
      <c r="H400" t="str">
        <f ca="1">'Borehole Logging'!AZ400</f>
        <v/>
      </c>
      <c r="I400" t="str">
        <f ca="1">'Borehole Logging'!BA400</f>
        <v/>
      </c>
      <c r="J400" t="str">
        <f ca="1">'Borehole Logging'!BB400</f>
        <v/>
      </c>
      <c r="K400" t="str">
        <f ca="1">'Borehole Logging'!BC400</f>
        <v/>
      </c>
    </row>
    <row r="401" spans="1:11" x14ac:dyDescent="0.25">
      <c r="A401">
        <f>'Borehole Logging'!A401</f>
        <v>0</v>
      </c>
      <c r="B401">
        <f>'Borehole Logging'!C401</f>
        <v>0</v>
      </c>
      <c r="C401">
        <f>'Borehole Logging'!D401</f>
        <v>0</v>
      </c>
      <c r="E401">
        <f>'Borehole Logging'!F401</f>
        <v>0</v>
      </c>
      <c r="F401" t="str">
        <f ca="1">'Borehole Logging'!AX401</f>
        <v/>
      </c>
      <c r="G401" t="str">
        <f ca="1">'Borehole Logging'!AY401</f>
        <v/>
      </c>
      <c r="H401" t="str">
        <f ca="1">'Borehole Logging'!AZ401</f>
        <v/>
      </c>
      <c r="I401" t="str">
        <f ca="1">'Borehole Logging'!BA401</f>
        <v/>
      </c>
      <c r="J401" t="str">
        <f ca="1">'Borehole Logging'!BB401</f>
        <v/>
      </c>
      <c r="K401" t="str">
        <f ca="1">'Borehole Logging'!BC401</f>
        <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
  <sheetViews>
    <sheetView workbookViewId="0"/>
  </sheetViews>
  <sheetFormatPr defaultRowHeight="15" x14ac:dyDescent="0.25"/>
  <sheetData>
    <row r="1" spans="1:9" x14ac:dyDescent="0.25">
      <c r="A1" s="2" t="s">
        <v>154</v>
      </c>
      <c r="B1" s="2" t="s">
        <v>155</v>
      </c>
      <c r="C1" s="2" t="s">
        <v>156</v>
      </c>
      <c r="D1" s="2" t="s">
        <v>157</v>
      </c>
      <c r="E1" s="2" t="s">
        <v>158</v>
      </c>
      <c r="F1" s="2" t="s">
        <v>159</v>
      </c>
      <c r="G1" s="2" t="s">
        <v>160</v>
      </c>
      <c r="H1" s="2" t="s">
        <v>161</v>
      </c>
      <c r="I1" s="2" t="s">
        <v>162</v>
      </c>
    </row>
    <row r="2" spans="1:9" x14ac:dyDescent="0.25">
      <c r="A2" t="s">
        <v>163</v>
      </c>
      <c r="B2">
        <v>62</v>
      </c>
      <c r="C2">
        <v>0.3</v>
      </c>
      <c r="D2">
        <v>0.02</v>
      </c>
      <c r="E2">
        <v>2E-3</v>
      </c>
      <c r="F2">
        <v>0.01</v>
      </c>
      <c r="G2">
        <v>2E-3</v>
      </c>
      <c r="H2" t="s">
        <v>164</v>
      </c>
      <c r="I2" t="s">
        <v>165</v>
      </c>
    </row>
    <row r="3" spans="1:9" x14ac:dyDescent="0.25">
      <c r="A3" t="s">
        <v>166</v>
      </c>
      <c r="B3">
        <v>35</v>
      </c>
      <c r="C3">
        <v>0.25</v>
      </c>
      <c r="D3">
        <v>0.04</v>
      </c>
      <c r="E3">
        <v>3.0000000000000001E-3</v>
      </c>
      <c r="F3">
        <v>1.4999999999999999E-2</v>
      </c>
      <c r="G3">
        <v>2E-3</v>
      </c>
      <c r="H3" t="s">
        <v>167</v>
      </c>
      <c r="I3" t="s">
        <v>168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
  <sheetViews>
    <sheetView workbookViewId="0">
      <selection activeCell="E4" sqref="E4"/>
    </sheetView>
  </sheetViews>
  <sheetFormatPr defaultRowHeight="15" x14ac:dyDescent="0.25"/>
  <sheetData>
    <row r="1" spans="1:4" x14ac:dyDescent="0.25">
      <c r="A1" s="2" t="s">
        <v>139</v>
      </c>
      <c r="B1" s="2" t="s">
        <v>169</v>
      </c>
      <c r="C1" s="2" t="s">
        <v>170</v>
      </c>
      <c r="D1" s="2" t="s">
        <v>171</v>
      </c>
    </row>
    <row r="2" spans="1:4" x14ac:dyDescent="0.25">
      <c r="A2" t="s">
        <v>172</v>
      </c>
      <c r="D2" t="str">
        <f>IF(SUM(B2:C2)=0,"",B2/SUM(B2:C2))</f>
        <v/>
      </c>
    </row>
    <row r="3" spans="1:4" x14ac:dyDescent="0.25">
      <c r="A3" t="s">
        <v>173</v>
      </c>
      <c r="D3" t="str">
        <f>IF(SUM(B3:C3)=0,"",B3/SUM(B3:C3))</f>
        <v/>
      </c>
    </row>
    <row r="4" spans="1:4" x14ac:dyDescent="0.25">
      <c r="A4" t="s">
        <v>174</v>
      </c>
      <c r="D4" t="str">
        <f>IF(SUM(B4:C4)=0,"",B4/SUM(B4:C4))</f>
        <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24</vt:i4>
      </vt:variant>
    </vt:vector>
  </HeadingPairs>
  <TitlesOfParts>
    <vt:vector size="31" baseType="lpstr">
      <vt:lpstr>Lists</vt:lpstr>
      <vt:lpstr>Borehole Logging</vt:lpstr>
      <vt:lpstr>DependentLists</vt:lpstr>
      <vt:lpstr>Assays</vt:lpstr>
      <vt:lpstr>PlotPrep</vt:lpstr>
      <vt:lpstr>Standards Catalogue</vt:lpstr>
      <vt:lpstr>Standards Summary</vt:lpstr>
      <vt:lpstr>Aircore_SAMPLES</vt:lpstr>
      <vt:lpstr>ALTERATION_INTENSITY</vt:lpstr>
      <vt:lpstr>ALTERATION_TYPES</vt:lpstr>
      <vt:lpstr>ASSAY_KEYS</vt:lpstr>
      <vt:lpstr>ASSAY_VALUES</vt:lpstr>
      <vt:lpstr>Auger_SAMPLES</vt:lpstr>
      <vt:lpstr>BIF_TEXTURES</vt:lpstr>
      <vt:lpstr>DiamondCore_SAMPLES</vt:lpstr>
      <vt:lpstr>DOL_TEXTURES</vt:lpstr>
      <vt:lpstr>DRILL_TYPES</vt:lpstr>
      <vt:lpstr>GRAIN_SIZES</vt:lpstr>
      <vt:lpstr>LITHOLOGY_CODES</vt:lpstr>
      <vt:lpstr>LITHOLOGY_DESCRIPTIONS</vt:lpstr>
      <vt:lpstr>MINERALIZATION_STYLES</vt:lpstr>
      <vt:lpstr>MOISTURE_CODES</vt:lpstr>
      <vt:lpstr>ORIENTATION_QUALITY</vt:lpstr>
      <vt:lpstr>QFP_TEXTURES</vt:lpstr>
      <vt:lpstr>RC_SAMPLES</vt:lpstr>
      <vt:lpstr>SAMPLE_TYPES_LIST</vt:lpstr>
      <vt:lpstr>SH_TEXTURES</vt:lpstr>
      <vt:lpstr>STANDARDS_IDS</vt:lpstr>
      <vt:lpstr>STRUCTURE_TYPES</vt:lpstr>
      <vt:lpstr>TEXTURES_CODES</vt:lpstr>
      <vt:lpstr>WEATHERING_CODES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Kathleen Body</cp:lastModifiedBy>
  <dcterms:created xsi:type="dcterms:W3CDTF">2025-08-21T15:32:39Z</dcterms:created>
  <dcterms:modified xsi:type="dcterms:W3CDTF">2025-08-21T16:25:48Z</dcterms:modified>
</cp:coreProperties>
</file>