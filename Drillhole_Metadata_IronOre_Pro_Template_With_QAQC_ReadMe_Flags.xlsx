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thleenBody\Documents\Talks_2025\"/>
    </mc:Choice>
  </mc:AlternateContent>
  <xr:revisionPtr revIDLastSave="0" documentId="13_ncr:1_{DF715B13-D660-4D00-9DE0-1E15C04F0C4B}" xr6:coauthVersionLast="47" xr6:coauthVersionMax="47" xr10:uidLastSave="{00000000-0000-0000-0000-000000000000}"/>
  <bookViews>
    <workbookView xWindow="32780" yWindow="810" windowWidth="17950" windowHeight="13820" activeTab="1" xr2:uid="{00000000-000D-0000-FFFF-FFFF00000000}"/>
  </bookViews>
  <sheets>
    <sheet name="ReadMe" sheetId="1" r:id="rId1"/>
    <sheet name="Metadata Template" sheetId="2" r:id="rId2"/>
    <sheet name="Reference Codes" sheetId="3" r:id="rId3"/>
    <sheet name="Standards Catalogue" sheetId="4" r:id="rId4"/>
    <sheet name="Methods &amp; DLs" sheetId="5" r:id="rId5"/>
    <sheet name="QAQC Summary" sheetId="6" r:id="rId6"/>
  </sheets>
  <definedNames>
    <definedName name="ANALYTICAL_METHODS">'Reference Codes'!$B$6:$B$10</definedName>
    <definedName name="DATABASE_SYSTEMS">'Reference Codes'!$B$20:$B$25</definedName>
    <definedName name="DUPLICATE_TYPES">'Reference Codes'!$B$13:$B$15</definedName>
    <definedName name="LITHOLOGY_CODES">'Reference Codes'!$B$2:$B$5</definedName>
    <definedName name="METHODS_LIST">'Methods &amp; DLs'!$A$2:$A$8</definedName>
    <definedName name="STANDARDS_IDS">'Standards Catalogue'!$A$2:$A$3</definedName>
    <definedName name="SURVEY_METHODS">'Reference Codes'!$B$16:$B$19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2" i="6" l="1"/>
  <c r="D2" i="6"/>
  <c r="E2" i="6" s="1"/>
  <c r="C3" i="6"/>
  <c r="C4" i="6"/>
</calcChain>
</file>

<file path=xl/sharedStrings.xml><?xml version="1.0" encoding="utf-8"?>
<sst xmlns="http://schemas.openxmlformats.org/spreadsheetml/2006/main" count="266" uniqueCount="186">
  <si>
    <t>DRILLHOLE METADATA TEMPLATE – IRON ORE PROJECT</t>
  </si>
  <si>
    <t>Purpose:</t>
  </si>
  <si>
    <t>This template standardizes metadata capture for drillhole projects. It ensures consistency, accuracy, and transparency across sampling, logging, assays, QAQC, and data management.</t>
  </si>
  <si>
    <t>Sheets included:</t>
  </si>
  <si>
    <t>- Metadata Template: Core form with required fields for each drillhole.</t>
  </si>
  <si>
    <t>- Reference Codes: Controlled vocabularies for lithology, analytical methods, duplicates, etc.</t>
  </si>
  <si>
    <t>- Standards Catalogue: Certified reference materials with Fe% and other chemistry.</t>
  </si>
  <si>
    <t>- Methods &amp; DLs: Analytical methods, elements, and detection limits.</t>
  </si>
  <si>
    <t>- QAQC Summary: Auto-summary of standards, blanks, duplicates, and key QC statistics.</t>
  </si>
  <si>
    <t>Instructions:</t>
  </si>
  <si>
    <t>1. Fill in the 'Example Entry' column in the Metadata Template for each drillhole.</t>
  </si>
  <si>
    <t>2. Use dropdown menus where provided – avoid free-text entries.</t>
  </si>
  <si>
    <t>3. Update Reference Codes, Standards Catalogue, or Methods &amp; DLs as needed – dropdowns auto-update.</t>
  </si>
  <si>
    <t>4. Review QAQC Summary regularly to check data quality.</t>
  </si>
  <si>
    <t>5. Fields highlighted red in Metadata Template are required.</t>
  </si>
  <si>
    <t>Notes:</t>
  </si>
  <si>
    <t>- Save a backup before making structural changes.</t>
  </si>
  <si>
    <t>- Keep raw data separate from interpreted data.</t>
  </si>
  <si>
    <t>- Maintain version control of this file in your project document management system.</t>
  </si>
  <si>
    <t>Contact:</t>
  </si>
  <si>
    <t>Template prepared by: [Your Name / Company]</t>
  </si>
  <si>
    <t>Date: 2025</t>
  </si>
  <si>
    <t>Category</t>
  </si>
  <si>
    <t>Field</t>
  </si>
  <si>
    <t>Example Entry</t>
  </si>
  <si>
    <t>1. Project Information</t>
  </si>
  <si>
    <t>Project Name</t>
  </si>
  <si>
    <t>Project Code</t>
  </si>
  <si>
    <t>Company</t>
  </si>
  <si>
    <t>Geologist Responsible</t>
  </si>
  <si>
    <t>Date Started</t>
  </si>
  <si>
    <t>Date Completed</t>
  </si>
  <si>
    <t>Objective</t>
  </si>
  <si>
    <t>2. Location &amp; Survey</t>
  </si>
  <si>
    <t>Country</t>
  </si>
  <si>
    <t>Province/State</t>
  </si>
  <si>
    <t>Locality</t>
  </si>
  <si>
    <t>Datum / Projection</t>
  </si>
  <si>
    <t>Collar Coordinates (X, Y, Z)</t>
  </si>
  <si>
    <t>Survey Method</t>
  </si>
  <si>
    <t>Grid Reference</t>
  </si>
  <si>
    <t>3. Drillhole Details</t>
  </si>
  <si>
    <t>Drillhole ID</t>
  </si>
  <si>
    <t>Drill Type</t>
  </si>
  <si>
    <t>Drilling Contractor</t>
  </si>
  <si>
    <t>Hole Diameter</t>
  </si>
  <si>
    <t>Planned Depth</t>
  </si>
  <si>
    <t>Final Depth</t>
  </si>
  <si>
    <t>Start Date</t>
  </si>
  <si>
    <t>End Date</t>
  </si>
  <si>
    <t>Drilling Method</t>
  </si>
  <si>
    <t>4. Logging &amp; Sampling</t>
  </si>
  <si>
    <t>Logging Geologist</t>
  </si>
  <si>
    <t>Logging Type</t>
  </si>
  <si>
    <t>Lithology Codes</t>
  </si>
  <si>
    <t>Sampling Interval</t>
  </si>
  <si>
    <t>Sample Type</t>
  </si>
  <si>
    <t>Sample Preparation</t>
  </si>
  <si>
    <t>QAQC Samples</t>
  </si>
  <si>
    <t>5. Assay &amp; Laboratory</t>
  </si>
  <si>
    <t>Laboratory Name</t>
  </si>
  <si>
    <t>Laboratory Location</t>
  </si>
  <si>
    <t>Sample Preparation Method</t>
  </si>
  <si>
    <t>Analytical Method</t>
  </si>
  <si>
    <t>Elements Analyzed</t>
  </si>
  <si>
    <t>Detection Limits</t>
  </si>
  <si>
    <t>Turnaround Time</t>
  </si>
  <si>
    <t>6. QA/QC Metadata</t>
  </si>
  <si>
    <t>QAQC Protocol Document</t>
  </si>
  <si>
    <t>Standards Used</t>
  </si>
  <si>
    <t>Duplicate Type</t>
  </si>
  <si>
    <t>Blank Material</t>
  </si>
  <si>
    <t>QAQC Reviewer</t>
  </si>
  <si>
    <t>7. Data Management</t>
  </si>
  <si>
    <t>Database System</t>
  </si>
  <si>
    <t>File Format</t>
  </si>
  <si>
    <t>Backup Location</t>
  </si>
  <si>
    <t>Data Entry Checked By</t>
  </si>
  <si>
    <t>Version Control</t>
  </si>
  <si>
    <t>Map/Section Reference</t>
  </si>
  <si>
    <t>8. Environmental, Health &amp; Safety</t>
  </si>
  <si>
    <t>Drilling Permits</t>
  </si>
  <si>
    <t>Safety Officer</t>
  </si>
  <si>
    <t>Incidents</t>
  </si>
  <si>
    <t>Rehabilitation</t>
  </si>
  <si>
    <t>Code</t>
  </si>
  <si>
    <t>Description</t>
  </si>
  <si>
    <t>BIF</t>
  </si>
  <si>
    <t>Banded Iron Formation</t>
  </si>
  <si>
    <t>SH</t>
  </si>
  <si>
    <t>Shale</t>
  </si>
  <si>
    <t>DOL</t>
  </si>
  <si>
    <t>Dolerite</t>
  </si>
  <si>
    <t>QFP</t>
  </si>
  <si>
    <t>Quartz Feldspar Porphyry</t>
  </si>
  <si>
    <t>Analytical Methods</t>
  </si>
  <si>
    <t>XRF</t>
  </si>
  <si>
    <t>X-Ray Fluorescence</t>
  </si>
  <si>
    <t>ICP-OES</t>
  </si>
  <si>
    <t>Inductively Coupled Plasma Optical Emission</t>
  </si>
  <si>
    <t>ICP-MS</t>
  </si>
  <si>
    <t>Inductively Coupled Plasma Mass Spectrometry</t>
  </si>
  <si>
    <t>FA</t>
  </si>
  <si>
    <t>Fire Assay</t>
  </si>
  <si>
    <t>AR</t>
  </si>
  <si>
    <t>Aqua Regia</t>
  </si>
  <si>
    <t>QAQC Standards</t>
  </si>
  <si>
    <t>Fe_STD1</t>
  </si>
  <si>
    <t>62% Fe</t>
  </si>
  <si>
    <t>Fe_STD2</t>
  </si>
  <si>
    <t>35% Fe</t>
  </si>
  <si>
    <t>Duplicate Types</t>
  </si>
  <si>
    <t>FD</t>
  </si>
  <si>
    <t>Field Duplicate</t>
  </si>
  <si>
    <t>PD</t>
  </si>
  <si>
    <t>Pulp Duplicate</t>
  </si>
  <si>
    <t>CRD</t>
  </si>
  <si>
    <t>Coarse Reject Duplicate</t>
  </si>
  <si>
    <t>Survey Methods</t>
  </si>
  <si>
    <t>GPS</t>
  </si>
  <si>
    <t>Differential GPS</t>
  </si>
  <si>
    <t>Total Station</t>
  </si>
  <si>
    <t>Theodolite</t>
  </si>
  <si>
    <t>Database Systems</t>
  </si>
  <si>
    <t>Acquire</t>
  </si>
  <si>
    <t>Geobank</t>
  </si>
  <si>
    <t>Datashed</t>
  </si>
  <si>
    <t>SQL</t>
  </si>
  <si>
    <t>Excel</t>
  </si>
  <si>
    <t>Other</t>
  </si>
  <si>
    <t>Standard ID</t>
  </si>
  <si>
    <t>Certified Fe %</t>
  </si>
  <si>
    <t>Certified SiO2 %</t>
  </si>
  <si>
    <t>Certified Al2O3 %</t>
  </si>
  <si>
    <t>Certified P %</t>
  </si>
  <si>
    <t>Certified S %</t>
  </si>
  <si>
    <t>LOI %</t>
  </si>
  <si>
    <t>Uncertainty Fe %</t>
  </si>
  <si>
    <t>Provider</t>
  </si>
  <si>
    <t>Lot/Batch</t>
  </si>
  <si>
    <t>Valid Until (YYYY-MM-DD)</t>
  </si>
  <si>
    <t>Notes</t>
  </si>
  <si>
    <t>OREAS</t>
  </si>
  <si>
    <t>OREAS-12345</t>
  </si>
  <si>
    <t>2027-12-31</t>
  </si>
  <si>
    <t>High-grade Fe standard</t>
  </si>
  <si>
    <t>AMIS</t>
  </si>
  <si>
    <t>AMIS-9876</t>
  </si>
  <si>
    <t>2026-06-30</t>
  </si>
  <si>
    <t>Mid-grade Fe standard</t>
  </si>
  <si>
    <t>Method</t>
  </si>
  <si>
    <t>Element</t>
  </si>
  <si>
    <t>Unit</t>
  </si>
  <si>
    <t>DL Lower</t>
  </si>
  <si>
    <t>DL Upper</t>
  </si>
  <si>
    <t>Fe</t>
  </si>
  <si>
    <t>%</t>
  </si>
  <si>
    <t>Primary Fe determination</t>
  </si>
  <si>
    <t>SiO2</t>
  </si>
  <si>
    <t>Al2O3</t>
  </si>
  <si>
    <t>P</t>
  </si>
  <si>
    <t>S</t>
  </si>
  <si>
    <t>LOI_1000C</t>
  </si>
  <si>
    <t>LOI</t>
  </si>
  <si>
    <t>Loss on ignition at 1000°C</t>
  </si>
  <si>
    <t>Mn</t>
  </si>
  <si>
    <t>Optional impurity</t>
  </si>
  <si>
    <t>QAQC Type</t>
  </si>
  <si>
    <t>Count</t>
  </si>
  <si>
    <t>% of Total Samples</t>
  </si>
  <si>
    <t>Pass</t>
  </si>
  <si>
    <t>Fail</t>
  </si>
  <si>
    <t>Comments</t>
  </si>
  <si>
    <t>Standards</t>
  </si>
  <si>
    <t>Should be within certified ranges</t>
  </si>
  <si>
    <t>Blanks</t>
  </si>
  <si>
    <t>10</t>
  </si>
  <si>
    <t>9</t>
  </si>
  <si>
    <t>1</t>
  </si>
  <si>
    <t>Contamination check</t>
  </si>
  <si>
    <t>Duplicates</t>
  </si>
  <si>
    <t>15</t>
  </si>
  <si>
    <t>14</t>
  </si>
  <si>
    <t>Precision check</t>
  </si>
  <si>
    <t>9. Notes</t>
  </si>
  <si>
    <t>Other relvant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</si>
</sst>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2" t="s">
        <v>0</v>
      </c>
    </row>
    <row r="2" spans="1:1" x14ac:dyDescent="0.25">
      <c r="A2" s="3"/>
    </row>
    <row r="3" spans="1:1" x14ac:dyDescent="0.25">
      <c r="A3" s="2" t="s">
        <v>1</v>
      </c>
    </row>
    <row r="4" spans="1:1" ht="30" x14ac:dyDescent="0.25">
      <c r="A4" s="3" t="s">
        <v>2</v>
      </c>
    </row>
    <row r="5" spans="1:1" x14ac:dyDescent="0.25">
      <c r="A5" s="3"/>
    </row>
    <row r="6" spans="1:1" x14ac:dyDescent="0.25">
      <c r="A6" s="2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/>
    </row>
    <row r="13" spans="1:1" x14ac:dyDescent="0.25">
      <c r="A13" s="2" t="s">
        <v>9</v>
      </c>
    </row>
    <row r="14" spans="1:1" x14ac:dyDescent="0.25">
      <c r="A14" s="3" t="s">
        <v>10</v>
      </c>
    </row>
    <row r="15" spans="1:1" x14ac:dyDescent="0.25">
      <c r="A15" s="3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/>
    </row>
    <row r="20" spans="1:1" x14ac:dyDescent="0.25">
      <c r="A20" s="2" t="s">
        <v>15</v>
      </c>
    </row>
    <row r="21" spans="1:1" x14ac:dyDescent="0.25">
      <c r="A21" s="3" t="s">
        <v>16</v>
      </c>
    </row>
    <row r="22" spans="1:1" x14ac:dyDescent="0.25">
      <c r="A22" s="3" t="s">
        <v>17</v>
      </c>
    </row>
    <row r="23" spans="1:1" x14ac:dyDescent="0.25">
      <c r="A23" s="3" t="s">
        <v>18</v>
      </c>
    </row>
    <row r="24" spans="1:1" x14ac:dyDescent="0.25">
      <c r="A24" s="3"/>
    </row>
    <row r="25" spans="1:1" x14ac:dyDescent="0.25">
      <c r="A25" s="2" t="s">
        <v>19</v>
      </c>
    </row>
    <row r="26" spans="1:1" x14ac:dyDescent="0.25">
      <c r="A26" s="3" t="s">
        <v>20</v>
      </c>
    </row>
    <row r="27" spans="1:1" x14ac:dyDescent="0.25">
      <c r="A27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tabSelected="1" workbookViewId="0">
      <selection activeCell="C2" sqref="C2"/>
    </sheetView>
  </sheetViews>
  <sheetFormatPr defaultRowHeight="15" x14ac:dyDescent="0.25"/>
  <cols>
    <col min="2" max="2" width="26.42578125" bestFit="1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25</v>
      </c>
      <c r="B2" t="s">
        <v>26</v>
      </c>
    </row>
    <row r="3" spans="1:3" x14ac:dyDescent="0.25">
      <c r="A3" t="s">
        <v>25</v>
      </c>
      <c r="B3" t="s">
        <v>27</v>
      </c>
    </row>
    <row r="4" spans="1:3" x14ac:dyDescent="0.25">
      <c r="A4" t="s">
        <v>25</v>
      </c>
      <c r="B4" t="s">
        <v>28</v>
      </c>
    </row>
    <row r="5" spans="1:3" x14ac:dyDescent="0.25">
      <c r="A5" t="s">
        <v>25</v>
      </c>
      <c r="B5" t="s">
        <v>29</v>
      </c>
    </row>
    <row r="6" spans="1:3" x14ac:dyDescent="0.25">
      <c r="A6" t="s">
        <v>25</v>
      </c>
      <c r="B6" t="s">
        <v>30</v>
      </c>
    </row>
    <row r="7" spans="1:3" x14ac:dyDescent="0.25">
      <c r="A7" t="s">
        <v>25</v>
      </c>
      <c r="B7" t="s">
        <v>31</v>
      </c>
    </row>
    <row r="8" spans="1:3" x14ac:dyDescent="0.25">
      <c r="A8" t="s">
        <v>25</v>
      </c>
      <c r="B8" t="s">
        <v>32</v>
      </c>
    </row>
    <row r="9" spans="1:3" x14ac:dyDescent="0.25">
      <c r="A9" t="s">
        <v>33</v>
      </c>
      <c r="B9" t="s">
        <v>34</v>
      </c>
    </row>
    <row r="10" spans="1:3" x14ac:dyDescent="0.25">
      <c r="A10" t="s">
        <v>33</v>
      </c>
      <c r="B10" t="s">
        <v>35</v>
      </c>
    </row>
    <row r="11" spans="1:3" x14ac:dyDescent="0.25">
      <c r="A11" t="s">
        <v>33</v>
      </c>
      <c r="B11" t="s">
        <v>36</v>
      </c>
    </row>
    <row r="12" spans="1:3" x14ac:dyDescent="0.25">
      <c r="A12" t="s">
        <v>33</v>
      </c>
      <c r="B12" t="s">
        <v>37</v>
      </c>
    </row>
    <row r="13" spans="1:3" x14ac:dyDescent="0.25">
      <c r="A13" t="s">
        <v>33</v>
      </c>
      <c r="B13" t="s">
        <v>38</v>
      </c>
    </row>
    <row r="14" spans="1:3" x14ac:dyDescent="0.25">
      <c r="A14" t="s">
        <v>33</v>
      </c>
      <c r="B14" t="s">
        <v>39</v>
      </c>
    </row>
    <row r="15" spans="1:3" x14ac:dyDescent="0.25">
      <c r="A15" t="s">
        <v>33</v>
      </c>
      <c r="B15" t="s">
        <v>40</v>
      </c>
    </row>
    <row r="16" spans="1:3" x14ac:dyDescent="0.25">
      <c r="A16" t="s">
        <v>41</v>
      </c>
      <c r="B16" t="s">
        <v>42</v>
      </c>
    </row>
    <row r="17" spans="1:2" x14ac:dyDescent="0.25">
      <c r="A17" t="s">
        <v>41</v>
      </c>
      <c r="B17" t="s">
        <v>43</v>
      </c>
    </row>
    <row r="18" spans="1:2" x14ac:dyDescent="0.25">
      <c r="A18" t="s">
        <v>41</v>
      </c>
      <c r="B18" t="s">
        <v>44</v>
      </c>
    </row>
    <row r="19" spans="1:2" x14ac:dyDescent="0.25">
      <c r="A19" t="s">
        <v>41</v>
      </c>
      <c r="B19" t="s">
        <v>45</v>
      </c>
    </row>
    <row r="20" spans="1:2" x14ac:dyDescent="0.25">
      <c r="A20" t="s">
        <v>41</v>
      </c>
      <c r="B20" t="s">
        <v>46</v>
      </c>
    </row>
    <row r="21" spans="1:2" x14ac:dyDescent="0.25">
      <c r="A21" t="s">
        <v>41</v>
      </c>
      <c r="B21" t="s">
        <v>47</v>
      </c>
    </row>
    <row r="22" spans="1:2" x14ac:dyDescent="0.25">
      <c r="A22" t="s">
        <v>41</v>
      </c>
      <c r="B22" t="s">
        <v>48</v>
      </c>
    </row>
    <row r="23" spans="1:2" x14ac:dyDescent="0.25">
      <c r="A23" t="s">
        <v>41</v>
      </c>
      <c r="B23" t="s">
        <v>49</v>
      </c>
    </row>
    <row r="24" spans="1:2" x14ac:dyDescent="0.25">
      <c r="A24" t="s">
        <v>41</v>
      </c>
      <c r="B24" t="s">
        <v>50</v>
      </c>
    </row>
    <row r="25" spans="1:2" x14ac:dyDescent="0.25">
      <c r="A25" t="s">
        <v>51</v>
      </c>
      <c r="B25" t="s">
        <v>52</v>
      </c>
    </row>
    <row r="26" spans="1:2" x14ac:dyDescent="0.25">
      <c r="A26" t="s">
        <v>51</v>
      </c>
      <c r="B26" t="s">
        <v>53</v>
      </c>
    </row>
    <row r="27" spans="1:2" x14ac:dyDescent="0.25">
      <c r="A27" t="s">
        <v>51</v>
      </c>
      <c r="B27" t="s">
        <v>54</v>
      </c>
    </row>
    <row r="28" spans="1:2" x14ac:dyDescent="0.25">
      <c r="A28" t="s">
        <v>51</v>
      </c>
      <c r="B28" t="s">
        <v>55</v>
      </c>
    </row>
    <row r="29" spans="1:2" x14ac:dyDescent="0.25">
      <c r="A29" t="s">
        <v>51</v>
      </c>
      <c r="B29" t="s">
        <v>56</v>
      </c>
    </row>
    <row r="30" spans="1:2" x14ac:dyDescent="0.25">
      <c r="A30" t="s">
        <v>51</v>
      </c>
      <c r="B30" t="s">
        <v>57</v>
      </c>
    </row>
    <row r="31" spans="1:2" x14ac:dyDescent="0.25">
      <c r="A31" t="s">
        <v>51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59</v>
      </c>
      <c r="B33" t="s">
        <v>61</v>
      </c>
    </row>
    <row r="34" spans="1:2" x14ac:dyDescent="0.25">
      <c r="A34" t="s">
        <v>59</v>
      </c>
      <c r="B34" t="s">
        <v>62</v>
      </c>
    </row>
    <row r="35" spans="1:2" x14ac:dyDescent="0.25">
      <c r="A35" t="s">
        <v>59</v>
      </c>
      <c r="B35" t="s">
        <v>63</v>
      </c>
    </row>
    <row r="36" spans="1:2" x14ac:dyDescent="0.25">
      <c r="A36" t="s">
        <v>59</v>
      </c>
      <c r="B36" t="s">
        <v>64</v>
      </c>
    </row>
    <row r="37" spans="1:2" x14ac:dyDescent="0.25">
      <c r="A37" t="s">
        <v>59</v>
      </c>
      <c r="B37" t="s">
        <v>65</v>
      </c>
    </row>
    <row r="38" spans="1:2" x14ac:dyDescent="0.25">
      <c r="A38" t="s">
        <v>59</v>
      </c>
      <c r="B38" t="s">
        <v>66</v>
      </c>
    </row>
    <row r="39" spans="1:2" x14ac:dyDescent="0.25">
      <c r="A39" t="s">
        <v>67</v>
      </c>
      <c r="B39" t="s">
        <v>68</v>
      </c>
    </row>
    <row r="40" spans="1:2" x14ac:dyDescent="0.25">
      <c r="A40" t="s">
        <v>67</v>
      </c>
      <c r="B40" t="s">
        <v>69</v>
      </c>
    </row>
    <row r="41" spans="1:2" x14ac:dyDescent="0.25">
      <c r="A41" t="s">
        <v>67</v>
      </c>
      <c r="B41" t="s">
        <v>70</v>
      </c>
    </row>
    <row r="42" spans="1:2" x14ac:dyDescent="0.25">
      <c r="A42" t="s">
        <v>67</v>
      </c>
      <c r="B42" t="s">
        <v>71</v>
      </c>
    </row>
    <row r="43" spans="1:2" x14ac:dyDescent="0.25">
      <c r="A43" t="s">
        <v>67</v>
      </c>
      <c r="B43" t="s">
        <v>72</v>
      </c>
    </row>
    <row r="44" spans="1:2" x14ac:dyDescent="0.25">
      <c r="A44" t="s">
        <v>73</v>
      </c>
      <c r="B44" t="s">
        <v>74</v>
      </c>
    </row>
    <row r="45" spans="1:2" x14ac:dyDescent="0.25">
      <c r="A45" t="s">
        <v>73</v>
      </c>
      <c r="B45" t="s">
        <v>75</v>
      </c>
    </row>
    <row r="46" spans="1:2" x14ac:dyDescent="0.25">
      <c r="A46" t="s">
        <v>73</v>
      </c>
      <c r="B46" t="s">
        <v>76</v>
      </c>
    </row>
    <row r="47" spans="1:2" x14ac:dyDescent="0.25">
      <c r="A47" t="s">
        <v>73</v>
      </c>
      <c r="B47" t="s">
        <v>77</v>
      </c>
    </row>
    <row r="48" spans="1:2" x14ac:dyDescent="0.25">
      <c r="A48" t="s">
        <v>73</v>
      </c>
      <c r="B48" t="s">
        <v>78</v>
      </c>
    </row>
    <row r="49" spans="1:2" x14ac:dyDescent="0.25">
      <c r="A49" t="s">
        <v>73</v>
      </c>
      <c r="B49" t="s">
        <v>79</v>
      </c>
    </row>
    <row r="50" spans="1:2" x14ac:dyDescent="0.25">
      <c r="A50" t="s">
        <v>80</v>
      </c>
      <c r="B50" t="s">
        <v>81</v>
      </c>
    </row>
    <row r="51" spans="1:2" x14ac:dyDescent="0.25">
      <c r="A51" t="s">
        <v>80</v>
      </c>
      <c r="B51" t="s">
        <v>82</v>
      </c>
    </row>
    <row r="52" spans="1:2" x14ac:dyDescent="0.25">
      <c r="A52" t="s">
        <v>80</v>
      </c>
      <c r="B52" t="s">
        <v>83</v>
      </c>
    </row>
    <row r="53" spans="1:2" x14ac:dyDescent="0.25">
      <c r="A53" t="s">
        <v>80</v>
      </c>
      <c r="B53" t="s">
        <v>84</v>
      </c>
    </row>
    <row r="54" spans="1:2" x14ac:dyDescent="0.25">
      <c r="A54" t="s">
        <v>184</v>
      </c>
      <c r="B54" t="s">
        <v>185</v>
      </c>
    </row>
  </sheetData>
  <conditionalFormatting sqref="C2:C3">
    <cfRule type="expression" dxfId="11" priority="1">
      <formula>LEN($C2)=0</formula>
    </cfRule>
  </conditionalFormatting>
  <conditionalFormatting sqref="C5:C6">
    <cfRule type="expression" dxfId="10" priority="3">
      <formula>LEN($C5)=0</formula>
    </cfRule>
  </conditionalFormatting>
  <conditionalFormatting sqref="C12:C14">
    <cfRule type="expression" dxfId="9" priority="5">
      <formula>LEN($C12)=0</formula>
    </cfRule>
  </conditionalFormatting>
  <conditionalFormatting sqref="C16:C17">
    <cfRule type="expression" dxfId="8" priority="8">
      <formula>LEN($C16)=0</formula>
    </cfRule>
  </conditionalFormatting>
  <conditionalFormatting sqref="C25">
    <cfRule type="expression" dxfId="7" priority="10">
      <formula>LEN($C25)=0</formula>
    </cfRule>
  </conditionalFormatting>
  <conditionalFormatting sqref="C28:C29">
    <cfRule type="expression" dxfId="6" priority="11">
      <formula>LEN($C28)=0</formula>
    </cfRule>
  </conditionalFormatting>
  <conditionalFormatting sqref="C32">
    <cfRule type="expression" dxfId="5" priority="13">
      <formula>LEN($C32)=0</formula>
    </cfRule>
  </conditionalFormatting>
  <conditionalFormatting sqref="C35">
    <cfRule type="expression" dxfId="4" priority="14">
      <formula>LEN($C35)=0</formula>
    </cfRule>
  </conditionalFormatting>
  <conditionalFormatting sqref="C44">
    <cfRule type="expression" dxfId="3" priority="15">
      <formula>LEN($C44)=0</formula>
    </cfRule>
  </conditionalFormatting>
  <dataValidations count="11">
    <dataValidation type="list" allowBlank="1" showDropDown="1" showInputMessage="1" showErrorMessage="1" sqref="C14" xr:uid="{00000000-0002-0000-0100-000000000000}">
      <formula1>SURVEY_METHODS</formula1>
    </dataValidation>
    <dataValidation type="list" allowBlank="1" showDropDown="1" showInputMessage="1" showErrorMessage="1" sqref="C27" xr:uid="{00000000-0002-0000-0100-000001000000}">
      <formula1>LITHOLOGY_CODES</formula1>
    </dataValidation>
    <dataValidation type="list" allowBlank="1" showDropDown="1" showInputMessage="1" showErrorMessage="1" sqref="C35" xr:uid="{00000000-0002-0000-0100-000002000000}">
      <formula1>ANALYTICAL_METHODS</formula1>
    </dataValidation>
    <dataValidation type="list" allowBlank="1" showDropDown="1" showInputMessage="1" showErrorMessage="1" sqref="C41" xr:uid="{00000000-0002-0000-0100-000003000000}">
      <formula1>DUPLICATE_TYPES</formula1>
    </dataValidation>
    <dataValidation type="list" allowBlank="1" showDropDown="1" showInputMessage="1" showErrorMessage="1" sqref="C44" xr:uid="{00000000-0002-0000-0100-000004000000}">
      <formula1>DATABASE_SYSTEMS</formula1>
    </dataValidation>
    <dataValidation type="list" allowBlank="1" showDropDown="1" showInputMessage="1" showErrorMessage="1" sqref="C40" xr:uid="{00000000-0002-0000-0100-000005000000}">
      <formula1>STANDARDS_IDS</formula1>
    </dataValidation>
    <dataValidation type="list" allowBlank="1" showDropDown="1" showInputMessage="1" showErrorMessage="1" sqref="C35" xr:uid="{00000000-0002-0000-0100-000006000000}">
      <formula1>METHODS_LIST</formula1>
    </dataValidation>
    <dataValidation type="decimal" operator="greaterThanOrEqual" showInputMessage="1" showErrorMessage="1" sqref="C20:C21" xr:uid="{00000000-0002-0000-0100-000007000000}">
      <formula1>0</formula1>
    </dataValidation>
    <dataValidation type="decimal" operator="greaterThanOrEqual" showInputMessage="1" showErrorMessage="1" sqref="C28" xr:uid="{00000000-0002-0000-0100-000009000000}">
      <formula1>0.001</formula1>
    </dataValidation>
    <dataValidation type="whole" operator="greaterThan" allowBlank="1" showInputMessage="1" showErrorMessage="1" sqref="C38" xr:uid="{00000000-0002-0000-0100-00000A000000}">
      <formula1>0</formula1>
    </dataValidation>
    <dataValidation type="date" allowBlank="1" showInputMessage="1" showErrorMessage="1" sqref="C6:C7" xr:uid="{00000000-0002-0000-0100-00000B000000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B20" sqref="B20:B25"/>
    </sheetView>
  </sheetViews>
  <sheetFormatPr defaultRowHeight="15" x14ac:dyDescent="0.25"/>
  <cols>
    <col min="1" max="1" width="18.28515625" bestFit="1" customWidth="1"/>
  </cols>
  <sheetData>
    <row r="1" spans="1:3" x14ac:dyDescent="0.25">
      <c r="A1" t="s">
        <v>22</v>
      </c>
      <c r="B1" t="s">
        <v>85</v>
      </c>
      <c r="C1" t="s">
        <v>86</v>
      </c>
    </row>
    <row r="2" spans="1:3" x14ac:dyDescent="0.25">
      <c r="A2" t="s">
        <v>54</v>
      </c>
      <c r="B2" t="s">
        <v>87</v>
      </c>
      <c r="C2" t="s">
        <v>88</v>
      </c>
    </row>
    <row r="3" spans="1:3" x14ac:dyDescent="0.25">
      <c r="A3" t="s">
        <v>54</v>
      </c>
      <c r="B3" t="s">
        <v>89</v>
      </c>
      <c r="C3" t="s">
        <v>90</v>
      </c>
    </row>
    <row r="4" spans="1:3" x14ac:dyDescent="0.25">
      <c r="A4" t="s">
        <v>54</v>
      </c>
      <c r="B4" t="s">
        <v>91</v>
      </c>
      <c r="C4" t="s">
        <v>92</v>
      </c>
    </row>
    <row r="5" spans="1:3" x14ac:dyDescent="0.25">
      <c r="A5" t="s">
        <v>54</v>
      </c>
      <c r="B5" t="s">
        <v>93</v>
      </c>
      <c r="C5" t="s">
        <v>94</v>
      </c>
    </row>
    <row r="6" spans="1:3" x14ac:dyDescent="0.25">
      <c r="A6" t="s">
        <v>95</v>
      </c>
      <c r="B6" t="s">
        <v>96</v>
      </c>
      <c r="C6" t="s">
        <v>97</v>
      </c>
    </row>
    <row r="7" spans="1:3" x14ac:dyDescent="0.25">
      <c r="A7" t="s">
        <v>95</v>
      </c>
      <c r="B7" t="s">
        <v>98</v>
      </c>
      <c r="C7" t="s">
        <v>99</v>
      </c>
    </row>
    <row r="8" spans="1:3" x14ac:dyDescent="0.25">
      <c r="A8" t="s">
        <v>95</v>
      </c>
      <c r="B8" t="s">
        <v>100</v>
      </c>
      <c r="C8" t="s">
        <v>101</v>
      </c>
    </row>
    <row r="9" spans="1:3" x14ac:dyDescent="0.25">
      <c r="A9" t="s">
        <v>95</v>
      </c>
      <c r="B9" t="s">
        <v>102</v>
      </c>
      <c r="C9" t="s">
        <v>103</v>
      </c>
    </row>
    <row r="10" spans="1:3" x14ac:dyDescent="0.25">
      <c r="A10" t="s">
        <v>95</v>
      </c>
      <c r="B10" t="s">
        <v>104</v>
      </c>
      <c r="C10" t="s">
        <v>105</v>
      </c>
    </row>
    <row r="11" spans="1:3" x14ac:dyDescent="0.25">
      <c r="A11" t="s">
        <v>106</v>
      </c>
      <c r="B11" t="s">
        <v>107</v>
      </c>
      <c r="C11" t="s">
        <v>108</v>
      </c>
    </row>
    <row r="12" spans="1:3" x14ac:dyDescent="0.25">
      <c r="A12" t="s">
        <v>106</v>
      </c>
      <c r="B12" t="s">
        <v>109</v>
      </c>
      <c r="C12" t="s">
        <v>110</v>
      </c>
    </row>
    <row r="13" spans="1:3" x14ac:dyDescent="0.25">
      <c r="A13" t="s">
        <v>111</v>
      </c>
      <c r="B13" t="s">
        <v>112</v>
      </c>
      <c r="C13" t="s">
        <v>113</v>
      </c>
    </row>
    <row r="14" spans="1:3" x14ac:dyDescent="0.25">
      <c r="A14" t="s">
        <v>111</v>
      </c>
      <c r="B14" t="s">
        <v>114</v>
      </c>
      <c r="C14" t="s">
        <v>115</v>
      </c>
    </row>
    <row r="15" spans="1:3" x14ac:dyDescent="0.25">
      <c r="A15" t="s">
        <v>111</v>
      </c>
      <c r="B15" t="s">
        <v>116</v>
      </c>
      <c r="C15" t="s">
        <v>117</v>
      </c>
    </row>
    <row r="16" spans="1:3" x14ac:dyDescent="0.25">
      <c r="A16" t="s">
        <v>118</v>
      </c>
      <c r="B16" t="s">
        <v>119</v>
      </c>
    </row>
    <row r="17" spans="1:2" x14ac:dyDescent="0.25">
      <c r="A17" t="s">
        <v>118</v>
      </c>
      <c r="B17" t="s">
        <v>120</v>
      </c>
    </row>
    <row r="18" spans="1:2" x14ac:dyDescent="0.25">
      <c r="A18" t="s">
        <v>118</v>
      </c>
      <c r="B18" t="s">
        <v>121</v>
      </c>
    </row>
    <row r="19" spans="1:2" x14ac:dyDescent="0.25">
      <c r="A19" t="s">
        <v>118</v>
      </c>
      <c r="B19" t="s">
        <v>122</v>
      </c>
    </row>
    <row r="20" spans="1:2" x14ac:dyDescent="0.25">
      <c r="A20" t="s">
        <v>123</v>
      </c>
      <c r="B20" t="s">
        <v>124</v>
      </c>
    </row>
    <row r="21" spans="1:2" x14ac:dyDescent="0.25">
      <c r="A21" t="s">
        <v>123</v>
      </c>
      <c r="B21" t="s">
        <v>125</v>
      </c>
    </row>
    <row r="22" spans="1:2" x14ac:dyDescent="0.25">
      <c r="A22" t="s">
        <v>123</v>
      </c>
      <c r="B22" t="s">
        <v>126</v>
      </c>
    </row>
    <row r="23" spans="1:2" x14ac:dyDescent="0.25">
      <c r="A23" t="s">
        <v>123</v>
      </c>
      <c r="B23" t="s">
        <v>127</v>
      </c>
    </row>
    <row r="24" spans="1:2" x14ac:dyDescent="0.25">
      <c r="A24" t="s">
        <v>123</v>
      </c>
      <c r="B24" t="s">
        <v>128</v>
      </c>
    </row>
    <row r="25" spans="1:2" x14ac:dyDescent="0.25">
      <c r="A25" t="s">
        <v>123</v>
      </c>
      <c r="B25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>
      <selection activeCell="A2" sqref="A2:A3"/>
    </sheetView>
  </sheetViews>
  <sheetFormatPr defaultRowHeight="15" x14ac:dyDescent="0.25"/>
  <sheetData>
    <row r="1" spans="1:12" x14ac:dyDescent="0.2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</row>
    <row r="2" spans="1:12" x14ac:dyDescent="0.25">
      <c r="A2" t="s">
        <v>107</v>
      </c>
      <c r="B2">
        <v>62</v>
      </c>
      <c r="C2">
        <v>5.2</v>
      </c>
      <c r="D2">
        <v>2.1</v>
      </c>
      <c r="E2">
        <v>0.02</v>
      </c>
      <c r="F2">
        <v>0.01</v>
      </c>
      <c r="G2">
        <v>2.5</v>
      </c>
      <c r="H2">
        <v>0.3</v>
      </c>
      <c r="I2" t="s">
        <v>142</v>
      </c>
      <c r="J2" t="s">
        <v>143</v>
      </c>
      <c r="K2" t="s">
        <v>144</v>
      </c>
      <c r="L2" t="s">
        <v>145</v>
      </c>
    </row>
    <row r="3" spans="1:12" x14ac:dyDescent="0.25">
      <c r="A3" t="s">
        <v>109</v>
      </c>
      <c r="B3">
        <v>35</v>
      </c>
      <c r="C3">
        <v>30</v>
      </c>
      <c r="D3">
        <v>4</v>
      </c>
      <c r="E3">
        <v>0.04</v>
      </c>
      <c r="F3">
        <v>1.4999999999999999E-2</v>
      </c>
      <c r="G3">
        <v>5</v>
      </c>
      <c r="H3">
        <v>0.25</v>
      </c>
      <c r="I3" t="s">
        <v>146</v>
      </c>
      <c r="J3" t="s">
        <v>147</v>
      </c>
      <c r="K3" t="s">
        <v>148</v>
      </c>
      <c r="L3" t="s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5" x14ac:dyDescent="0.25"/>
  <sheetData>
    <row r="1" spans="1:6" x14ac:dyDescent="0.25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141</v>
      </c>
    </row>
    <row r="2" spans="1:6" x14ac:dyDescent="0.25">
      <c r="A2" t="s">
        <v>96</v>
      </c>
      <c r="B2" t="s">
        <v>155</v>
      </c>
      <c r="C2" t="s">
        <v>156</v>
      </c>
      <c r="D2">
        <v>0.01</v>
      </c>
      <c r="F2" t="s">
        <v>157</v>
      </c>
    </row>
    <row r="3" spans="1:6" x14ac:dyDescent="0.25">
      <c r="A3" t="s">
        <v>96</v>
      </c>
      <c r="B3" t="s">
        <v>158</v>
      </c>
      <c r="C3" t="s">
        <v>156</v>
      </c>
      <c r="D3">
        <v>0.01</v>
      </c>
    </row>
    <row r="4" spans="1:6" x14ac:dyDescent="0.25">
      <c r="A4" t="s">
        <v>96</v>
      </c>
      <c r="B4" t="s">
        <v>159</v>
      </c>
      <c r="C4" t="s">
        <v>156</v>
      </c>
      <c r="D4">
        <v>0.01</v>
      </c>
    </row>
    <row r="5" spans="1:6" x14ac:dyDescent="0.25">
      <c r="A5" t="s">
        <v>96</v>
      </c>
      <c r="B5" t="s">
        <v>160</v>
      </c>
      <c r="C5" t="s">
        <v>156</v>
      </c>
      <c r="D5">
        <v>1E-3</v>
      </c>
    </row>
    <row r="6" spans="1:6" x14ac:dyDescent="0.25">
      <c r="A6" t="s">
        <v>96</v>
      </c>
      <c r="B6" t="s">
        <v>161</v>
      </c>
      <c r="C6" t="s">
        <v>156</v>
      </c>
      <c r="D6">
        <v>1E-3</v>
      </c>
    </row>
    <row r="7" spans="1:6" x14ac:dyDescent="0.25">
      <c r="A7" t="s">
        <v>162</v>
      </c>
      <c r="B7" t="s">
        <v>163</v>
      </c>
      <c r="C7" t="s">
        <v>156</v>
      </c>
      <c r="F7" t="s">
        <v>164</v>
      </c>
    </row>
    <row r="8" spans="1:6" x14ac:dyDescent="0.25">
      <c r="A8" t="s">
        <v>98</v>
      </c>
      <c r="B8" t="s">
        <v>165</v>
      </c>
      <c r="C8" t="s">
        <v>156</v>
      </c>
      <c r="D8">
        <v>1E-3</v>
      </c>
      <c r="F8" t="s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/>
  </sheetViews>
  <sheetFormatPr defaultRowHeight="15" x14ac:dyDescent="0.25"/>
  <cols>
    <col min="1" max="1" width="20" customWidth="1"/>
    <col min="2" max="2" width="15" customWidth="1"/>
    <col min="3" max="3" width="20" customWidth="1"/>
    <col min="4" max="5" width="10" customWidth="1"/>
    <col min="6" max="6" width="40" customWidth="1"/>
  </cols>
  <sheetData>
    <row r="1" spans="1:6" x14ac:dyDescent="0.25">
      <c r="A1" s="4" t="s">
        <v>167</v>
      </c>
      <c r="B1" s="4" t="s">
        <v>168</v>
      </c>
      <c r="C1" s="4" t="s">
        <v>169</v>
      </c>
      <c r="D1" s="4" t="s">
        <v>170</v>
      </c>
      <c r="E1" s="4" t="s">
        <v>171</v>
      </c>
      <c r="F1" s="4" t="s">
        <v>172</v>
      </c>
    </row>
    <row r="2" spans="1:6" x14ac:dyDescent="0.25">
      <c r="A2" t="s">
        <v>173</v>
      </c>
      <c r="B2">
        <f>COUNTA('Metadata Template'!C:C)</f>
        <v>1</v>
      </c>
      <c r="C2">
        <f>B2/SUM(B$2:B$4)</f>
        <v>1</v>
      </c>
      <c r="D2">
        <f>ROUND(B2*0.95,0)</f>
        <v>1</v>
      </c>
      <c r="E2">
        <f>B2-D2</f>
        <v>0</v>
      </c>
      <c r="F2" t="s">
        <v>174</v>
      </c>
    </row>
    <row r="3" spans="1:6" x14ac:dyDescent="0.25">
      <c r="A3" t="s">
        <v>175</v>
      </c>
      <c r="B3" t="s">
        <v>176</v>
      </c>
      <c r="C3">
        <f>B3/SUM(B$2:B$4)</f>
        <v>10</v>
      </c>
      <c r="D3" t="s">
        <v>177</v>
      </c>
      <c r="E3" t="s">
        <v>178</v>
      </c>
      <c r="F3" t="s">
        <v>179</v>
      </c>
    </row>
    <row r="4" spans="1:6" x14ac:dyDescent="0.25">
      <c r="A4" t="s">
        <v>180</v>
      </c>
      <c r="B4" t="s">
        <v>181</v>
      </c>
      <c r="C4">
        <f>B4/SUM(B$2:B$4)</f>
        <v>15</v>
      </c>
      <c r="D4" t="s">
        <v>182</v>
      </c>
      <c r="E4" t="s">
        <v>178</v>
      </c>
      <c r="F4" t="s">
        <v>183</v>
      </c>
    </row>
  </sheetData>
  <conditionalFormatting sqref="D2:D4">
    <cfRule type="expression" dxfId="2" priority="4">
      <formula>AND($B2&gt;0, $D2/$B2&gt;=0.95)</formula>
    </cfRule>
    <cfRule type="expression" dxfId="1" priority="7">
      <formula>AND($B2&gt;0, $D2/$B2&gt;=0.8, $D2/$B2&lt;0.95)</formula>
    </cfRule>
  </conditionalFormatting>
  <conditionalFormatting sqref="E2:E4">
    <cfRule type="expression" dxfId="0" priority="1">
      <formula>$E2&gt;0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ReadMe</vt:lpstr>
      <vt:lpstr>Metadata Template</vt:lpstr>
      <vt:lpstr>Reference Codes</vt:lpstr>
      <vt:lpstr>Standards Catalogue</vt:lpstr>
      <vt:lpstr>Methods &amp; DLs</vt:lpstr>
      <vt:lpstr>QAQC Summary</vt:lpstr>
      <vt:lpstr>ANALYTICAL_METHODS</vt:lpstr>
      <vt:lpstr>DATABASE_SYSTEMS</vt:lpstr>
      <vt:lpstr>DUPLICATE_TYPES</vt:lpstr>
      <vt:lpstr>LITHOLOGY_CODES</vt:lpstr>
      <vt:lpstr>METHODS_LIST</vt:lpstr>
      <vt:lpstr>STANDARDS_IDS</vt:lpstr>
      <vt:lpstr>SURVEY_METHODS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Kathleen Body</cp:lastModifiedBy>
  <dcterms:created xsi:type="dcterms:W3CDTF">2025-08-21T10:10:10Z</dcterms:created>
  <dcterms:modified xsi:type="dcterms:W3CDTF">2025-08-21T16:01:36Z</dcterms:modified>
</cp:coreProperties>
</file>